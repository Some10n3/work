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0" windowWidth="19035" windowHeight="8445" firstSheet="2" activeTab="2"/>
  </bookViews>
  <sheets>
    <sheet name="Welcome" sheetId="1" state="hidden" r:id="rId1"/>
    <sheet name="StockData" sheetId="7" state="hidden" r:id="rId2"/>
    <sheet name="OutputA" sheetId="5" r:id="rId3"/>
    <sheet name="OutputB" sheetId="6" state="hidden" r:id="rId4"/>
  </sheets>
  <definedNames>
    <definedName name="_Regression_Int">1</definedName>
    <definedName name="BFrom">OutputB!$B$12</definedName>
    <definedName name="BTable">OutputB!$B$13:$J$13</definedName>
    <definedName name="BTo">OutputB!$C$12</definedName>
    <definedName name="Buy">StockData!$I$13</definedName>
    <definedName name="BuyAllowed">StockData!$I$10</definedName>
    <definedName name="BuyCheck">StockData!$D$13</definedName>
    <definedName name="BuyLB">OutputA!$B$20</definedName>
    <definedName name="CalcData">StockData!$D$14:$M$1595</definedName>
    <definedName name="CashFlow">StockData!$M$13</definedName>
    <definedName name="CostBuy">StockData!$I$12</definedName>
    <definedName name="CostSell">StockData!$J$12</definedName>
    <definedName name="Dates">StockData!$B$14:$B$1595</definedName>
    <definedName name="MaxProfit">OutputA!$I$13</definedName>
    <definedName name="Months">StockData!$T$1:$U$12</definedName>
    <definedName name="NoBuyProfit">OutputB!$J$12</definedName>
    <definedName name="NoBuyY">OutputB!$I$12</definedName>
    <definedName name="NoSellProfit">OutputB!$H$12</definedName>
    <definedName name="NoSellX">OutputB!$G$12</definedName>
    <definedName name="NumBuys">OutputA!$I$14</definedName>
    <definedName name="NumSales">OutputA!$I$15</definedName>
    <definedName name="NumShares">StockData!$K$13</definedName>
    <definedName name="Own">StockData!$G$13</definedName>
    <definedName name="_xlnm.Print_Area">StockData!$B$1551:$R$1562</definedName>
    <definedName name="Print_Area_MI">StockData!$B$1551:$R$1562</definedName>
    <definedName name="Profit">StockData!$O$14</definedName>
    <definedName name="ProfitA">OutputA!$B$19</definedName>
    <definedName name="Rate">StockData!$M$10</definedName>
    <definedName name="RateSpn">OutputA!$B$13</definedName>
    <definedName name="Sell">StockData!$J$13</definedName>
    <definedName name="SellAllowed">StockData!$J$10</definedName>
    <definedName name="SellCheck">StockData!$E$13</definedName>
    <definedName name="SellLB">OutputA!$C$19</definedName>
    <definedName name="SNPProfit">OutputB!$F$12</definedName>
    <definedName name="SNPX">OutputB!$D$12</definedName>
    <definedName name="SNPY">OutputB!$E$12</definedName>
    <definedName name="StartCap">StockData!$M$12</definedName>
    <definedName name="StartShares">StockData!$K$12</definedName>
  </definedNames>
  <calcPr calcId="145621"/>
</workbook>
</file>

<file path=xl/calcChain.xml><?xml version="1.0" encoding="utf-8"?>
<calcChain xmlns="http://schemas.openxmlformats.org/spreadsheetml/2006/main">
  <c r="O14" i="7" l="1"/>
  <c r="M604" i="7"/>
  <c r="M605" i="7" s="1"/>
  <c r="M606" i="7" s="1"/>
  <c r="M607" i="7" s="1"/>
  <c r="M608" i="7" s="1"/>
  <c r="M609" i="7" s="1"/>
  <c r="M610" i="7" s="1"/>
  <c r="M611" i="7" s="1"/>
  <c r="M612" i="7" s="1"/>
  <c r="M613" i="7" s="1"/>
  <c r="M614" i="7" s="1"/>
  <c r="M615" i="7" s="1"/>
  <c r="M616" i="7" s="1"/>
  <c r="M617" i="7" s="1"/>
  <c r="M603" i="7"/>
  <c r="M602" i="7"/>
  <c r="K1311" i="7"/>
  <c r="K1308" i="7"/>
  <c r="K1309" i="7" s="1"/>
  <c r="K1287" i="7"/>
  <c r="K1288" i="7" s="1"/>
  <c r="K1289" i="7" s="1"/>
  <c r="K1290" i="7" s="1"/>
  <c r="K1291" i="7" s="1"/>
  <c r="K1292" i="7" s="1"/>
  <c r="K1293" i="7" s="1"/>
  <c r="K1294" i="7" s="1"/>
  <c r="K1295" i="7" s="1"/>
  <c r="K1296" i="7" s="1"/>
  <c r="K1297" i="7" s="1"/>
  <c r="K1298" i="7" s="1"/>
  <c r="K1299" i="7" s="1"/>
  <c r="K1300" i="7" s="1"/>
  <c r="K1283" i="7"/>
  <c r="K1284" i="7" s="1"/>
  <c r="K1270" i="7"/>
  <c r="K1248" i="7"/>
  <c r="K1249" i="7" s="1"/>
  <c r="K1250" i="7" s="1"/>
  <c r="K1251" i="7" s="1"/>
  <c r="K1252" i="7" s="1"/>
  <c r="K1253" i="7" s="1"/>
  <c r="K1254" i="7" s="1"/>
  <c r="K1255" i="7" s="1"/>
  <c r="K1256" i="7" s="1"/>
  <c r="K1257" i="7" s="1"/>
  <c r="K1258" i="7" s="1"/>
  <c r="K1259" i="7" s="1"/>
  <c r="K1260" i="7" s="1"/>
  <c r="K1261" i="7" s="1"/>
  <c r="K1240" i="7"/>
  <c r="K1241" i="7" s="1"/>
  <c r="K1242" i="7" s="1"/>
  <c r="K1243" i="7" s="1"/>
  <c r="K1244" i="7" s="1"/>
  <c r="K1245" i="7" s="1"/>
  <c r="K1246" i="7" s="1"/>
  <c r="K1221" i="7"/>
  <c r="K1222" i="7" s="1"/>
  <c r="K1223" i="7" s="1"/>
  <c r="K1224" i="7" s="1"/>
  <c r="K1195" i="7"/>
  <c r="K1196" i="7" s="1"/>
  <c r="K1197" i="7" s="1"/>
  <c r="K1198" i="7" s="1"/>
  <c r="K1199" i="7" s="1"/>
  <c r="K1200" i="7" s="1"/>
  <c r="K1201" i="7" s="1"/>
  <c r="K1202" i="7" s="1"/>
  <c r="K1203" i="7" s="1"/>
  <c r="K1204" i="7" s="1"/>
  <c r="K1205" i="7" s="1"/>
  <c r="K1206" i="7" s="1"/>
  <c r="K1207" i="7" s="1"/>
  <c r="K1208" i="7" s="1"/>
  <c r="K1209" i="7" s="1"/>
  <c r="K1191" i="7"/>
  <c r="K1192" i="7" s="1"/>
  <c r="K1193" i="7" s="1"/>
  <c r="K1179" i="7"/>
  <c r="K1180" i="7" s="1"/>
  <c r="K1176" i="7"/>
  <c r="K1156" i="7"/>
  <c r="K1157" i="7" s="1"/>
  <c r="K1158" i="7" s="1"/>
  <c r="K1159" i="7" s="1"/>
  <c r="K1160" i="7" s="1"/>
  <c r="K1161" i="7" s="1"/>
  <c r="K1162" i="7" s="1"/>
  <c r="K1163" i="7" s="1"/>
  <c r="K1164" i="7" s="1"/>
  <c r="K1165" i="7" s="1"/>
  <c r="K1147" i="7"/>
  <c r="K1148" i="7" s="1"/>
  <c r="K1149" i="7" s="1"/>
  <c r="K1109" i="7"/>
  <c r="K1110" i="7" s="1"/>
  <c r="K1111" i="7" s="1"/>
  <c r="K1112" i="7" s="1"/>
  <c r="K1113" i="7" s="1"/>
  <c r="K1114" i="7" s="1"/>
  <c r="K1115" i="7" s="1"/>
  <c r="K1090" i="7"/>
  <c r="K1091" i="7" s="1"/>
  <c r="K1092" i="7" s="1"/>
  <c r="K1088" i="7"/>
  <c r="K1082" i="7"/>
  <c r="K1083" i="7" s="1"/>
  <c r="K1084" i="7" s="1"/>
  <c r="K1085" i="7" s="1"/>
  <c r="K1086" i="7" s="1"/>
  <c r="K1078" i="7"/>
  <c r="K1079" i="7" s="1"/>
  <c r="K1080" i="7" s="1"/>
  <c r="K1053" i="7"/>
  <c r="K1054" i="7" s="1"/>
  <c r="K1055" i="7" s="1"/>
  <c r="K1056" i="7" s="1"/>
  <c r="K1057" i="7" s="1"/>
  <c r="K1058" i="7" s="1"/>
  <c r="K1059" i="7" s="1"/>
  <c r="K1043" i="7"/>
  <c r="K1044" i="7" s="1"/>
  <c r="K1045" i="7" s="1"/>
  <c r="K1046" i="7" s="1"/>
  <c r="K1047" i="7" s="1"/>
  <c r="K1048" i="7" s="1"/>
  <c r="K1049" i="7" s="1"/>
  <c r="K1001" i="7"/>
  <c r="K1002" i="7" s="1"/>
  <c r="K1003" i="7" s="1"/>
  <c r="K1004" i="7" s="1"/>
  <c r="K1005" i="7" s="1"/>
  <c r="K1006" i="7" s="1"/>
  <c r="K1007" i="7" s="1"/>
  <c r="K995" i="7"/>
  <c r="K968" i="7"/>
  <c r="K948" i="7"/>
  <c r="K949" i="7" s="1"/>
  <c r="K950" i="7" s="1"/>
  <c r="K951" i="7" s="1"/>
  <c r="K952" i="7" s="1"/>
  <c r="K953" i="7" s="1"/>
  <c r="K954" i="7" s="1"/>
  <c r="K955" i="7" s="1"/>
  <c r="K956" i="7" s="1"/>
  <c r="K937" i="7"/>
  <c r="K938" i="7" s="1"/>
  <c r="K939" i="7" s="1"/>
  <c r="K940" i="7" s="1"/>
  <c r="K934" i="7"/>
  <c r="K928" i="7"/>
  <c r="K929" i="7" s="1"/>
  <c r="K930" i="7" s="1"/>
  <c r="K931" i="7" s="1"/>
  <c r="K921" i="7"/>
  <c r="K922" i="7" s="1"/>
  <c r="K923" i="7" s="1"/>
  <c r="K924" i="7" s="1"/>
  <c r="K925" i="7" s="1"/>
  <c r="K926" i="7" s="1"/>
  <c r="K891" i="7"/>
  <c r="K888" i="7"/>
  <c r="K889" i="7" s="1"/>
  <c r="K863" i="7"/>
  <c r="K864" i="7" s="1"/>
  <c r="K865" i="7" s="1"/>
  <c r="K866" i="7" s="1"/>
  <c r="K867" i="7" s="1"/>
  <c r="K868" i="7" s="1"/>
  <c r="K869" i="7" s="1"/>
  <c r="K870" i="7" s="1"/>
  <c r="K871" i="7" s="1"/>
  <c r="K855" i="7"/>
  <c r="K856" i="7" s="1"/>
  <c r="K857" i="7" s="1"/>
  <c r="K858" i="7" s="1"/>
  <c r="K859" i="7" s="1"/>
  <c r="K853" i="7"/>
  <c r="K844" i="7"/>
  <c r="K845" i="7" s="1"/>
  <c r="K846" i="7" s="1"/>
  <c r="K847" i="7" s="1"/>
  <c r="K848" i="7" s="1"/>
  <c r="K849" i="7" s="1"/>
  <c r="K850" i="7" s="1"/>
  <c r="K832" i="7"/>
  <c r="K833" i="7" s="1"/>
  <c r="K834" i="7" s="1"/>
  <c r="K835" i="7" s="1"/>
  <c r="K836" i="7" s="1"/>
  <c r="K837" i="7" s="1"/>
  <c r="K809" i="7"/>
  <c r="K810" i="7" s="1"/>
  <c r="K811" i="7" s="1"/>
  <c r="K812" i="7" s="1"/>
  <c r="K813" i="7" s="1"/>
  <c r="K814" i="7" s="1"/>
  <c r="K815" i="7" s="1"/>
  <c r="K816" i="7" s="1"/>
  <c r="K817" i="7" s="1"/>
  <c r="K818" i="7" s="1"/>
  <c r="K819" i="7" s="1"/>
  <c r="K820" i="7" s="1"/>
  <c r="K821" i="7" s="1"/>
  <c r="K822" i="7" s="1"/>
  <c r="K823" i="7" s="1"/>
  <c r="K782" i="7"/>
  <c r="K783" i="7" s="1"/>
  <c r="K784" i="7" s="1"/>
  <c r="K774" i="7"/>
  <c r="K775" i="7" s="1"/>
  <c r="K776" i="7" s="1"/>
  <c r="K777" i="7" s="1"/>
  <c r="K778" i="7" s="1"/>
  <c r="K779" i="7" s="1"/>
  <c r="K780" i="7" s="1"/>
  <c r="K759" i="7"/>
  <c r="K760" i="7" s="1"/>
  <c r="K737" i="7"/>
  <c r="K738" i="7" s="1"/>
  <c r="K739" i="7" s="1"/>
  <c r="K740" i="7" s="1"/>
  <c r="K741" i="7" s="1"/>
  <c r="K742" i="7" s="1"/>
  <c r="K743" i="7" s="1"/>
  <c r="K744" i="7" s="1"/>
  <c r="K745" i="7" s="1"/>
  <c r="K746" i="7" s="1"/>
  <c r="K747" i="7" s="1"/>
  <c r="K748" i="7" s="1"/>
  <c r="K749" i="7" s="1"/>
  <c r="K750" i="7" s="1"/>
  <c r="K751" i="7" s="1"/>
  <c r="K752" i="7" s="1"/>
  <c r="K726" i="7"/>
  <c r="K727" i="7" s="1"/>
  <c r="K728" i="7" s="1"/>
  <c r="K729" i="7" s="1"/>
  <c r="K730" i="7" s="1"/>
  <c r="K731" i="7" s="1"/>
  <c r="K732" i="7" s="1"/>
  <c r="K733" i="7" s="1"/>
  <c r="K734" i="7" s="1"/>
  <c r="K735" i="7" s="1"/>
  <c r="K720" i="7"/>
  <c r="K721" i="7" s="1"/>
  <c r="K722" i="7" s="1"/>
  <c r="K723" i="7" s="1"/>
  <c r="K724" i="7" s="1"/>
  <c r="K676" i="7"/>
  <c r="K677" i="7" s="1"/>
  <c r="K678" i="7" s="1"/>
  <c r="K654" i="7"/>
  <c r="K655" i="7" s="1"/>
  <c r="K642" i="7"/>
  <c r="K643" i="7" s="1"/>
  <c r="K644" i="7" s="1"/>
  <c r="K645" i="7" s="1"/>
  <c r="K646" i="7" s="1"/>
  <c r="K647" i="7" s="1"/>
  <c r="K619" i="7"/>
  <c r="K620" i="7" s="1"/>
  <c r="K621" i="7" s="1"/>
  <c r="K622" i="7" s="1"/>
  <c r="K603" i="7"/>
  <c r="K604" i="7" s="1"/>
  <c r="K605" i="7" s="1"/>
  <c r="K606" i="7" s="1"/>
  <c r="K607" i="7" s="1"/>
  <c r="K608" i="7" s="1"/>
  <c r="K609" i="7" s="1"/>
  <c r="K610" i="7" s="1"/>
  <c r="K611" i="7" s="1"/>
  <c r="K612" i="7" s="1"/>
  <c r="K613" i="7" s="1"/>
  <c r="K614" i="7" s="1"/>
  <c r="K615" i="7" s="1"/>
  <c r="K616" i="7" s="1"/>
  <c r="K617" i="7" s="1"/>
  <c r="K602" i="7"/>
  <c r="J603" i="7"/>
  <c r="I603" i="7"/>
  <c r="J602" i="7"/>
  <c r="I602" i="7"/>
  <c r="E1322" i="7"/>
  <c r="D1322" i="7"/>
  <c r="E1321" i="7"/>
  <c r="D1321" i="7"/>
  <c r="E1320" i="7"/>
  <c r="D1320" i="7"/>
  <c r="E1319" i="7"/>
  <c r="D1319" i="7"/>
  <c r="E1318" i="7"/>
  <c r="D1318" i="7"/>
  <c r="E1317" i="7"/>
  <c r="D1317" i="7"/>
  <c r="E1316" i="7"/>
  <c r="D1316" i="7"/>
  <c r="E1315" i="7"/>
  <c r="D1315" i="7"/>
  <c r="E1314" i="7"/>
  <c r="D1314" i="7"/>
  <c r="E1313" i="7"/>
  <c r="D1313" i="7"/>
  <c r="E1312" i="7"/>
  <c r="D1312" i="7"/>
  <c r="E1311" i="7"/>
  <c r="D1311" i="7"/>
  <c r="E1310" i="7"/>
  <c r="D1310" i="7"/>
  <c r="E1309" i="7"/>
  <c r="D1309" i="7"/>
  <c r="E1308" i="7"/>
  <c r="D1308" i="7"/>
  <c r="E1307" i="7"/>
  <c r="D1307" i="7"/>
  <c r="E1306" i="7"/>
  <c r="D1306" i="7"/>
  <c r="E1305" i="7"/>
  <c r="D1305" i="7"/>
  <c r="E1304" i="7"/>
  <c r="D1304" i="7"/>
  <c r="E1303" i="7"/>
  <c r="D1303" i="7"/>
  <c r="E1302" i="7"/>
  <c r="D1302" i="7"/>
  <c r="E1301" i="7"/>
  <c r="D1301" i="7"/>
  <c r="E1300" i="7"/>
  <c r="D1300" i="7"/>
  <c r="E1299" i="7"/>
  <c r="D1299" i="7"/>
  <c r="E1298" i="7"/>
  <c r="D1298" i="7"/>
  <c r="E1297" i="7"/>
  <c r="D1297" i="7"/>
  <c r="E1296" i="7"/>
  <c r="D1296" i="7"/>
  <c r="E1295" i="7"/>
  <c r="D1295" i="7"/>
  <c r="E1294" i="7"/>
  <c r="D1294" i="7"/>
  <c r="E1293" i="7"/>
  <c r="D1293" i="7"/>
  <c r="E1292" i="7"/>
  <c r="D1292" i="7"/>
  <c r="E1291" i="7"/>
  <c r="D1291" i="7"/>
  <c r="E1290" i="7"/>
  <c r="D1290" i="7"/>
  <c r="E1289" i="7"/>
  <c r="D1289" i="7"/>
  <c r="E1288" i="7"/>
  <c r="D1288" i="7"/>
  <c r="E1287" i="7"/>
  <c r="D1287" i="7"/>
  <c r="E1286" i="7"/>
  <c r="D1286" i="7"/>
  <c r="E1285" i="7"/>
  <c r="D1285" i="7"/>
  <c r="E1284" i="7"/>
  <c r="D1284" i="7"/>
  <c r="E1283" i="7"/>
  <c r="D1283" i="7"/>
  <c r="E1282" i="7"/>
  <c r="D1282" i="7"/>
  <c r="E1281" i="7"/>
  <c r="D1281" i="7"/>
  <c r="E1280" i="7"/>
  <c r="D1280" i="7"/>
  <c r="E1279" i="7"/>
  <c r="D1279" i="7"/>
  <c r="E1278" i="7"/>
  <c r="D1278" i="7"/>
  <c r="E1277" i="7"/>
  <c r="D1277" i="7"/>
  <c r="E1276" i="7"/>
  <c r="D1276" i="7"/>
  <c r="E1275" i="7"/>
  <c r="D1275" i="7"/>
  <c r="E1274" i="7"/>
  <c r="D1274" i="7"/>
  <c r="E1273" i="7"/>
  <c r="D1273" i="7"/>
  <c r="E1272" i="7"/>
  <c r="D1272" i="7"/>
  <c r="E1271" i="7"/>
  <c r="D1271" i="7"/>
  <c r="E1270" i="7"/>
  <c r="D1270" i="7"/>
  <c r="E1269" i="7"/>
  <c r="D1269" i="7"/>
  <c r="E1268" i="7"/>
  <c r="D1268" i="7"/>
  <c r="E1267" i="7"/>
  <c r="D1267" i="7"/>
  <c r="E1266" i="7"/>
  <c r="D1266" i="7"/>
  <c r="E1265" i="7"/>
  <c r="D1265" i="7"/>
  <c r="E1264" i="7"/>
  <c r="D1264" i="7"/>
  <c r="E1263" i="7"/>
  <c r="D1263" i="7"/>
  <c r="E1262" i="7"/>
  <c r="D1262" i="7"/>
  <c r="E1261" i="7"/>
  <c r="D1261" i="7"/>
  <c r="E1260" i="7"/>
  <c r="D1260" i="7"/>
  <c r="E1259" i="7"/>
  <c r="D1259" i="7"/>
  <c r="E1258" i="7"/>
  <c r="D1258" i="7"/>
  <c r="E1257" i="7"/>
  <c r="D1257" i="7"/>
  <c r="E1256" i="7"/>
  <c r="D1256" i="7"/>
  <c r="E1255" i="7"/>
  <c r="D1255" i="7"/>
  <c r="E1254" i="7"/>
  <c r="D1254" i="7"/>
  <c r="E1253" i="7"/>
  <c r="D1253" i="7"/>
  <c r="E1252" i="7"/>
  <c r="D1252" i="7"/>
  <c r="E1251" i="7"/>
  <c r="D1251" i="7"/>
  <c r="E1250" i="7"/>
  <c r="D1250" i="7"/>
  <c r="E1249" i="7"/>
  <c r="D1249" i="7"/>
  <c r="E1248" i="7"/>
  <c r="D1248" i="7"/>
  <c r="E1247" i="7"/>
  <c r="D1247" i="7"/>
  <c r="E1246" i="7"/>
  <c r="D1246" i="7"/>
  <c r="E1245" i="7"/>
  <c r="D1245" i="7"/>
  <c r="E1244" i="7"/>
  <c r="D1244" i="7"/>
  <c r="E1243" i="7"/>
  <c r="D1243" i="7"/>
  <c r="E1242" i="7"/>
  <c r="D1242" i="7"/>
  <c r="E1241" i="7"/>
  <c r="D1241" i="7"/>
  <c r="E1240" i="7"/>
  <c r="D1240" i="7"/>
  <c r="E1239" i="7"/>
  <c r="D1239" i="7"/>
  <c r="E1238" i="7"/>
  <c r="D1238" i="7"/>
  <c r="E1237" i="7"/>
  <c r="D1237" i="7"/>
  <c r="E1236" i="7"/>
  <c r="D1236" i="7"/>
  <c r="E1235" i="7"/>
  <c r="D1235" i="7"/>
  <c r="E1234" i="7"/>
  <c r="D1234" i="7"/>
  <c r="E1233" i="7"/>
  <c r="D1233" i="7"/>
  <c r="E1232" i="7"/>
  <c r="D1232" i="7"/>
  <c r="E1231" i="7"/>
  <c r="D1231" i="7"/>
  <c r="E1230" i="7"/>
  <c r="D1230" i="7"/>
  <c r="E1229" i="7"/>
  <c r="D1229" i="7"/>
  <c r="E1228" i="7"/>
  <c r="D1228" i="7"/>
  <c r="E1227" i="7"/>
  <c r="D1227" i="7"/>
  <c r="E1226" i="7"/>
  <c r="D1226" i="7"/>
  <c r="E1225" i="7"/>
  <c r="D1225" i="7"/>
  <c r="E1224" i="7"/>
  <c r="D1224" i="7"/>
  <c r="E1223" i="7"/>
  <c r="D1223" i="7"/>
  <c r="E1222" i="7"/>
  <c r="D1222" i="7"/>
  <c r="E1221" i="7"/>
  <c r="D1221" i="7"/>
  <c r="E1220" i="7"/>
  <c r="D1220" i="7"/>
  <c r="E1219" i="7"/>
  <c r="D1219" i="7"/>
  <c r="E1218" i="7"/>
  <c r="D1218" i="7"/>
  <c r="E1217" i="7"/>
  <c r="D1217" i="7"/>
  <c r="E1216" i="7"/>
  <c r="D1216" i="7"/>
  <c r="E1215" i="7"/>
  <c r="D1215" i="7"/>
  <c r="E1214" i="7"/>
  <c r="D1214" i="7"/>
  <c r="E1213" i="7"/>
  <c r="D1213" i="7"/>
  <c r="E1212" i="7"/>
  <c r="D1212" i="7"/>
  <c r="E1211" i="7"/>
  <c r="D1211" i="7"/>
  <c r="E1210" i="7"/>
  <c r="D1210" i="7"/>
  <c r="E1209" i="7"/>
  <c r="D1209" i="7"/>
  <c r="E1208" i="7"/>
  <c r="D1208" i="7"/>
  <c r="E1207" i="7"/>
  <c r="D1207" i="7"/>
  <c r="E1206" i="7"/>
  <c r="D1206" i="7"/>
  <c r="E1205" i="7"/>
  <c r="D1205" i="7"/>
  <c r="E1204" i="7"/>
  <c r="D1204" i="7"/>
  <c r="E1203" i="7"/>
  <c r="D1203" i="7"/>
  <c r="E1202" i="7"/>
  <c r="D1202" i="7"/>
  <c r="E1201" i="7"/>
  <c r="D1201" i="7"/>
  <c r="E1200" i="7"/>
  <c r="D1200" i="7"/>
  <c r="E1199" i="7"/>
  <c r="D1199" i="7"/>
  <c r="E1198" i="7"/>
  <c r="D1198" i="7"/>
  <c r="E1197" i="7"/>
  <c r="D1197" i="7"/>
  <c r="E1196" i="7"/>
  <c r="D1196" i="7"/>
  <c r="E1195" i="7"/>
  <c r="D1195" i="7"/>
  <c r="E1194" i="7"/>
  <c r="D1194" i="7"/>
  <c r="E1193" i="7"/>
  <c r="D1193" i="7"/>
  <c r="E1192" i="7"/>
  <c r="D1192" i="7"/>
  <c r="E1191" i="7"/>
  <c r="D1191" i="7"/>
  <c r="E1190" i="7"/>
  <c r="D1190" i="7"/>
  <c r="E1189" i="7"/>
  <c r="D1189" i="7"/>
  <c r="E1188" i="7"/>
  <c r="D1188" i="7"/>
  <c r="E1187" i="7"/>
  <c r="D1187" i="7"/>
  <c r="E1186" i="7"/>
  <c r="D1186" i="7"/>
  <c r="E1185" i="7"/>
  <c r="D1185" i="7"/>
  <c r="E1184" i="7"/>
  <c r="D1184" i="7"/>
  <c r="E1183" i="7"/>
  <c r="D1183" i="7"/>
  <c r="E1182" i="7"/>
  <c r="D1182" i="7"/>
  <c r="E1181" i="7"/>
  <c r="D1181" i="7"/>
  <c r="E1180" i="7"/>
  <c r="D1180" i="7"/>
  <c r="E1179" i="7"/>
  <c r="D1179" i="7"/>
  <c r="E1178" i="7"/>
  <c r="D1178" i="7"/>
  <c r="E1177" i="7"/>
  <c r="D1177" i="7"/>
  <c r="E1176" i="7"/>
  <c r="D1176" i="7"/>
  <c r="E1175" i="7"/>
  <c r="D1175" i="7"/>
  <c r="E1174" i="7"/>
  <c r="D1174" i="7"/>
  <c r="E1173" i="7"/>
  <c r="D1173" i="7"/>
  <c r="E1172" i="7"/>
  <c r="D1172" i="7"/>
  <c r="E1171" i="7"/>
  <c r="D1171" i="7"/>
  <c r="E1170" i="7"/>
  <c r="D1170" i="7"/>
  <c r="E1169" i="7"/>
  <c r="D1169" i="7"/>
  <c r="E1168" i="7"/>
  <c r="D1168" i="7"/>
  <c r="E1167" i="7"/>
  <c r="D1167" i="7"/>
  <c r="E1166" i="7"/>
  <c r="D1166" i="7"/>
  <c r="E1165" i="7"/>
  <c r="D1165" i="7"/>
  <c r="E1164" i="7"/>
  <c r="D1164" i="7"/>
  <c r="E1163" i="7"/>
  <c r="D1163" i="7"/>
  <c r="E1162" i="7"/>
  <c r="D1162" i="7"/>
  <c r="E1161" i="7"/>
  <c r="D1161" i="7"/>
  <c r="E1160" i="7"/>
  <c r="D1160" i="7"/>
  <c r="E1159" i="7"/>
  <c r="D1159" i="7"/>
  <c r="E1158" i="7"/>
  <c r="D1158" i="7"/>
  <c r="E1157" i="7"/>
  <c r="D1157" i="7"/>
  <c r="E1156" i="7"/>
  <c r="D1156" i="7"/>
  <c r="E1155" i="7"/>
  <c r="D1155" i="7"/>
  <c r="E1154" i="7"/>
  <c r="D1154" i="7"/>
  <c r="E1153" i="7"/>
  <c r="D1153" i="7"/>
  <c r="E1152" i="7"/>
  <c r="D1152" i="7"/>
  <c r="E1151" i="7"/>
  <c r="D1151" i="7"/>
  <c r="E1150" i="7"/>
  <c r="D1150" i="7"/>
  <c r="E1149" i="7"/>
  <c r="D1149" i="7"/>
  <c r="E1148" i="7"/>
  <c r="D1148" i="7"/>
  <c r="E1147" i="7"/>
  <c r="D1147" i="7"/>
  <c r="E1146" i="7"/>
  <c r="D1146" i="7"/>
  <c r="E1145" i="7"/>
  <c r="D1145" i="7"/>
  <c r="E1144" i="7"/>
  <c r="D1144" i="7"/>
  <c r="E1143" i="7"/>
  <c r="D1143" i="7"/>
  <c r="E1142" i="7"/>
  <c r="D1142" i="7"/>
  <c r="E1141" i="7"/>
  <c r="D1141" i="7"/>
  <c r="E1140" i="7"/>
  <c r="D1140" i="7"/>
  <c r="E1139" i="7"/>
  <c r="D1139" i="7"/>
  <c r="E1138" i="7"/>
  <c r="D1138" i="7"/>
  <c r="E1137" i="7"/>
  <c r="D1137" i="7"/>
  <c r="E1136" i="7"/>
  <c r="D1136" i="7"/>
  <c r="E1135" i="7"/>
  <c r="D1135" i="7"/>
  <c r="E1134" i="7"/>
  <c r="D1134" i="7"/>
  <c r="E1133" i="7"/>
  <c r="D1133" i="7"/>
  <c r="E1132" i="7"/>
  <c r="D1132" i="7"/>
  <c r="E1131" i="7"/>
  <c r="D1131" i="7"/>
  <c r="E1130" i="7"/>
  <c r="D1130" i="7"/>
  <c r="E1129" i="7"/>
  <c r="D1129" i="7"/>
  <c r="E1128" i="7"/>
  <c r="D1128" i="7"/>
  <c r="E1127" i="7"/>
  <c r="D1127" i="7"/>
  <c r="E1126" i="7"/>
  <c r="D1126" i="7"/>
  <c r="E1125" i="7"/>
  <c r="D1125" i="7"/>
  <c r="E1124" i="7"/>
  <c r="D1124" i="7"/>
  <c r="E1123" i="7"/>
  <c r="D1123" i="7"/>
  <c r="E1122" i="7"/>
  <c r="D1122" i="7"/>
  <c r="E1121" i="7"/>
  <c r="D1121" i="7"/>
  <c r="E1120" i="7"/>
  <c r="D1120" i="7"/>
  <c r="E1119" i="7"/>
  <c r="D1119" i="7"/>
  <c r="E1118" i="7"/>
  <c r="D1118" i="7"/>
  <c r="E1117" i="7"/>
  <c r="D1117" i="7"/>
  <c r="E1116" i="7"/>
  <c r="D1116" i="7"/>
  <c r="E1115" i="7"/>
  <c r="D1115" i="7"/>
  <c r="E1114" i="7"/>
  <c r="D1114" i="7"/>
  <c r="E1113" i="7"/>
  <c r="D1113" i="7"/>
  <c r="E1112" i="7"/>
  <c r="D1112" i="7"/>
  <c r="E1111" i="7"/>
  <c r="D1111" i="7"/>
  <c r="E1110" i="7"/>
  <c r="D1110" i="7"/>
  <c r="E1109" i="7"/>
  <c r="D1109" i="7"/>
  <c r="E1108" i="7"/>
  <c r="D1108" i="7"/>
  <c r="E1107" i="7"/>
  <c r="D1107" i="7"/>
  <c r="E1106" i="7"/>
  <c r="D1106" i="7"/>
  <c r="E1105" i="7"/>
  <c r="D1105" i="7"/>
  <c r="E1104" i="7"/>
  <c r="D1104" i="7"/>
  <c r="E1103" i="7"/>
  <c r="D1103" i="7"/>
  <c r="E1102" i="7"/>
  <c r="D1102" i="7"/>
  <c r="E1101" i="7"/>
  <c r="D1101" i="7"/>
  <c r="E1100" i="7"/>
  <c r="D1100" i="7"/>
  <c r="E1099" i="7"/>
  <c r="D1099" i="7"/>
  <c r="E1098" i="7"/>
  <c r="D1098" i="7"/>
  <c r="E1097" i="7"/>
  <c r="D1097" i="7"/>
  <c r="E1096" i="7"/>
  <c r="D1096" i="7"/>
  <c r="E1095" i="7"/>
  <c r="D1095" i="7"/>
  <c r="E1094" i="7"/>
  <c r="D1094" i="7"/>
  <c r="E1093" i="7"/>
  <c r="D1093" i="7"/>
  <c r="E1092" i="7"/>
  <c r="D1092" i="7"/>
  <c r="E1091" i="7"/>
  <c r="D1091" i="7"/>
  <c r="E1090" i="7"/>
  <c r="D1090" i="7"/>
  <c r="E1089" i="7"/>
  <c r="D1089" i="7"/>
  <c r="E1088" i="7"/>
  <c r="D1088" i="7"/>
  <c r="E1087" i="7"/>
  <c r="D1087" i="7"/>
  <c r="E1086" i="7"/>
  <c r="D1086" i="7"/>
  <c r="E1085" i="7"/>
  <c r="D1085" i="7"/>
  <c r="E1084" i="7"/>
  <c r="D1084" i="7"/>
  <c r="E1083" i="7"/>
  <c r="D1083" i="7"/>
  <c r="E1082" i="7"/>
  <c r="D1082" i="7"/>
  <c r="E1081" i="7"/>
  <c r="D1081" i="7"/>
  <c r="E1080" i="7"/>
  <c r="D1080" i="7"/>
  <c r="E1079" i="7"/>
  <c r="D1079" i="7"/>
  <c r="E1078" i="7"/>
  <c r="D1078" i="7"/>
  <c r="E1077" i="7"/>
  <c r="D1077" i="7"/>
  <c r="E1076" i="7"/>
  <c r="D1076" i="7"/>
  <c r="E1075" i="7"/>
  <c r="D1075" i="7"/>
  <c r="E1074" i="7"/>
  <c r="D1074" i="7"/>
  <c r="E1073" i="7"/>
  <c r="D1073" i="7"/>
  <c r="E1072" i="7"/>
  <c r="D1072" i="7"/>
  <c r="E1071" i="7"/>
  <c r="D1071" i="7"/>
  <c r="E1070" i="7"/>
  <c r="D1070" i="7"/>
  <c r="E1069" i="7"/>
  <c r="D1069" i="7"/>
  <c r="E1068" i="7"/>
  <c r="D1068" i="7"/>
  <c r="E1067" i="7"/>
  <c r="D1067" i="7"/>
  <c r="E1066" i="7"/>
  <c r="D1066" i="7"/>
  <c r="E1065" i="7"/>
  <c r="D1065" i="7"/>
  <c r="E1064" i="7"/>
  <c r="D1064" i="7"/>
  <c r="E1063" i="7"/>
  <c r="D1063" i="7"/>
  <c r="E1062" i="7"/>
  <c r="D1062" i="7"/>
  <c r="E1061" i="7"/>
  <c r="D1061" i="7"/>
  <c r="E1060" i="7"/>
  <c r="D1060" i="7"/>
  <c r="E1059" i="7"/>
  <c r="D1059" i="7"/>
  <c r="E1058" i="7"/>
  <c r="D1058" i="7"/>
  <c r="E1057" i="7"/>
  <c r="D1057" i="7"/>
  <c r="E1056" i="7"/>
  <c r="D1056" i="7"/>
  <c r="E1055" i="7"/>
  <c r="D1055" i="7"/>
  <c r="E1054" i="7"/>
  <c r="D1054" i="7"/>
  <c r="E1053" i="7"/>
  <c r="D1053" i="7"/>
  <c r="E1052" i="7"/>
  <c r="D1052" i="7"/>
  <c r="E1051" i="7"/>
  <c r="D1051" i="7"/>
  <c r="E1050" i="7"/>
  <c r="D1050" i="7"/>
  <c r="E1049" i="7"/>
  <c r="D1049" i="7"/>
  <c r="E1048" i="7"/>
  <c r="D1048" i="7"/>
  <c r="E1047" i="7"/>
  <c r="D1047" i="7"/>
  <c r="E1046" i="7"/>
  <c r="D1046" i="7"/>
  <c r="E1045" i="7"/>
  <c r="D1045" i="7"/>
  <c r="E1044" i="7"/>
  <c r="D1044" i="7"/>
  <c r="E1043" i="7"/>
  <c r="D1043" i="7"/>
  <c r="E1042" i="7"/>
  <c r="D1042" i="7"/>
  <c r="E1041" i="7"/>
  <c r="D1041" i="7"/>
  <c r="E1040" i="7"/>
  <c r="D1040" i="7"/>
  <c r="E1039" i="7"/>
  <c r="D1039" i="7"/>
  <c r="E1038" i="7"/>
  <c r="D1038" i="7"/>
  <c r="E1037" i="7"/>
  <c r="D1037" i="7"/>
  <c r="E1036" i="7"/>
  <c r="D1036" i="7"/>
  <c r="E1035" i="7"/>
  <c r="D1035" i="7"/>
  <c r="E1034" i="7"/>
  <c r="D1034" i="7"/>
  <c r="E1033" i="7"/>
  <c r="D1033" i="7"/>
  <c r="E1032" i="7"/>
  <c r="D1032" i="7"/>
  <c r="E1031" i="7"/>
  <c r="D1031" i="7"/>
  <c r="E1030" i="7"/>
  <c r="D1030" i="7"/>
  <c r="E1029" i="7"/>
  <c r="D1029" i="7"/>
  <c r="E1028" i="7"/>
  <c r="D1028" i="7"/>
  <c r="E1027" i="7"/>
  <c r="D1027" i="7"/>
  <c r="E1026" i="7"/>
  <c r="D1026" i="7"/>
  <c r="E1025" i="7"/>
  <c r="D1025" i="7"/>
  <c r="E1024" i="7"/>
  <c r="D1024" i="7"/>
  <c r="E1023" i="7"/>
  <c r="D1023" i="7"/>
  <c r="E1022" i="7"/>
  <c r="D1022" i="7"/>
  <c r="E1021" i="7"/>
  <c r="D1021" i="7"/>
  <c r="E1020" i="7"/>
  <c r="D1020" i="7"/>
  <c r="E1019" i="7"/>
  <c r="D1019" i="7"/>
  <c r="E1018" i="7"/>
  <c r="D1018" i="7"/>
  <c r="E1017" i="7"/>
  <c r="D1017" i="7"/>
  <c r="E1016" i="7"/>
  <c r="D1016" i="7"/>
  <c r="E1015" i="7"/>
  <c r="D1015" i="7"/>
  <c r="E1014" i="7"/>
  <c r="D1014" i="7"/>
  <c r="E1013" i="7"/>
  <c r="D1013" i="7"/>
  <c r="E1012" i="7"/>
  <c r="D1012" i="7"/>
  <c r="E1011" i="7"/>
  <c r="D1011" i="7"/>
  <c r="E1010" i="7"/>
  <c r="D1010" i="7"/>
  <c r="E1009" i="7"/>
  <c r="D1009" i="7"/>
  <c r="E1008" i="7"/>
  <c r="D1008" i="7"/>
  <c r="E1007" i="7"/>
  <c r="D1007" i="7"/>
  <c r="E1006" i="7"/>
  <c r="D1006" i="7"/>
  <c r="E1005" i="7"/>
  <c r="D1005" i="7"/>
  <c r="E1004" i="7"/>
  <c r="D1004" i="7"/>
  <c r="E1003" i="7"/>
  <c r="D1003" i="7"/>
  <c r="E1002" i="7"/>
  <c r="D1002" i="7"/>
  <c r="E1001" i="7"/>
  <c r="D1001" i="7"/>
  <c r="E1000" i="7"/>
  <c r="D1000" i="7"/>
  <c r="E999" i="7"/>
  <c r="D999" i="7"/>
  <c r="E998" i="7"/>
  <c r="D998" i="7"/>
  <c r="E997" i="7"/>
  <c r="D997" i="7"/>
  <c r="E996" i="7"/>
  <c r="D996" i="7"/>
  <c r="E995" i="7"/>
  <c r="D995" i="7"/>
  <c r="E994" i="7"/>
  <c r="D994" i="7"/>
  <c r="E993" i="7"/>
  <c r="D993" i="7"/>
  <c r="E992" i="7"/>
  <c r="D992" i="7"/>
  <c r="E991" i="7"/>
  <c r="D991" i="7"/>
  <c r="E990" i="7"/>
  <c r="D990" i="7"/>
  <c r="E989" i="7"/>
  <c r="D989" i="7"/>
  <c r="E988" i="7"/>
  <c r="D988" i="7"/>
  <c r="E987" i="7"/>
  <c r="D987" i="7"/>
  <c r="E986" i="7"/>
  <c r="D986" i="7"/>
  <c r="E985" i="7"/>
  <c r="D985" i="7"/>
  <c r="E984" i="7"/>
  <c r="D984" i="7"/>
  <c r="E983" i="7"/>
  <c r="D983" i="7"/>
  <c r="E982" i="7"/>
  <c r="D982" i="7"/>
  <c r="E981" i="7"/>
  <c r="D981" i="7"/>
  <c r="E980" i="7"/>
  <c r="D980" i="7"/>
  <c r="E979" i="7"/>
  <c r="D979" i="7"/>
  <c r="E978" i="7"/>
  <c r="D978" i="7"/>
  <c r="E977" i="7"/>
  <c r="D977" i="7"/>
  <c r="E976" i="7"/>
  <c r="D976" i="7"/>
  <c r="E975" i="7"/>
  <c r="D975" i="7"/>
  <c r="E974" i="7"/>
  <c r="D974" i="7"/>
  <c r="E973" i="7"/>
  <c r="D973" i="7"/>
  <c r="E972" i="7"/>
  <c r="D972" i="7"/>
  <c r="E971" i="7"/>
  <c r="D971" i="7"/>
  <c r="E970" i="7"/>
  <c r="D970" i="7"/>
  <c r="E969" i="7"/>
  <c r="D969" i="7"/>
  <c r="E968" i="7"/>
  <c r="D968" i="7"/>
  <c r="E967" i="7"/>
  <c r="D967" i="7"/>
  <c r="E966" i="7"/>
  <c r="D966" i="7"/>
  <c r="E965" i="7"/>
  <c r="D965" i="7"/>
  <c r="E964" i="7"/>
  <c r="D964" i="7"/>
  <c r="E963" i="7"/>
  <c r="D963" i="7"/>
  <c r="E962" i="7"/>
  <c r="D962" i="7"/>
  <c r="E961" i="7"/>
  <c r="D961" i="7"/>
  <c r="E960" i="7"/>
  <c r="D960" i="7"/>
  <c r="E959" i="7"/>
  <c r="D959" i="7"/>
  <c r="E958" i="7"/>
  <c r="D958" i="7"/>
  <c r="E957" i="7"/>
  <c r="D957" i="7"/>
  <c r="E956" i="7"/>
  <c r="D956" i="7"/>
  <c r="E955" i="7"/>
  <c r="D955" i="7"/>
  <c r="E954" i="7"/>
  <c r="D954" i="7"/>
  <c r="E953" i="7"/>
  <c r="D953" i="7"/>
  <c r="E952" i="7"/>
  <c r="D952" i="7"/>
  <c r="E951" i="7"/>
  <c r="D951" i="7"/>
  <c r="E950" i="7"/>
  <c r="D950" i="7"/>
  <c r="E949" i="7"/>
  <c r="D949" i="7"/>
  <c r="E948" i="7"/>
  <c r="D948" i="7"/>
  <c r="E947" i="7"/>
  <c r="D947" i="7"/>
  <c r="E946" i="7"/>
  <c r="D946" i="7"/>
  <c r="E945" i="7"/>
  <c r="D945" i="7"/>
  <c r="E944" i="7"/>
  <c r="D944" i="7"/>
  <c r="E943" i="7"/>
  <c r="D943" i="7"/>
  <c r="E942" i="7"/>
  <c r="D942" i="7"/>
  <c r="E941" i="7"/>
  <c r="D941" i="7"/>
  <c r="E940" i="7"/>
  <c r="D940" i="7"/>
  <c r="E939" i="7"/>
  <c r="D939" i="7"/>
  <c r="E938" i="7"/>
  <c r="D938" i="7"/>
  <c r="E937" i="7"/>
  <c r="D937" i="7"/>
  <c r="E936" i="7"/>
  <c r="D936" i="7"/>
  <c r="E935" i="7"/>
  <c r="D935" i="7"/>
  <c r="E934" i="7"/>
  <c r="D934" i="7"/>
  <c r="E933" i="7"/>
  <c r="D933" i="7"/>
  <c r="E932" i="7"/>
  <c r="D932" i="7"/>
  <c r="E931" i="7"/>
  <c r="D931" i="7"/>
  <c r="E930" i="7"/>
  <c r="D930" i="7"/>
  <c r="E929" i="7"/>
  <c r="D929" i="7"/>
  <c r="E928" i="7"/>
  <c r="D928" i="7"/>
  <c r="E927" i="7"/>
  <c r="D927" i="7"/>
  <c r="E926" i="7"/>
  <c r="D926" i="7"/>
  <c r="E925" i="7"/>
  <c r="D925" i="7"/>
  <c r="E924" i="7"/>
  <c r="D924" i="7"/>
  <c r="E923" i="7"/>
  <c r="D923" i="7"/>
  <c r="E922" i="7"/>
  <c r="D922" i="7"/>
  <c r="E921" i="7"/>
  <c r="D921" i="7"/>
  <c r="E920" i="7"/>
  <c r="D920" i="7"/>
  <c r="E919" i="7"/>
  <c r="D919" i="7"/>
  <c r="E918" i="7"/>
  <c r="D918" i="7"/>
  <c r="E917" i="7"/>
  <c r="D917" i="7"/>
  <c r="E916" i="7"/>
  <c r="D916" i="7"/>
  <c r="E915" i="7"/>
  <c r="D915" i="7"/>
  <c r="E914" i="7"/>
  <c r="D914" i="7"/>
  <c r="E913" i="7"/>
  <c r="D913" i="7"/>
  <c r="E912" i="7"/>
  <c r="D912" i="7"/>
  <c r="E911" i="7"/>
  <c r="D911" i="7"/>
  <c r="E910" i="7"/>
  <c r="D910" i="7"/>
  <c r="E909" i="7"/>
  <c r="D909" i="7"/>
  <c r="E908" i="7"/>
  <c r="D908" i="7"/>
  <c r="E907" i="7"/>
  <c r="D907" i="7"/>
  <c r="E906" i="7"/>
  <c r="D906" i="7"/>
  <c r="E905" i="7"/>
  <c r="D905" i="7"/>
  <c r="E904" i="7"/>
  <c r="D904" i="7"/>
  <c r="E903" i="7"/>
  <c r="D903" i="7"/>
  <c r="E902" i="7"/>
  <c r="D902" i="7"/>
  <c r="E901" i="7"/>
  <c r="D901" i="7"/>
  <c r="E900" i="7"/>
  <c r="D900" i="7"/>
  <c r="E899" i="7"/>
  <c r="D899" i="7"/>
  <c r="E898" i="7"/>
  <c r="D898" i="7"/>
  <c r="E897" i="7"/>
  <c r="D897" i="7"/>
  <c r="E896" i="7"/>
  <c r="D896" i="7"/>
  <c r="E895" i="7"/>
  <c r="D895" i="7"/>
  <c r="E894" i="7"/>
  <c r="D894" i="7"/>
  <c r="E893" i="7"/>
  <c r="D893" i="7"/>
  <c r="E892" i="7"/>
  <c r="D892" i="7"/>
  <c r="E891" i="7"/>
  <c r="D891" i="7"/>
  <c r="E890" i="7"/>
  <c r="D890" i="7"/>
  <c r="E889" i="7"/>
  <c r="D889" i="7"/>
  <c r="E888" i="7"/>
  <c r="D888" i="7"/>
  <c r="E887" i="7"/>
  <c r="D887" i="7"/>
  <c r="E886" i="7"/>
  <c r="D886" i="7"/>
  <c r="E885" i="7"/>
  <c r="D885" i="7"/>
  <c r="E884" i="7"/>
  <c r="D884" i="7"/>
  <c r="E883" i="7"/>
  <c r="D883" i="7"/>
  <c r="E882" i="7"/>
  <c r="D882" i="7"/>
  <c r="E881" i="7"/>
  <c r="D881" i="7"/>
  <c r="E880" i="7"/>
  <c r="D880" i="7"/>
  <c r="E879" i="7"/>
  <c r="D879" i="7"/>
  <c r="E878" i="7"/>
  <c r="D878" i="7"/>
  <c r="E877" i="7"/>
  <c r="D877" i="7"/>
  <c r="E876" i="7"/>
  <c r="D876" i="7"/>
  <c r="E875" i="7"/>
  <c r="D875" i="7"/>
  <c r="E874" i="7"/>
  <c r="D874" i="7"/>
  <c r="E873" i="7"/>
  <c r="D873" i="7"/>
  <c r="E872" i="7"/>
  <c r="D872" i="7"/>
  <c r="E871" i="7"/>
  <c r="D871" i="7"/>
  <c r="E870" i="7"/>
  <c r="D870" i="7"/>
  <c r="E869" i="7"/>
  <c r="D869" i="7"/>
  <c r="E868" i="7"/>
  <c r="D868" i="7"/>
  <c r="E867" i="7"/>
  <c r="D867" i="7"/>
  <c r="E866" i="7"/>
  <c r="D866" i="7"/>
  <c r="E865" i="7"/>
  <c r="D865" i="7"/>
  <c r="E864" i="7"/>
  <c r="D864" i="7"/>
  <c r="E863" i="7"/>
  <c r="D863" i="7"/>
  <c r="E862" i="7"/>
  <c r="D862" i="7"/>
  <c r="E861" i="7"/>
  <c r="D861" i="7"/>
  <c r="E860" i="7"/>
  <c r="D860" i="7"/>
  <c r="E859" i="7"/>
  <c r="D859" i="7"/>
  <c r="E858" i="7"/>
  <c r="D858" i="7"/>
  <c r="E857" i="7"/>
  <c r="D857" i="7"/>
  <c r="E856" i="7"/>
  <c r="D856" i="7"/>
  <c r="E855" i="7"/>
  <c r="D855" i="7"/>
  <c r="E854" i="7"/>
  <c r="D854" i="7"/>
  <c r="E853" i="7"/>
  <c r="D853" i="7"/>
  <c r="E852" i="7"/>
  <c r="D852" i="7"/>
  <c r="E851" i="7"/>
  <c r="D851" i="7"/>
  <c r="E850" i="7"/>
  <c r="D850" i="7"/>
  <c r="E849" i="7"/>
  <c r="D849" i="7"/>
  <c r="E848" i="7"/>
  <c r="D848" i="7"/>
  <c r="E847" i="7"/>
  <c r="D847" i="7"/>
  <c r="E846" i="7"/>
  <c r="D846" i="7"/>
  <c r="E845" i="7"/>
  <c r="D845" i="7"/>
  <c r="E844" i="7"/>
  <c r="D844" i="7"/>
  <c r="E843" i="7"/>
  <c r="D843" i="7"/>
  <c r="E842" i="7"/>
  <c r="D842" i="7"/>
  <c r="E841" i="7"/>
  <c r="D841" i="7"/>
  <c r="E840" i="7"/>
  <c r="D840" i="7"/>
  <c r="E839" i="7"/>
  <c r="D839" i="7"/>
  <c r="E838" i="7"/>
  <c r="D838" i="7"/>
  <c r="E837" i="7"/>
  <c r="D837" i="7"/>
  <c r="E836" i="7"/>
  <c r="D836" i="7"/>
  <c r="E835" i="7"/>
  <c r="D835" i="7"/>
  <c r="E834" i="7"/>
  <c r="D834" i="7"/>
  <c r="E833" i="7"/>
  <c r="D833" i="7"/>
  <c r="E832" i="7"/>
  <c r="D832" i="7"/>
  <c r="E831" i="7"/>
  <c r="D831" i="7"/>
  <c r="E830" i="7"/>
  <c r="D830" i="7"/>
  <c r="E829" i="7"/>
  <c r="D829" i="7"/>
  <c r="E828" i="7"/>
  <c r="D828" i="7"/>
  <c r="E827" i="7"/>
  <c r="D827" i="7"/>
  <c r="E826" i="7"/>
  <c r="D826" i="7"/>
  <c r="E825" i="7"/>
  <c r="D825" i="7"/>
  <c r="E824" i="7"/>
  <c r="D824" i="7"/>
  <c r="E823" i="7"/>
  <c r="D823" i="7"/>
  <c r="E822" i="7"/>
  <c r="D822" i="7"/>
  <c r="E821" i="7"/>
  <c r="D821" i="7"/>
  <c r="E820" i="7"/>
  <c r="D820" i="7"/>
  <c r="E819" i="7"/>
  <c r="D819" i="7"/>
  <c r="E818" i="7"/>
  <c r="D818" i="7"/>
  <c r="E817" i="7"/>
  <c r="D817" i="7"/>
  <c r="E816" i="7"/>
  <c r="D816" i="7"/>
  <c r="E815" i="7"/>
  <c r="D815" i="7"/>
  <c r="E814" i="7"/>
  <c r="D814" i="7"/>
  <c r="E813" i="7"/>
  <c r="D813" i="7"/>
  <c r="E812" i="7"/>
  <c r="D812" i="7"/>
  <c r="E811" i="7"/>
  <c r="D811" i="7"/>
  <c r="E810" i="7"/>
  <c r="D810" i="7"/>
  <c r="E809" i="7"/>
  <c r="D809" i="7"/>
  <c r="E808" i="7"/>
  <c r="D808" i="7"/>
  <c r="E807" i="7"/>
  <c r="D807" i="7"/>
  <c r="E806" i="7"/>
  <c r="D806" i="7"/>
  <c r="E805" i="7"/>
  <c r="D805" i="7"/>
  <c r="E804" i="7"/>
  <c r="D804" i="7"/>
  <c r="E803" i="7"/>
  <c r="D803" i="7"/>
  <c r="E802" i="7"/>
  <c r="D802" i="7"/>
  <c r="E801" i="7"/>
  <c r="D801" i="7"/>
  <c r="E800" i="7"/>
  <c r="D800" i="7"/>
  <c r="E799" i="7"/>
  <c r="D799" i="7"/>
  <c r="E798" i="7"/>
  <c r="D798" i="7"/>
  <c r="E797" i="7"/>
  <c r="D797" i="7"/>
  <c r="E796" i="7"/>
  <c r="D796" i="7"/>
  <c r="E795" i="7"/>
  <c r="D795" i="7"/>
  <c r="E794" i="7"/>
  <c r="D794" i="7"/>
  <c r="E793" i="7"/>
  <c r="D793" i="7"/>
  <c r="E792" i="7"/>
  <c r="D792" i="7"/>
  <c r="E791" i="7"/>
  <c r="D791" i="7"/>
  <c r="E790" i="7"/>
  <c r="D790" i="7"/>
  <c r="E789" i="7"/>
  <c r="D789" i="7"/>
  <c r="E788" i="7"/>
  <c r="D788" i="7"/>
  <c r="E787" i="7"/>
  <c r="D787" i="7"/>
  <c r="E786" i="7"/>
  <c r="D786" i="7"/>
  <c r="E785" i="7"/>
  <c r="D785" i="7"/>
  <c r="E784" i="7"/>
  <c r="D784" i="7"/>
  <c r="E783" i="7"/>
  <c r="D783" i="7"/>
  <c r="E782" i="7"/>
  <c r="D782" i="7"/>
  <c r="E781" i="7"/>
  <c r="D781" i="7"/>
  <c r="E780" i="7"/>
  <c r="D780" i="7"/>
  <c r="E779" i="7"/>
  <c r="D779" i="7"/>
  <c r="E778" i="7"/>
  <c r="D778" i="7"/>
  <c r="E777" i="7"/>
  <c r="D777" i="7"/>
  <c r="E776" i="7"/>
  <c r="D776" i="7"/>
  <c r="E775" i="7"/>
  <c r="D775" i="7"/>
  <c r="E774" i="7"/>
  <c r="D774" i="7"/>
  <c r="E773" i="7"/>
  <c r="D773" i="7"/>
  <c r="E772" i="7"/>
  <c r="D772" i="7"/>
  <c r="E771" i="7"/>
  <c r="D771" i="7"/>
  <c r="E770" i="7"/>
  <c r="D770" i="7"/>
  <c r="E769" i="7"/>
  <c r="D769" i="7"/>
  <c r="E768" i="7"/>
  <c r="D768" i="7"/>
  <c r="E767" i="7"/>
  <c r="D767" i="7"/>
  <c r="E766" i="7"/>
  <c r="D766" i="7"/>
  <c r="E765" i="7"/>
  <c r="D765" i="7"/>
  <c r="E764" i="7"/>
  <c r="D764" i="7"/>
  <c r="E763" i="7"/>
  <c r="D763" i="7"/>
  <c r="E762" i="7"/>
  <c r="D762" i="7"/>
  <c r="E761" i="7"/>
  <c r="D761" i="7"/>
  <c r="E760" i="7"/>
  <c r="D760" i="7"/>
  <c r="E759" i="7"/>
  <c r="D759" i="7"/>
  <c r="E758" i="7"/>
  <c r="D758" i="7"/>
  <c r="E757" i="7"/>
  <c r="D757" i="7"/>
  <c r="E756" i="7"/>
  <c r="D756" i="7"/>
  <c r="E755" i="7"/>
  <c r="D755" i="7"/>
  <c r="E754" i="7"/>
  <c r="D754" i="7"/>
  <c r="E753" i="7"/>
  <c r="D753" i="7"/>
  <c r="E752" i="7"/>
  <c r="D752" i="7"/>
  <c r="E751" i="7"/>
  <c r="D751" i="7"/>
  <c r="E750" i="7"/>
  <c r="D750" i="7"/>
  <c r="E749" i="7"/>
  <c r="D749" i="7"/>
  <c r="E748" i="7"/>
  <c r="D748" i="7"/>
  <c r="E747" i="7"/>
  <c r="D747" i="7"/>
  <c r="E746" i="7"/>
  <c r="D746" i="7"/>
  <c r="E745" i="7"/>
  <c r="D745" i="7"/>
  <c r="E744" i="7"/>
  <c r="D744" i="7"/>
  <c r="E743" i="7"/>
  <c r="D743" i="7"/>
  <c r="E742" i="7"/>
  <c r="D742" i="7"/>
  <c r="E741" i="7"/>
  <c r="D741" i="7"/>
  <c r="E740" i="7"/>
  <c r="D740" i="7"/>
  <c r="E739" i="7"/>
  <c r="D739" i="7"/>
  <c r="E738" i="7"/>
  <c r="D738" i="7"/>
  <c r="E737" i="7"/>
  <c r="D737" i="7"/>
  <c r="E736" i="7"/>
  <c r="D736" i="7"/>
  <c r="E735" i="7"/>
  <c r="D735" i="7"/>
  <c r="E734" i="7"/>
  <c r="D734" i="7"/>
  <c r="E733" i="7"/>
  <c r="D733" i="7"/>
  <c r="E732" i="7"/>
  <c r="D732" i="7"/>
  <c r="E731" i="7"/>
  <c r="D731" i="7"/>
  <c r="E730" i="7"/>
  <c r="D730" i="7"/>
  <c r="E729" i="7"/>
  <c r="D729" i="7"/>
  <c r="E728" i="7"/>
  <c r="D728" i="7"/>
  <c r="E727" i="7"/>
  <c r="D727" i="7"/>
  <c r="E726" i="7"/>
  <c r="D726" i="7"/>
  <c r="E725" i="7"/>
  <c r="D725" i="7"/>
  <c r="E724" i="7"/>
  <c r="D724" i="7"/>
  <c r="E723" i="7"/>
  <c r="D723" i="7"/>
  <c r="E722" i="7"/>
  <c r="D722" i="7"/>
  <c r="E721" i="7"/>
  <c r="D721" i="7"/>
  <c r="E720" i="7"/>
  <c r="D720" i="7"/>
  <c r="E719" i="7"/>
  <c r="D719" i="7"/>
  <c r="E718" i="7"/>
  <c r="D718" i="7"/>
  <c r="E717" i="7"/>
  <c r="D717" i="7"/>
  <c r="E716" i="7"/>
  <c r="D716" i="7"/>
  <c r="E715" i="7"/>
  <c r="D715" i="7"/>
  <c r="E714" i="7"/>
  <c r="D714" i="7"/>
  <c r="E713" i="7"/>
  <c r="D713" i="7"/>
  <c r="E712" i="7"/>
  <c r="D712" i="7"/>
  <c r="E711" i="7"/>
  <c r="D711" i="7"/>
  <c r="E710" i="7"/>
  <c r="D710" i="7"/>
  <c r="E709" i="7"/>
  <c r="D709" i="7"/>
  <c r="E708" i="7"/>
  <c r="D708" i="7"/>
  <c r="E707" i="7"/>
  <c r="D707" i="7"/>
  <c r="E706" i="7"/>
  <c r="D706" i="7"/>
  <c r="E705" i="7"/>
  <c r="D705" i="7"/>
  <c r="E704" i="7"/>
  <c r="D704" i="7"/>
  <c r="E703" i="7"/>
  <c r="D703" i="7"/>
  <c r="E702" i="7"/>
  <c r="D702" i="7"/>
  <c r="E701" i="7"/>
  <c r="D701" i="7"/>
  <c r="E700" i="7"/>
  <c r="D700" i="7"/>
  <c r="E699" i="7"/>
  <c r="D699" i="7"/>
  <c r="E698" i="7"/>
  <c r="D698" i="7"/>
  <c r="E697" i="7"/>
  <c r="D697" i="7"/>
  <c r="E696" i="7"/>
  <c r="D696" i="7"/>
  <c r="E695" i="7"/>
  <c r="D695" i="7"/>
  <c r="E694" i="7"/>
  <c r="D694" i="7"/>
  <c r="E693" i="7"/>
  <c r="D693" i="7"/>
  <c r="E692" i="7"/>
  <c r="D692" i="7"/>
  <c r="E691" i="7"/>
  <c r="D691" i="7"/>
  <c r="E690" i="7"/>
  <c r="D690" i="7"/>
  <c r="E689" i="7"/>
  <c r="D689" i="7"/>
  <c r="E688" i="7"/>
  <c r="D688" i="7"/>
  <c r="E687" i="7"/>
  <c r="D687" i="7"/>
  <c r="E686" i="7"/>
  <c r="D686" i="7"/>
  <c r="E685" i="7"/>
  <c r="D685" i="7"/>
  <c r="E684" i="7"/>
  <c r="D684" i="7"/>
  <c r="E683" i="7"/>
  <c r="D683" i="7"/>
  <c r="E682" i="7"/>
  <c r="D682" i="7"/>
  <c r="E681" i="7"/>
  <c r="D681" i="7"/>
  <c r="E680" i="7"/>
  <c r="D680" i="7"/>
  <c r="E679" i="7"/>
  <c r="D679" i="7"/>
  <c r="E678" i="7"/>
  <c r="D678" i="7"/>
  <c r="E677" i="7"/>
  <c r="D677" i="7"/>
  <c r="E676" i="7"/>
  <c r="D676" i="7"/>
  <c r="E675" i="7"/>
  <c r="D675" i="7"/>
  <c r="E674" i="7"/>
  <c r="D674" i="7"/>
  <c r="E673" i="7"/>
  <c r="D673" i="7"/>
  <c r="E672" i="7"/>
  <c r="D672" i="7"/>
  <c r="E671" i="7"/>
  <c r="D671" i="7"/>
  <c r="E670" i="7"/>
  <c r="D670" i="7"/>
  <c r="E669" i="7"/>
  <c r="D669" i="7"/>
  <c r="E668" i="7"/>
  <c r="D668" i="7"/>
  <c r="E667" i="7"/>
  <c r="D667" i="7"/>
  <c r="E666" i="7"/>
  <c r="D666" i="7"/>
  <c r="E665" i="7"/>
  <c r="D665" i="7"/>
  <c r="E664" i="7"/>
  <c r="D664" i="7"/>
  <c r="E663" i="7"/>
  <c r="D663" i="7"/>
  <c r="E662" i="7"/>
  <c r="D662" i="7"/>
  <c r="E661" i="7"/>
  <c r="D661" i="7"/>
  <c r="E660" i="7"/>
  <c r="D660" i="7"/>
  <c r="E659" i="7"/>
  <c r="D659" i="7"/>
  <c r="E658" i="7"/>
  <c r="D658" i="7"/>
  <c r="E657" i="7"/>
  <c r="D657" i="7"/>
  <c r="E656" i="7"/>
  <c r="D656" i="7"/>
  <c r="E655" i="7"/>
  <c r="D655" i="7"/>
  <c r="E654" i="7"/>
  <c r="D654" i="7"/>
  <c r="E653" i="7"/>
  <c r="D653" i="7"/>
  <c r="E652" i="7"/>
  <c r="D652" i="7"/>
  <c r="E651" i="7"/>
  <c r="D651" i="7"/>
  <c r="E650" i="7"/>
  <c r="D650" i="7"/>
  <c r="E649" i="7"/>
  <c r="D649" i="7"/>
  <c r="E648" i="7"/>
  <c r="D648" i="7"/>
  <c r="E647" i="7"/>
  <c r="D647" i="7"/>
  <c r="E646" i="7"/>
  <c r="D646" i="7"/>
  <c r="E645" i="7"/>
  <c r="D645" i="7"/>
  <c r="E644" i="7"/>
  <c r="D644" i="7"/>
  <c r="E643" i="7"/>
  <c r="D643" i="7"/>
  <c r="E642" i="7"/>
  <c r="D642" i="7"/>
  <c r="E641" i="7"/>
  <c r="D641" i="7"/>
  <c r="E640" i="7"/>
  <c r="D640" i="7"/>
  <c r="E639" i="7"/>
  <c r="D639" i="7"/>
  <c r="E638" i="7"/>
  <c r="D638" i="7"/>
  <c r="E637" i="7"/>
  <c r="D637" i="7"/>
  <c r="E636" i="7"/>
  <c r="D636" i="7"/>
  <c r="E635" i="7"/>
  <c r="D635" i="7"/>
  <c r="E634" i="7"/>
  <c r="D634" i="7"/>
  <c r="E633" i="7"/>
  <c r="D633" i="7"/>
  <c r="E632" i="7"/>
  <c r="D632" i="7"/>
  <c r="E631" i="7"/>
  <c r="D631" i="7"/>
  <c r="E630" i="7"/>
  <c r="D630" i="7"/>
  <c r="E629" i="7"/>
  <c r="D629" i="7"/>
  <c r="E628" i="7"/>
  <c r="D628" i="7"/>
  <c r="E627" i="7"/>
  <c r="D627" i="7"/>
  <c r="E626" i="7"/>
  <c r="D626" i="7"/>
  <c r="E625" i="7"/>
  <c r="D625" i="7"/>
  <c r="E624" i="7"/>
  <c r="D624" i="7"/>
  <c r="E623" i="7"/>
  <c r="D623" i="7"/>
  <c r="E622" i="7"/>
  <c r="D622" i="7"/>
  <c r="E621" i="7"/>
  <c r="D621" i="7"/>
  <c r="E620" i="7"/>
  <c r="D620" i="7"/>
  <c r="E619" i="7"/>
  <c r="D619" i="7"/>
  <c r="E618" i="7"/>
  <c r="D618" i="7"/>
  <c r="E617" i="7"/>
  <c r="D617" i="7"/>
  <c r="E616" i="7"/>
  <c r="D616" i="7"/>
  <c r="E615" i="7"/>
  <c r="D615" i="7"/>
  <c r="E614" i="7"/>
  <c r="D614" i="7"/>
  <c r="E613" i="7"/>
  <c r="D613" i="7"/>
  <c r="E612" i="7"/>
  <c r="D612" i="7"/>
  <c r="E611" i="7"/>
  <c r="D611" i="7"/>
  <c r="E610" i="7"/>
  <c r="D610" i="7"/>
  <c r="E609" i="7"/>
  <c r="D609" i="7"/>
  <c r="E608" i="7"/>
  <c r="D608" i="7"/>
  <c r="E607" i="7"/>
  <c r="D607" i="7"/>
  <c r="E606" i="7"/>
  <c r="D606" i="7"/>
  <c r="E605" i="7"/>
  <c r="D605" i="7"/>
  <c r="E604" i="7"/>
  <c r="D604" i="7"/>
  <c r="E603" i="7"/>
  <c r="D603" i="7"/>
  <c r="E602" i="7"/>
  <c r="D602" i="7"/>
  <c r="K618" i="7" l="1"/>
  <c r="M618" i="7" s="1"/>
  <c r="M619" i="7" s="1"/>
  <c r="M620" i="7" s="1"/>
  <c r="M621" i="7" s="1"/>
  <c r="M622" i="7" s="1"/>
  <c r="G603" i="7"/>
  <c r="G604" i="7" s="1"/>
  <c r="B13" i="5"/>
  <c r="K623" i="7" l="1"/>
  <c r="K624" i="7" s="1"/>
  <c r="K625" i="7" s="1"/>
  <c r="K626" i="7" s="1"/>
  <c r="K627" i="7" s="1"/>
  <c r="K628" i="7" s="1"/>
  <c r="K629" i="7" s="1"/>
  <c r="K630" i="7" s="1"/>
  <c r="K631" i="7" s="1"/>
  <c r="K632" i="7" s="1"/>
  <c r="K633" i="7" s="1"/>
  <c r="K634" i="7" s="1"/>
  <c r="K635" i="7" s="1"/>
  <c r="K636" i="7" s="1"/>
  <c r="K637" i="7" s="1"/>
  <c r="K638" i="7" s="1"/>
  <c r="K639" i="7" s="1"/>
  <c r="K640" i="7" s="1"/>
  <c r="K641" i="7" s="1"/>
  <c r="I604" i="7"/>
  <c r="G605" i="7" s="1"/>
  <c r="J604" i="7"/>
  <c r="M623" i="7" l="1"/>
  <c r="M624" i="7" s="1"/>
  <c r="M625" i="7" s="1"/>
  <c r="M626" i="7" s="1"/>
  <c r="M627" i="7" s="1"/>
  <c r="M628" i="7" s="1"/>
  <c r="M629" i="7" s="1"/>
  <c r="M630" i="7" s="1"/>
  <c r="M631" i="7" s="1"/>
  <c r="M632" i="7" s="1"/>
  <c r="M633" i="7" s="1"/>
  <c r="M634" i="7" s="1"/>
  <c r="M635" i="7" s="1"/>
  <c r="M636" i="7" s="1"/>
  <c r="M637" i="7" s="1"/>
  <c r="M638" i="7" s="1"/>
  <c r="M639" i="7" s="1"/>
  <c r="M640" i="7" s="1"/>
  <c r="M641" i="7" s="1"/>
  <c r="M642" i="7" s="1"/>
  <c r="M643" i="7" s="1"/>
  <c r="M644" i="7" s="1"/>
  <c r="M645" i="7" s="1"/>
  <c r="M646" i="7" s="1"/>
  <c r="M647" i="7" s="1"/>
  <c r="J605" i="7"/>
  <c r="I605" i="7"/>
  <c r="G606" i="7" s="1"/>
  <c r="K648" i="7" l="1"/>
  <c r="K649" i="7" s="1"/>
  <c r="K650" i="7" s="1"/>
  <c r="K651" i="7" s="1"/>
  <c r="K652" i="7" s="1"/>
  <c r="K653" i="7" s="1"/>
  <c r="I606" i="7"/>
  <c r="G607" i="7" s="1"/>
  <c r="J606" i="7"/>
  <c r="M648" i="7" l="1"/>
  <c r="M649" i="7" s="1"/>
  <c r="M650" i="7" s="1"/>
  <c r="M651" i="7" s="1"/>
  <c r="M652" i="7" s="1"/>
  <c r="M653" i="7" s="1"/>
  <c r="M654" i="7" s="1"/>
  <c r="M655" i="7" s="1"/>
  <c r="J607" i="7"/>
  <c r="I607" i="7"/>
  <c r="G608" i="7" s="1"/>
  <c r="K656" i="7" l="1"/>
  <c r="K657" i="7" s="1"/>
  <c r="K658" i="7" s="1"/>
  <c r="K659" i="7" s="1"/>
  <c r="K660" i="7" s="1"/>
  <c r="K661" i="7" s="1"/>
  <c r="K662" i="7" s="1"/>
  <c r="K663" i="7" s="1"/>
  <c r="K664" i="7" s="1"/>
  <c r="K665" i="7" s="1"/>
  <c r="K666" i="7" s="1"/>
  <c r="K667" i="7" s="1"/>
  <c r="K668" i="7" s="1"/>
  <c r="K669" i="7" s="1"/>
  <c r="K670" i="7" s="1"/>
  <c r="K671" i="7" s="1"/>
  <c r="K672" i="7" s="1"/>
  <c r="K673" i="7" s="1"/>
  <c r="K674" i="7" s="1"/>
  <c r="K675" i="7" s="1"/>
  <c r="I608" i="7"/>
  <c r="G609" i="7" s="1"/>
  <c r="J608" i="7"/>
  <c r="M656" i="7" l="1"/>
  <c r="M657" i="7" s="1"/>
  <c r="M658" i="7" s="1"/>
  <c r="M659" i="7" s="1"/>
  <c r="M660" i="7" s="1"/>
  <c r="M661" i="7" s="1"/>
  <c r="M662" i="7" s="1"/>
  <c r="M663" i="7" s="1"/>
  <c r="M664" i="7" s="1"/>
  <c r="M665" i="7" s="1"/>
  <c r="M666" i="7" s="1"/>
  <c r="M667" i="7" s="1"/>
  <c r="M668" i="7" s="1"/>
  <c r="M669" i="7" s="1"/>
  <c r="M670" i="7" s="1"/>
  <c r="M671" i="7" s="1"/>
  <c r="M672" i="7" s="1"/>
  <c r="M673" i="7" s="1"/>
  <c r="M674" i="7" s="1"/>
  <c r="M675" i="7" s="1"/>
  <c r="M676" i="7" s="1"/>
  <c r="M677" i="7" s="1"/>
  <c r="M678" i="7" s="1"/>
  <c r="J609" i="7"/>
  <c r="I609" i="7"/>
  <c r="G610" i="7" s="1"/>
  <c r="K679" i="7" l="1"/>
  <c r="K680" i="7" s="1"/>
  <c r="K681" i="7" s="1"/>
  <c r="K682" i="7" s="1"/>
  <c r="K683" i="7" s="1"/>
  <c r="K684" i="7" s="1"/>
  <c r="K685" i="7" s="1"/>
  <c r="K686" i="7" s="1"/>
  <c r="K687" i="7" s="1"/>
  <c r="K688" i="7" s="1"/>
  <c r="K689" i="7" s="1"/>
  <c r="K690" i="7" s="1"/>
  <c r="K691" i="7" s="1"/>
  <c r="K692" i="7" s="1"/>
  <c r="K693" i="7" s="1"/>
  <c r="K694" i="7" s="1"/>
  <c r="K695" i="7" s="1"/>
  <c r="K696" i="7" s="1"/>
  <c r="K697" i="7" s="1"/>
  <c r="K698" i="7" s="1"/>
  <c r="K699" i="7" s="1"/>
  <c r="K700" i="7" s="1"/>
  <c r="K701" i="7" s="1"/>
  <c r="K702" i="7" s="1"/>
  <c r="K703" i="7" s="1"/>
  <c r="K704" i="7" s="1"/>
  <c r="K705" i="7" s="1"/>
  <c r="K706" i="7" s="1"/>
  <c r="K707" i="7" s="1"/>
  <c r="K708" i="7" s="1"/>
  <c r="K709" i="7" s="1"/>
  <c r="K710" i="7" s="1"/>
  <c r="K711" i="7" s="1"/>
  <c r="K712" i="7" s="1"/>
  <c r="K713" i="7" s="1"/>
  <c r="K714" i="7" s="1"/>
  <c r="K715" i="7" s="1"/>
  <c r="K716" i="7" s="1"/>
  <c r="K717" i="7" s="1"/>
  <c r="K718" i="7" s="1"/>
  <c r="K719" i="7" s="1"/>
  <c r="I610" i="7"/>
  <c r="G611" i="7" s="1"/>
  <c r="J610" i="7"/>
  <c r="M679" i="7" l="1"/>
  <c r="M680" i="7" s="1"/>
  <c r="M681" i="7" s="1"/>
  <c r="M682" i="7" s="1"/>
  <c r="M683" i="7" s="1"/>
  <c r="M684" i="7" s="1"/>
  <c r="M685" i="7" s="1"/>
  <c r="M686" i="7" s="1"/>
  <c r="M687" i="7" s="1"/>
  <c r="M688" i="7" s="1"/>
  <c r="M689" i="7" s="1"/>
  <c r="M690" i="7" s="1"/>
  <c r="M691" i="7" s="1"/>
  <c r="M692" i="7" s="1"/>
  <c r="M693" i="7" s="1"/>
  <c r="M694" i="7" s="1"/>
  <c r="M695" i="7" s="1"/>
  <c r="M696" i="7" s="1"/>
  <c r="M697" i="7" s="1"/>
  <c r="M698" i="7" s="1"/>
  <c r="M699" i="7" s="1"/>
  <c r="M700" i="7" s="1"/>
  <c r="M701" i="7" s="1"/>
  <c r="M702" i="7" s="1"/>
  <c r="M703" i="7" s="1"/>
  <c r="M704" i="7" s="1"/>
  <c r="M705" i="7" s="1"/>
  <c r="M706" i="7" s="1"/>
  <c r="M707" i="7" s="1"/>
  <c r="M708" i="7" s="1"/>
  <c r="M709" i="7" s="1"/>
  <c r="M710" i="7" s="1"/>
  <c r="M711" i="7" s="1"/>
  <c r="M712" i="7" s="1"/>
  <c r="M713" i="7" s="1"/>
  <c r="M714" i="7" s="1"/>
  <c r="M715" i="7" s="1"/>
  <c r="M716" i="7" s="1"/>
  <c r="M717" i="7" s="1"/>
  <c r="M718" i="7" s="1"/>
  <c r="M719" i="7" s="1"/>
  <c r="M720" i="7" s="1"/>
  <c r="M721" i="7" s="1"/>
  <c r="M722" i="7" s="1"/>
  <c r="M723" i="7" s="1"/>
  <c r="M724" i="7" s="1"/>
  <c r="J611" i="7"/>
  <c r="I611" i="7"/>
  <c r="G612" i="7" s="1"/>
  <c r="K725" i="7" l="1"/>
  <c r="M725" i="7" s="1"/>
  <c r="M726" i="7" s="1"/>
  <c r="M727" i="7" s="1"/>
  <c r="M728" i="7" s="1"/>
  <c r="M729" i="7" s="1"/>
  <c r="M730" i="7" s="1"/>
  <c r="M731" i="7" s="1"/>
  <c r="M732" i="7" s="1"/>
  <c r="M733" i="7" s="1"/>
  <c r="M734" i="7" s="1"/>
  <c r="M735" i="7" s="1"/>
  <c r="I612" i="7"/>
  <c r="G613" i="7" s="1"/>
  <c r="J612" i="7"/>
  <c r="K736" i="7" l="1"/>
  <c r="M736" i="7" s="1"/>
  <c r="M737" i="7" s="1"/>
  <c r="M738" i="7" s="1"/>
  <c r="M739" i="7" s="1"/>
  <c r="M740" i="7" s="1"/>
  <c r="M741" i="7" s="1"/>
  <c r="M742" i="7" s="1"/>
  <c r="M743" i="7" s="1"/>
  <c r="M744" i="7" s="1"/>
  <c r="M745" i="7" s="1"/>
  <c r="M746" i="7" s="1"/>
  <c r="M747" i="7" s="1"/>
  <c r="M748" i="7" s="1"/>
  <c r="M749" i="7" s="1"/>
  <c r="M750" i="7" s="1"/>
  <c r="M751" i="7" s="1"/>
  <c r="M752" i="7" s="1"/>
  <c r="J613" i="7"/>
  <c r="I613" i="7"/>
  <c r="G614" i="7" s="1"/>
  <c r="K753" i="7" l="1"/>
  <c r="K754" i="7" s="1"/>
  <c r="K755" i="7" s="1"/>
  <c r="K756" i="7" s="1"/>
  <c r="K757" i="7" s="1"/>
  <c r="K758" i="7" s="1"/>
  <c r="I614" i="7"/>
  <c r="G615" i="7" s="1"/>
  <c r="J614" i="7"/>
  <c r="M753" i="7" l="1"/>
  <c r="M754" i="7" s="1"/>
  <c r="M755" i="7" s="1"/>
  <c r="M756" i="7" s="1"/>
  <c r="M757" i="7" s="1"/>
  <c r="M758" i="7" s="1"/>
  <c r="M759" i="7" s="1"/>
  <c r="M760" i="7" s="1"/>
  <c r="J615" i="7"/>
  <c r="I615" i="7"/>
  <c r="G616" i="7" s="1"/>
  <c r="K761" i="7" l="1"/>
  <c r="K762" i="7" s="1"/>
  <c r="K763" i="7" s="1"/>
  <c r="K764" i="7" s="1"/>
  <c r="K765" i="7" s="1"/>
  <c r="K766" i="7" s="1"/>
  <c r="K767" i="7" s="1"/>
  <c r="K768" i="7" s="1"/>
  <c r="K769" i="7" s="1"/>
  <c r="K770" i="7" s="1"/>
  <c r="K771" i="7" s="1"/>
  <c r="K772" i="7" s="1"/>
  <c r="K773" i="7" s="1"/>
  <c r="I616" i="7"/>
  <c r="G617" i="7" s="1"/>
  <c r="J616" i="7"/>
  <c r="M761" i="7" l="1"/>
  <c r="M762" i="7" s="1"/>
  <c r="M763" i="7" s="1"/>
  <c r="M764" i="7" s="1"/>
  <c r="M765" i="7" s="1"/>
  <c r="M766" i="7" s="1"/>
  <c r="M767" i="7" s="1"/>
  <c r="M768" i="7" s="1"/>
  <c r="M769" i="7" s="1"/>
  <c r="M770" i="7" s="1"/>
  <c r="M771" i="7" s="1"/>
  <c r="M772" i="7" s="1"/>
  <c r="M773" i="7" s="1"/>
  <c r="M774" i="7" s="1"/>
  <c r="M775" i="7" s="1"/>
  <c r="M776" i="7" s="1"/>
  <c r="M777" i="7" s="1"/>
  <c r="M778" i="7" s="1"/>
  <c r="M779" i="7" s="1"/>
  <c r="M780" i="7" s="1"/>
  <c r="J617" i="7"/>
  <c r="I617" i="7"/>
  <c r="G618" i="7" s="1"/>
  <c r="K781" i="7" l="1"/>
  <c r="M781" i="7" s="1"/>
  <c r="M782" i="7" s="1"/>
  <c r="M783" i="7" s="1"/>
  <c r="M784" i="7" s="1"/>
  <c r="I618" i="7"/>
  <c r="G619" i="7" s="1"/>
  <c r="J618" i="7"/>
  <c r="K785" i="7" l="1"/>
  <c r="K786" i="7" s="1"/>
  <c r="K787" i="7" s="1"/>
  <c r="K788" i="7" s="1"/>
  <c r="K789" i="7" s="1"/>
  <c r="K790" i="7" s="1"/>
  <c r="K791" i="7" s="1"/>
  <c r="K792" i="7" s="1"/>
  <c r="K793" i="7" s="1"/>
  <c r="K794" i="7" s="1"/>
  <c r="K795" i="7" s="1"/>
  <c r="K796" i="7" s="1"/>
  <c r="K797" i="7" s="1"/>
  <c r="K798" i="7" s="1"/>
  <c r="K799" i="7" s="1"/>
  <c r="K800" i="7" s="1"/>
  <c r="K801" i="7" s="1"/>
  <c r="K802" i="7" s="1"/>
  <c r="K803" i="7" s="1"/>
  <c r="K804" i="7" s="1"/>
  <c r="K805" i="7" s="1"/>
  <c r="K806" i="7" s="1"/>
  <c r="K807" i="7" s="1"/>
  <c r="K808" i="7" s="1"/>
  <c r="J619" i="7"/>
  <c r="I619" i="7"/>
  <c r="G620" i="7" s="1"/>
  <c r="M785" i="7" l="1"/>
  <c r="M786" i="7" s="1"/>
  <c r="M787" i="7" s="1"/>
  <c r="M788" i="7" s="1"/>
  <c r="M789" i="7" s="1"/>
  <c r="M790" i="7" s="1"/>
  <c r="M791" i="7" s="1"/>
  <c r="M792" i="7" s="1"/>
  <c r="M793" i="7" s="1"/>
  <c r="M794" i="7" s="1"/>
  <c r="M795" i="7" s="1"/>
  <c r="M796" i="7" s="1"/>
  <c r="M797" i="7" s="1"/>
  <c r="M798" i="7" s="1"/>
  <c r="M799" i="7" s="1"/>
  <c r="M800" i="7" s="1"/>
  <c r="M801" i="7" s="1"/>
  <c r="M802" i="7" s="1"/>
  <c r="M803" i="7" s="1"/>
  <c r="M804" i="7" s="1"/>
  <c r="M805" i="7" s="1"/>
  <c r="M806" i="7" s="1"/>
  <c r="M807" i="7" s="1"/>
  <c r="M808" i="7" s="1"/>
  <c r="M809" i="7" s="1"/>
  <c r="M810" i="7" s="1"/>
  <c r="M811" i="7" s="1"/>
  <c r="M812" i="7" s="1"/>
  <c r="M813" i="7" s="1"/>
  <c r="M814" i="7" s="1"/>
  <c r="M815" i="7" s="1"/>
  <c r="M816" i="7" s="1"/>
  <c r="M817" i="7" s="1"/>
  <c r="M818" i="7" s="1"/>
  <c r="M819" i="7" s="1"/>
  <c r="M820" i="7" s="1"/>
  <c r="M821" i="7" s="1"/>
  <c r="M822" i="7" s="1"/>
  <c r="M823" i="7" s="1"/>
  <c r="I620" i="7"/>
  <c r="G621" i="7" s="1"/>
  <c r="J620" i="7"/>
  <c r="K824" i="7" l="1"/>
  <c r="K825" i="7" s="1"/>
  <c r="K826" i="7" s="1"/>
  <c r="K827" i="7" s="1"/>
  <c r="K828" i="7" s="1"/>
  <c r="K829" i="7" s="1"/>
  <c r="K830" i="7" s="1"/>
  <c r="K831" i="7" s="1"/>
  <c r="J621" i="7"/>
  <c r="I621" i="7"/>
  <c r="G622" i="7" s="1"/>
  <c r="M824" i="7" l="1"/>
  <c r="M825" i="7" s="1"/>
  <c r="M826" i="7" s="1"/>
  <c r="M827" i="7" s="1"/>
  <c r="M828" i="7" s="1"/>
  <c r="M829" i="7" s="1"/>
  <c r="M830" i="7" s="1"/>
  <c r="M831" i="7" s="1"/>
  <c r="M832" i="7" s="1"/>
  <c r="M833" i="7" s="1"/>
  <c r="M834" i="7" s="1"/>
  <c r="M835" i="7" s="1"/>
  <c r="M836" i="7" s="1"/>
  <c r="M837" i="7" s="1"/>
  <c r="I622" i="7"/>
  <c r="G623" i="7" s="1"/>
  <c r="J622" i="7"/>
  <c r="K838" i="7" l="1"/>
  <c r="K839" i="7" s="1"/>
  <c r="K840" i="7" s="1"/>
  <c r="K841" i="7" s="1"/>
  <c r="K842" i="7" s="1"/>
  <c r="K843" i="7" s="1"/>
  <c r="J623" i="7"/>
  <c r="I623" i="7"/>
  <c r="G624" i="7" s="1"/>
  <c r="M838" i="7" l="1"/>
  <c r="M839" i="7" s="1"/>
  <c r="M840" i="7" s="1"/>
  <c r="M841" i="7" s="1"/>
  <c r="M842" i="7" s="1"/>
  <c r="M843" i="7" s="1"/>
  <c r="M844" i="7" s="1"/>
  <c r="M845" i="7" s="1"/>
  <c r="M846" i="7" s="1"/>
  <c r="M847" i="7" s="1"/>
  <c r="M848" i="7" s="1"/>
  <c r="M849" i="7" s="1"/>
  <c r="M850" i="7" s="1"/>
  <c r="I624" i="7"/>
  <c r="G625" i="7" s="1"/>
  <c r="J624" i="7"/>
  <c r="K851" i="7" l="1"/>
  <c r="K852" i="7" s="1"/>
  <c r="J625" i="7"/>
  <c r="I625" i="7"/>
  <c r="G626" i="7" s="1"/>
  <c r="M851" i="7" l="1"/>
  <c r="M852" i="7" s="1"/>
  <c r="M853" i="7" s="1"/>
  <c r="I626" i="7"/>
  <c r="G627" i="7" s="1"/>
  <c r="J626" i="7"/>
  <c r="K854" i="7" l="1"/>
  <c r="M854" i="7" s="1"/>
  <c r="M855" i="7" s="1"/>
  <c r="M856" i="7" s="1"/>
  <c r="M857" i="7" s="1"/>
  <c r="M858" i="7" s="1"/>
  <c r="M859" i="7" s="1"/>
  <c r="J627" i="7"/>
  <c r="I627" i="7"/>
  <c r="G628" i="7" s="1"/>
  <c r="K860" i="7" l="1"/>
  <c r="K861" i="7" s="1"/>
  <c r="K862" i="7" s="1"/>
  <c r="I628" i="7"/>
  <c r="G629" i="7" s="1"/>
  <c r="J628" i="7"/>
  <c r="M860" i="7" l="1"/>
  <c r="M861" i="7" s="1"/>
  <c r="M862" i="7" s="1"/>
  <c r="M863" i="7" s="1"/>
  <c r="M864" i="7" s="1"/>
  <c r="M865" i="7" s="1"/>
  <c r="M866" i="7" s="1"/>
  <c r="M867" i="7" s="1"/>
  <c r="M868" i="7" s="1"/>
  <c r="M869" i="7" s="1"/>
  <c r="M870" i="7" s="1"/>
  <c r="M871" i="7" s="1"/>
  <c r="J629" i="7"/>
  <c r="I629" i="7"/>
  <c r="G630" i="7" s="1"/>
  <c r="K872" i="7" l="1"/>
  <c r="K873" i="7" s="1"/>
  <c r="K874" i="7" s="1"/>
  <c r="K875" i="7" s="1"/>
  <c r="K876" i="7" s="1"/>
  <c r="K877" i="7" s="1"/>
  <c r="K878" i="7" s="1"/>
  <c r="K879" i="7" s="1"/>
  <c r="K880" i="7" s="1"/>
  <c r="K881" i="7" s="1"/>
  <c r="K882" i="7" s="1"/>
  <c r="K883" i="7" s="1"/>
  <c r="K884" i="7" s="1"/>
  <c r="K885" i="7" s="1"/>
  <c r="K886" i="7" s="1"/>
  <c r="K887" i="7" s="1"/>
  <c r="I630" i="7"/>
  <c r="G631" i="7" s="1"/>
  <c r="J630" i="7"/>
  <c r="M872" i="7" l="1"/>
  <c r="M873" i="7" s="1"/>
  <c r="M874" i="7" s="1"/>
  <c r="M875" i="7" s="1"/>
  <c r="M876" i="7" s="1"/>
  <c r="M877" i="7" s="1"/>
  <c r="M878" i="7" s="1"/>
  <c r="M879" i="7" s="1"/>
  <c r="M880" i="7" s="1"/>
  <c r="M881" i="7" s="1"/>
  <c r="M882" i="7" s="1"/>
  <c r="M883" i="7" s="1"/>
  <c r="M884" i="7" s="1"/>
  <c r="M885" i="7" s="1"/>
  <c r="M886" i="7" s="1"/>
  <c r="M887" i="7" s="1"/>
  <c r="M888" i="7" s="1"/>
  <c r="M889" i="7" s="1"/>
  <c r="J631" i="7"/>
  <c r="I631" i="7"/>
  <c r="G632" i="7" s="1"/>
  <c r="K890" i="7" l="1"/>
  <c r="M890" i="7" s="1"/>
  <c r="M891" i="7" s="1"/>
  <c r="I632" i="7"/>
  <c r="G633" i="7" s="1"/>
  <c r="J632" i="7"/>
  <c r="K892" i="7" l="1"/>
  <c r="K893" i="7" s="1"/>
  <c r="K894" i="7" s="1"/>
  <c r="K895" i="7" s="1"/>
  <c r="K896" i="7" s="1"/>
  <c r="K897" i="7" s="1"/>
  <c r="K898" i="7" s="1"/>
  <c r="K899" i="7" s="1"/>
  <c r="K900" i="7" s="1"/>
  <c r="K901" i="7" s="1"/>
  <c r="K902" i="7" s="1"/>
  <c r="K903" i="7" s="1"/>
  <c r="K904" i="7" s="1"/>
  <c r="K905" i="7" s="1"/>
  <c r="K906" i="7" s="1"/>
  <c r="K907" i="7" s="1"/>
  <c r="K908" i="7" s="1"/>
  <c r="K909" i="7" s="1"/>
  <c r="K910" i="7" s="1"/>
  <c r="K911" i="7" s="1"/>
  <c r="K912" i="7" s="1"/>
  <c r="K913" i="7" s="1"/>
  <c r="K914" i="7" s="1"/>
  <c r="K915" i="7" s="1"/>
  <c r="K916" i="7" s="1"/>
  <c r="K917" i="7" s="1"/>
  <c r="K918" i="7" s="1"/>
  <c r="K919" i="7" s="1"/>
  <c r="K920" i="7" s="1"/>
  <c r="J633" i="7"/>
  <c r="I633" i="7"/>
  <c r="G634" i="7" s="1"/>
  <c r="M892" i="7" l="1"/>
  <c r="M893" i="7" s="1"/>
  <c r="M894" i="7" s="1"/>
  <c r="M895" i="7" s="1"/>
  <c r="M896" i="7" s="1"/>
  <c r="M897" i="7" s="1"/>
  <c r="M898" i="7" s="1"/>
  <c r="M899" i="7" s="1"/>
  <c r="M900" i="7" s="1"/>
  <c r="M901" i="7" s="1"/>
  <c r="M902" i="7" s="1"/>
  <c r="M903" i="7" s="1"/>
  <c r="M904" i="7" s="1"/>
  <c r="M905" i="7" s="1"/>
  <c r="M906" i="7" s="1"/>
  <c r="M907" i="7" s="1"/>
  <c r="M908" i="7" s="1"/>
  <c r="M909" i="7" s="1"/>
  <c r="M910" i="7" s="1"/>
  <c r="M911" i="7" s="1"/>
  <c r="M912" i="7" s="1"/>
  <c r="M913" i="7" s="1"/>
  <c r="M914" i="7" s="1"/>
  <c r="M915" i="7" s="1"/>
  <c r="M916" i="7" s="1"/>
  <c r="M917" i="7" s="1"/>
  <c r="M918" i="7" s="1"/>
  <c r="M919" i="7" s="1"/>
  <c r="M920" i="7" s="1"/>
  <c r="M921" i="7" s="1"/>
  <c r="M922" i="7" s="1"/>
  <c r="M923" i="7" s="1"/>
  <c r="M924" i="7" s="1"/>
  <c r="M925" i="7" s="1"/>
  <c r="M926" i="7" s="1"/>
  <c r="I634" i="7"/>
  <c r="G635" i="7" s="1"/>
  <c r="J634" i="7"/>
  <c r="K927" i="7" l="1"/>
  <c r="M927" i="7" s="1"/>
  <c r="M928" i="7" s="1"/>
  <c r="M929" i="7" s="1"/>
  <c r="M930" i="7" s="1"/>
  <c r="M931" i="7" s="1"/>
  <c r="J635" i="7"/>
  <c r="I635" i="7"/>
  <c r="G636" i="7" s="1"/>
  <c r="K932" i="7" l="1"/>
  <c r="K933" i="7" s="1"/>
  <c r="I636" i="7"/>
  <c r="G637" i="7" s="1"/>
  <c r="J636" i="7"/>
  <c r="M932" i="7" l="1"/>
  <c r="M933" i="7" s="1"/>
  <c r="M934" i="7" s="1"/>
  <c r="J637" i="7"/>
  <c r="I637" i="7"/>
  <c r="G638" i="7" s="1"/>
  <c r="K935" i="7" l="1"/>
  <c r="K936" i="7" s="1"/>
  <c r="I638" i="7"/>
  <c r="G639" i="7" s="1"/>
  <c r="J638" i="7"/>
  <c r="M935" i="7" l="1"/>
  <c r="M936" i="7" s="1"/>
  <c r="M937" i="7" s="1"/>
  <c r="M938" i="7" s="1"/>
  <c r="M939" i="7" s="1"/>
  <c r="M940" i="7" s="1"/>
  <c r="J639" i="7"/>
  <c r="I639" i="7"/>
  <c r="G640" i="7" s="1"/>
  <c r="K941" i="7" l="1"/>
  <c r="K942" i="7" s="1"/>
  <c r="K943" i="7" s="1"/>
  <c r="K944" i="7" s="1"/>
  <c r="K945" i="7" s="1"/>
  <c r="K946" i="7" s="1"/>
  <c r="K947" i="7" s="1"/>
  <c r="I640" i="7"/>
  <c r="G641" i="7" s="1"/>
  <c r="J640" i="7"/>
  <c r="M941" i="7" l="1"/>
  <c r="M942" i="7" s="1"/>
  <c r="M943" i="7" s="1"/>
  <c r="M944" i="7" s="1"/>
  <c r="M945" i="7" s="1"/>
  <c r="M946" i="7" s="1"/>
  <c r="M947" i="7" s="1"/>
  <c r="M948" i="7" s="1"/>
  <c r="M949" i="7" s="1"/>
  <c r="M950" i="7" s="1"/>
  <c r="M951" i="7" s="1"/>
  <c r="M952" i="7" s="1"/>
  <c r="M953" i="7" s="1"/>
  <c r="M954" i="7" s="1"/>
  <c r="M955" i="7" s="1"/>
  <c r="M956" i="7" s="1"/>
  <c r="J641" i="7"/>
  <c r="I641" i="7"/>
  <c r="G642" i="7" s="1"/>
  <c r="K957" i="7" l="1"/>
  <c r="K958" i="7" s="1"/>
  <c r="K959" i="7" s="1"/>
  <c r="K960" i="7" s="1"/>
  <c r="K961" i="7" s="1"/>
  <c r="K962" i="7" s="1"/>
  <c r="K963" i="7" s="1"/>
  <c r="K964" i="7" s="1"/>
  <c r="K965" i="7" s="1"/>
  <c r="K966" i="7" s="1"/>
  <c r="K967" i="7" s="1"/>
  <c r="I642" i="7"/>
  <c r="G643" i="7" s="1"/>
  <c r="J642" i="7"/>
  <c r="M957" i="7" l="1"/>
  <c r="M958" i="7" s="1"/>
  <c r="M959" i="7" s="1"/>
  <c r="M960" i="7" s="1"/>
  <c r="M961" i="7" s="1"/>
  <c r="M962" i="7" s="1"/>
  <c r="M963" i="7" s="1"/>
  <c r="M964" i="7" s="1"/>
  <c r="M965" i="7" s="1"/>
  <c r="M966" i="7" s="1"/>
  <c r="M967" i="7" s="1"/>
  <c r="M968" i="7" s="1"/>
  <c r="J643" i="7"/>
  <c r="I643" i="7"/>
  <c r="G644" i="7" s="1"/>
  <c r="K969" i="7" l="1"/>
  <c r="K970" i="7" s="1"/>
  <c r="K971" i="7" s="1"/>
  <c r="K972" i="7" s="1"/>
  <c r="K973" i="7" s="1"/>
  <c r="K974" i="7" s="1"/>
  <c r="K975" i="7" s="1"/>
  <c r="K976" i="7" s="1"/>
  <c r="K977" i="7" s="1"/>
  <c r="K978" i="7" s="1"/>
  <c r="K979" i="7" s="1"/>
  <c r="K980" i="7" s="1"/>
  <c r="K981" i="7" s="1"/>
  <c r="K982" i="7" s="1"/>
  <c r="K983" i="7" s="1"/>
  <c r="K984" i="7" s="1"/>
  <c r="K985" i="7" s="1"/>
  <c r="K986" i="7" s="1"/>
  <c r="K987" i="7" s="1"/>
  <c r="K988" i="7" s="1"/>
  <c r="K989" i="7" s="1"/>
  <c r="K990" i="7" s="1"/>
  <c r="K991" i="7" s="1"/>
  <c r="K992" i="7" s="1"/>
  <c r="K993" i="7" s="1"/>
  <c r="K994" i="7" s="1"/>
  <c r="I644" i="7"/>
  <c r="G645" i="7" s="1"/>
  <c r="J644" i="7"/>
  <c r="M969" i="7" l="1"/>
  <c r="M970" i="7" s="1"/>
  <c r="M971" i="7" s="1"/>
  <c r="M972" i="7" s="1"/>
  <c r="M973" i="7" s="1"/>
  <c r="M974" i="7" s="1"/>
  <c r="M975" i="7" s="1"/>
  <c r="M976" i="7" s="1"/>
  <c r="M977" i="7" s="1"/>
  <c r="M978" i="7" s="1"/>
  <c r="M979" i="7" s="1"/>
  <c r="M980" i="7" s="1"/>
  <c r="M981" i="7" s="1"/>
  <c r="M982" i="7" s="1"/>
  <c r="M983" i="7" s="1"/>
  <c r="M984" i="7" s="1"/>
  <c r="M985" i="7" s="1"/>
  <c r="M986" i="7" s="1"/>
  <c r="M987" i="7" s="1"/>
  <c r="M988" i="7" s="1"/>
  <c r="M989" i="7" s="1"/>
  <c r="M990" i="7" s="1"/>
  <c r="M991" i="7" s="1"/>
  <c r="M992" i="7" s="1"/>
  <c r="M993" i="7" s="1"/>
  <c r="M994" i="7" s="1"/>
  <c r="M995" i="7" s="1"/>
  <c r="J645" i="7"/>
  <c r="I645" i="7"/>
  <c r="G646" i="7" s="1"/>
  <c r="K996" i="7" l="1"/>
  <c r="K997" i="7" s="1"/>
  <c r="K998" i="7" s="1"/>
  <c r="K999" i="7" s="1"/>
  <c r="K1000" i="7" s="1"/>
  <c r="I646" i="7"/>
  <c r="G647" i="7" s="1"/>
  <c r="J646" i="7"/>
  <c r="M996" i="7" l="1"/>
  <c r="M997" i="7" s="1"/>
  <c r="M998" i="7" s="1"/>
  <c r="M999" i="7" s="1"/>
  <c r="M1000" i="7" s="1"/>
  <c r="M1001" i="7" s="1"/>
  <c r="M1002" i="7" s="1"/>
  <c r="M1003" i="7" s="1"/>
  <c r="M1004" i="7" s="1"/>
  <c r="M1005" i="7" s="1"/>
  <c r="M1006" i="7" s="1"/>
  <c r="M1007" i="7" s="1"/>
  <c r="J647" i="7"/>
  <c r="I647" i="7"/>
  <c r="G648" i="7" s="1"/>
  <c r="K1008" i="7" l="1"/>
  <c r="K1009" i="7" s="1"/>
  <c r="K1010" i="7" s="1"/>
  <c r="K1011" i="7" s="1"/>
  <c r="K1012" i="7" s="1"/>
  <c r="K1013" i="7" s="1"/>
  <c r="K1014" i="7" s="1"/>
  <c r="K1015" i="7" s="1"/>
  <c r="K1016" i="7" s="1"/>
  <c r="K1017" i="7" s="1"/>
  <c r="K1018" i="7" s="1"/>
  <c r="K1019" i="7" s="1"/>
  <c r="K1020" i="7" s="1"/>
  <c r="K1021" i="7" s="1"/>
  <c r="K1022" i="7" s="1"/>
  <c r="K1023" i="7" s="1"/>
  <c r="K1024" i="7" s="1"/>
  <c r="K1025" i="7" s="1"/>
  <c r="K1026" i="7" s="1"/>
  <c r="K1027" i="7" s="1"/>
  <c r="K1028" i="7" s="1"/>
  <c r="K1029" i="7" s="1"/>
  <c r="K1030" i="7" s="1"/>
  <c r="K1031" i="7" s="1"/>
  <c r="K1032" i="7" s="1"/>
  <c r="K1033" i="7" s="1"/>
  <c r="K1034" i="7" s="1"/>
  <c r="K1035" i="7" s="1"/>
  <c r="K1036" i="7" s="1"/>
  <c r="K1037" i="7" s="1"/>
  <c r="K1038" i="7" s="1"/>
  <c r="K1039" i="7" s="1"/>
  <c r="K1040" i="7" s="1"/>
  <c r="K1041" i="7" s="1"/>
  <c r="K1042" i="7" s="1"/>
  <c r="I648" i="7"/>
  <c r="G649" i="7" s="1"/>
  <c r="J648" i="7"/>
  <c r="M1008" i="7" l="1"/>
  <c r="M1009" i="7" s="1"/>
  <c r="M1010" i="7" s="1"/>
  <c r="M1011" i="7" s="1"/>
  <c r="M1012" i="7" s="1"/>
  <c r="M1013" i="7" s="1"/>
  <c r="M1014" i="7" s="1"/>
  <c r="M1015" i="7" s="1"/>
  <c r="M1016" i="7" s="1"/>
  <c r="M1017" i="7" s="1"/>
  <c r="M1018" i="7" s="1"/>
  <c r="M1019" i="7" s="1"/>
  <c r="M1020" i="7" s="1"/>
  <c r="M1021" i="7" s="1"/>
  <c r="M1022" i="7" s="1"/>
  <c r="M1023" i="7" s="1"/>
  <c r="M1024" i="7" s="1"/>
  <c r="M1025" i="7" s="1"/>
  <c r="M1026" i="7" s="1"/>
  <c r="M1027" i="7" s="1"/>
  <c r="M1028" i="7" s="1"/>
  <c r="M1029" i="7" s="1"/>
  <c r="M1030" i="7" s="1"/>
  <c r="M1031" i="7" s="1"/>
  <c r="M1032" i="7" s="1"/>
  <c r="M1033" i="7" s="1"/>
  <c r="M1034" i="7" s="1"/>
  <c r="M1035" i="7" s="1"/>
  <c r="M1036" i="7" s="1"/>
  <c r="M1037" i="7" s="1"/>
  <c r="M1038" i="7" s="1"/>
  <c r="M1039" i="7" s="1"/>
  <c r="M1040" i="7" s="1"/>
  <c r="M1041" i="7" s="1"/>
  <c r="M1042" i="7" s="1"/>
  <c r="M1043" i="7" s="1"/>
  <c r="M1044" i="7" s="1"/>
  <c r="M1045" i="7" s="1"/>
  <c r="M1046" i="7" s="1"/>
  <c r="M1047" i="7" s="1"/>
  <c r="M1048" i="7" s="1"/>
  <c r="M1049" i="7" s="1"/>
  <c r="J649" i="7"/>
  <c r="I649" i="7"/>
  <c r="G650" i="7" s="1"/>
  <c r="K1050" i="7" l="1"/>
  <c r="K1051" i="7" s="1"/>
  <c r="K1052" i="7" s="1"/>
  <c r="I650" i="7"/>
  <c r="G651" i="7" s="1"/>
  <c r="J650" i="7"/>
  <c r="M1050" i="7" l="1"/>
  <c r="M1051" i="7" s="1"/>
  <c r="M1052" i="7" s="1"/>
  <c r="M1053" i="7" s="1"/>
  <c r="M1054" i="7" s="1"/>
  <c r="M1055" i="7" s="1"/>
  <c r="M1056" i="7" s="1"/>
  <c r="M1057" i="7" s="1"/>
  <c r="M1058" i="7" s="1"/>
  <c r="M1059" i="7" s="1"/>
  <c r="J651" i="7"/>
  <c r="I651" i="7"/>
  <c r="G652" i="7" s="1"/>
  <c r="K1060" i="7" l="1"/>
  <c r="K1061" i="7" s="1"/>
  <c r="K1062" i="7" s="1"/>
  <c r="K1063" i="7" s="1"/>
  <c r="K1064" i="7" s="1"/>
  <c r="K1065" i="7" s="1"/>
  <c r="K1066" i="7" s="1"/>
  <c r="K1067" i="7" s="1"/>
  <c r="K1068" i="7" s="1"/>
  <c r="K1069" i="7" s="1"/>
  <c r="K1070" i="7" s="1"/>
  <c r="K1071" i="7" s="1"/>
  <c r="K1072" i="7" s="1"/>
  <c r="K1073" i="7" s="1"/>
  <c r="K1074" i="7" s="1"/>
  <c r="K1075" i="7" s="1"/>
  <c r="K1076" i="7" s="1"/>
  <c r="K1077" i="7" s="1"/>
  <c r="I652" i="7"/>
  <c r="G653" i="7" s="1"/>
  <c r="J652" i="7"/>
  <c r="M1060" i="7" l="1"/>
  <c r="M1061" i="7" s="1"/>
  <c r="M1062" i="7" s="1"/>
  <c r="M1063" i="7" s="1"/>
  <c r="M1064" i="7" s="1"/>
  <c r="M1065" i="7" s="1"/>
  <c r="M1066" i="7" s="1"/>
  <c r="M1067" i="7" s="1"/>
  <c r="M1068" i="7" s="1"/>
  <c r="M1069" i="7" s="1"/>
  <c r="M1070" i="7" s="1"/>
  <c r="M1071" i="7" s="1"/>
  <c r="M1072" i="7" s="1"/>
  <c r="M1073" i="7" s="1"/>
  <c r="M1074" i="7" s="1"/>
  <c r="M1075" i="7" s="1"/>
  <c r="M1076" i="7" s="1"/>
  <c r="M1077" i="7" s="1"/>
  <c r="M1078" i="7" s="1"/>
  <c r="M1079" i="7" s="1"/>
  <c r="M1080" i="7" s="1"/>
  <c r="J653" i="7"/>
  <c r="I653" i="7"/>
  <c r="G654" i="7" s="1"/>
  <c r="K1081" i="7" l="1"/>
  <c r="M1081" i="7" s="1"/>
  <c r="M1082" i="7" s="1"/>
  <c r="M1083" i="7" s="1"/>
  <c r="M1084" i="7" s="1"/>
  <c r="M1085" i="7" s="1"/>
  <c r="M1086" i="7" s="1"/>
  <c r="I654" i="7"/>
  <c r="G655" i="7" s="1"/>
  <c r="J654" i="7"/>
  <c r="K1087" i="7" l="1"/>
  <c r="M1087" i="7" s="1"/>
  <c r="M1088" i="7" s="1"/>
  <c r="J655" i="7"/>
  <c r="I655" i="7"/>
  <c r="G656" i="7" s="1"/>
  <c r="K1089" i="7" l="1"/>
  <c r="M1089" i="7" s="1"/>
  <c r="M1090" i="7" s="1"/>
  <c r="M1091" i="7" s="1"/>
  <c r="M1092" i="7" s="1"/>
  <c r="I656" i="7"/>
  <c r="G657" i="7" s="1"/>
  <c r="J656" i="7"/>
  <c r="K1093" i="7" l="1"/>
  <c r="K1094" i="7" s="1"/>
  <c r="K1095" i="7" s="1"/>
  <c r="K1096" i="7" s="1"/>
  <c r="K1097" i="7" s="1"/>
  <c r="K1098" i="7" s="1"/>
  <c r="K1099" i="7" s="1"/>
  <c r="K1100" i="7" s="1"/>
  <c r="K1101" i="7" s="1"/>
  <c r="K1102" i="7" s="1"/>
  <c r="K1103" i="7" s="1"/>
  <c r="K1104" i="7" s="1"/>
  <c r="K1105" i="7" s="1"/>
  <c r="K1106" i="7" s="1"/>
  <c r="K1107" i="7" s="1"/>
  <c r="K1108" i="7" s="1"/>
  <c r="J657" i="7"/>
  <c r="I657" i="7"/>
  <c r="G658" i="7" s="1"/>
  <c r="M1093" i="7" l="1"/>
  <c r="M1094" i="7" s="1"/>
  <c r="M1095" i="7" s="1"/>
  <c r="M1096" i="7" s="1"/>
  <c r="M1097" i="7" s="1"/>
  <c r="M1098" i="7" s="1"/>
  <c r="M1099" i="7" s="1"/>
  <c r="M1100" i="7" s="1"/>
  <c r="M1101" i="7" s="1"/>
  <c r="M1102" i="7" s="1"/>
  <c r="M1103" i="7" s="1"/>
  <c r="M1104" i="7" s="1"/>
  <c r="M1105" i="7" s="1"/>
  <c r="M1106" i="7" s="1"/>
  <c r="M1107" i="7" s="1"/>
  <c r="M1108" i="7" s="1"/>
  <c r="M1109" i="7" s="1"/>
  <c r="M1110" i="7" s="1"/>
  <c r="M1111" i="7" s="1"/>
  <c r="M1112" i="7" s="1"/>
  <c r="M1113" i="7" s="1"/>
  <c r="M1114" i="7" s="1"/>
  <c r="M1115" i="7" s="1"/>
  <c r="I658" i="7"/>
  <c r="G659" i="7" s="1"/>
  <c r="J658" i="7"/>
  <c r="K1116" i="7" l="1"/>
  <c r="K1117" i="7" s="1"/>
  <c r="K1118" i="7" s="1"/>
  <c r="K1119" i="7" s="1"/>
  <c r="K1120" i="7" s="1"/>
  <c r="K1121" i="7" s="1"/>
  <c r="K1122" i="7" s="1"/>
  <c r="K1123" i="7" s="1"/>
  <c r="K1124" i="7" s="1"/>
  <c r="K1125" i="7" s="1"/>
  <c r="K1126" i="7" s="1"/>
  <c r="K1127" i="7" s="1"/>
  <c r="K1128" i="7" s="1"/>
  <c r="K1129" i="7" s="1"/>
  <c r="K1130" i="7" s="1"/>
  <c r="K1131" i="7" s="1"/>
  <c r="K1132" i="7" s="1"/>
  <c r="K1133" i="7" s="1"/>
  <c r="K1134" i="7" s="1"/>
  <c r="K1135" i="7" s="1"/>
  <c r="K1136" i="7" s="1"/>
  <c r="K1137" i="7" s="1"/>
  <c r="K1138" i="7" s="1"/>
  <c r="K1139" i="7" s="1"/>
  <c r="K1140" i="7" s="1"/>
  <c r="K1141" i="7" s="1"/>
  <c r="K1142" i="7" s="1"/>
  <c r="K1143" i="7" s="1"/>
  <c r="K1144" i="7" s="1"/>
  <c r="K1145" i="7" s="1"/>
  <c r="K1146" i="7" s="1"/>
  <c r="J659" i="7"/>
  <c r="I659" i="7"/>
  <c r="G660" i="7" s="1"/>
  <c r="M1116" i="7" l="1"/>
  <c r="M1117" i="7" s="1"/>
  <c r="M1118" i="7" s="1"/>
  <c r="M1119" i="7" s="1"/>
  <c r="M1120" i="7" s="1"/>
  <c r="M1121" i="7" s="1"/>
  <c r="M1122" i="7" s="1"/>
  <c r="M1123" i="7" s="1"/>
  <c r="M1124" i="7" s="1"/>
  <c r="M1125" i="7" s="1"/>
  <c r="M1126" i="7" s="1"/>
  <c r="M1127" i="7" s="1"/>
  <c r="M1128" i="7" s="1"/>
  <c r="M1129" i="7" s="1"/>
  <c r="M1130" i="7" s="1"/>
  <c r="M1131" i="7" s="1"/>
  <c r="M1132" i="7" s="1"/>
  <c r="M1133" i="7" s="1"/>
  <c r="M1134" i="7" s="1"/>
  <c r="M1135" i="7" s="1"/>
  <c r="M1136" i="7" s="1"/>
  <c r="M1137" i="7" s="1"/>
  <c r="M1138" i="7" s="1"/>
  <c r="M1139" i="7" s="1"/>
  <c r="M1140" i="7" s="1"/>
  <c r="M1141" i="7" s="1"/>
  <c r="M1142" i="7" s="1"/>
  <c r="M1143" i="7" s="1"/>
  <c r="M1144" i="7" s="1"/>
  <c r="M1145" i="7" s="1"/>
  <c r="M1146" i="7" s="1"/>
  <c r="M1147" i="7" s="1"/>
  <c r="M1148" i="7" s="1"/>
  <c r="M1149" i="7" s="1"/>
  <c r="I660" i="7"/>
  <c r="G661" i="7" s="1"/>
  <c r="J660" i="7"/>
  <c r="K1150" i="7" l="1"/>
  <c r="K1151" i="7" s="1"/>
  <c r="K1152" i="7" s="1"/>
  <c r="K1153" i="7" s="1"/>
  <c r="K1154" i="7" s="1"/>
  <c r="K1155" i="7" s="1"/>
  <c r="J661" i="7"/>
  <c r="I661" i="7"/>
  <c r="G662" i="7" s="1"/>
  <c r="M1150" i="7" l="1"/>
  <c r="M1151" i="7" s="1"/>
  <c r="M1152" i="7" s="1"/>
  <c r="M1153" i="7" s="1"/>
  <c r="M1154" i="7" s="1"/>
  <c r="M1155" i="7" s="1"/>
  <c r="M1156" i="7" s="1"/>
  <c r="M1157" i="7" s="1"/>
  <c r="M1158" i="7" s="1"/>
  <c r="M1159" i="7" s="1"/>
  <c r="M1160" i="7" s="1"/>
  <c r="M1161" i="7" s="1"/>
  <c r="M1162" i="7" s="1"/>
  <c r="M1163" i="7" s="1"/>
  <c r="M1164" i="7" s="1"/>
  <c r="M1165" i="7" s="1"/>
  <c r="I662" i="7"/>
  <c r="G663" i="7" s="1"/>
  <c r="J662" i="7"/>
  <c r="K1166" i="7" l="1"/>
  <c r="K1167" i="7" s="1"/>
  <c r="K1168" i="7" s="1"/>
  <c r="K1169" i="7" s="1"/>
  <c r="K1170" i="7" s="1"/>
  <c r="K1171" i="7" s="1"/>
  <c r="K1172" i="7" s="1"/>
  <c r="K1173" i="7" s="1"/>
  <c r="K1174" i="7" s="1"/>
  <c r="K1175" i="7" s="1"/>
  <c r="J663" i="7"/>
  <c r="I663" i="7"/>
  <c r="G664" i="7" s="1"/>
  <c r="M1166" i="7" l="1"/>
  <c r="M1167" i="7" s="1"/>
  <c r="M1168" i="7" s="1"/>
  <c r="M1169" i="7" s="1"/>
  <c r="M1170" i="7" s="1"/>
  <c r="M1171" i="7" s="1"/>
  <c r="M1172" i="7" s="1"/>
  <c r="M1173" i="7" s="1"/>
  <c r="M1174" i="7" s="1"/>
  <c r="M1175" i="7" s="1"/>
  <c r="M1176" i="7" s="1"/>
  <c r="I664" i="7"/>
  <c r="G665" i="7" s="1"/>
  <c r="J664" i="7"/>
  <c r="K1177" i="7" l="1"/>
  <c r="K1178" i="7" s="1"/>
  <c r="J665" i="7"/>
  <c r="I665" i="7"/>
  <c r="G666" i="7" s="1"/>
  <c r="M1177" i="7" l="1"/>
  <c r="M1178" i="7" s="1"/>
  <c r="M1179" i="7" s="1"/>
  <c r="M1180" i="7" s="1"/>
  <c r="I666" i="7"/>
  <c r="G667" i="7" s="1"/>
  <c r="J666" i="7"/>
  <c r="K1181" i="7" l="1"/>
  <c r="K1182" i="7" s="1"/>
  <c r="K1183" i="7" s="1"/>
  <c r="K1184" i="7" s="1"/>
  <c r="K1185" i="7" s="1"/>
  <c r="K1186" i="7" s="1"/>
  <c r="K1187" i="7" s="1"/>
  <c r="K1188" i="7" s="1"/>
  <c r="K1189" i="7" s="1"/>
  <c r="K1190" i="7" s="1"/>
  <c r="J667" i="7"/>
  <c r="I667" i="7"/>
  <c r="G668" i="7" s="1"/>
  <c r="M1181" i="7" l="1"/>
  <c r="M1182" i="7" s="1"/>
  <c r="M1183" i="7" s="1"/>
  <c r="M1184" i="7" s="1"/>
  <c r="M1185" i="7" s="1"/>
  <c r="M1186" i="7" s="1"/>
  <c r="M1187" i="7" s="1"/>
  <c r="M1188" i="7" s="1"/>
  <c r="M1189" i="7" s="1"/>
  <c r="M1190" i="7" s="1"/>
  <c r="M1191" i="7" s="1"/>
  <c r="M1192" i="7" s="1"/>
  <c r="M1193" i="7" s="1"/>
  <c r="I668" i="7"/>
  <c r="G669" i="7" s="1"/>
  <c r="J668" i="7"/>
  <c r="K1194" i="7" l="1"/>
  <c r="M1194" i="7" s="1"/>
  <c r="M1195" i="7" s="1"/>
  <c r="M1196" i="7" s="1"/>
  <c r="M1197" i="7" s="1"/>
  <c r="M1198" i="7" s="1"/>
  <c r="M1199" i="7" s="1"/>
  <c r="M1200" i="7" s="1"/>
  <c r="M1201" i="7" s="1"/>
  <c r="M1202" i="7" s="1"/>
  <c r="M1203" i="7" s="1"/>
  <c r="M1204" i="7" s="1"/>
  <c r="M1205" i="7" s="1"/>
  <c r="M1206" i="7" s="1"/>
  <c r="M1207" i="7" s="1"/>
  <c r="M1208" i="7" s="1"/>
  <c r="M1209" i="7" s="1"/>
  <c r="J669" i="7"/>
  <c r="I669" i="7"/>
  <c r="G670" i="7" s="1"/>
  <c r="K1210" i="7" l="1"/>
  <c r="K1211" i="7" s="1"/>
  <c r="K1212" i="7" s="1"/>
  <c r="K1213" i="7" s="1"/>
  <c r="K1214" i="7" s="1"/>
  <c r="K1215" i="7" s="1"/>
  <c r="K1216" i="7" s="1"/>
  <c r="K1217" i="7" s="1"/>
  <c r="K1218" i="7" s="1"/>
  <c r="K1219" i="7" s="1"/>
  <c r="K1220" i="7" s="1"/>
  <c r="I670" i="7"/>
  <c r="G671" i="7" s="1"/>
  <c r="J670" i="7"/>
  <c r="M1210" i="7" l="1"/>
  <c r="M1211" i="7" s="1"/>
  <c r="M1212" i="7" s="1"/>
  <c r="M1213" i="7" s="1"/>
  <c r="M1214" i="7" s="1"/>
  <c r="M1215" i="7" s="1"/>
  <c r="M1216" i="7" s="1"/>
  <c r="M1217" i="7" s="1"/>
  <c r="M1218" i="7" s="1"/>
  <c r="M1219" i="7" s="1"/>
  <c r="M1220" i="7" s="1"/>
  <c r="M1221" i="7" s="1"/>
  <c r="M1222" i="7" s="1"/>
  <c r="M1223" i="7" s="1"/>
  <c r="M1224" i="7" s="1"/>
  <c r="J671" i="7"/>
  <c r="I671" i="7"/>
  <c r="G672" i="7" s="1"/>
  <c r="K1225" i="7" l="1"/>
  <c r="K1226" i="7" s="1"/>
  <c r="K1227" i="7" s="1"/>
  <c r="K1228" i="7" s="1"/>
  <c r="K1229" i="7" s="1"/>
  <c r="K1230" i="7" s="1"/>
  <c r="K1231" i="7" s="1"/>
  <c r="K1232" i="7" s="1"/>
  <c r="K1233" i="7" s="1"/>
  <c r="K1234" i="7" s="1"/>
  <c r="K1235" i="7" s="1"/>
  <c r="K1236" i="7" s="1"/>
  <c r="K1237" i="7" s="1"/>
  <c r="K1238" i="7" s="1"/>
  <c r="K1239" i="7" s="1"/>
  <c r="I672" i="7"/>
  <c r="G673" i="7" s="1"/>
  <c r="J672" i="7"/>
  <c r="M1225" i="7" l="1"/>
  <c r="M1226" i="7" s="1"/>
  <c r="M1227" i="7" s="1"/>
  <c r="M1228" i="7" s="1"/>
  <c r="M1229" i="7" s="1"/>
  <c r="M1230" i="7" s="1"/>
  <c r="M1231" i="7" s="1"/>
  <c r="M1232" i="7" s="1"/>
  <c r="M1233" i="7" s="1"/>
  <c r="M1234" i="7" s="1"/>
  <c r="M1235" i="7" s="1"/>
  <c r="M1236" i="7" s="1"/>
  <c r="M1237" i="7" s="1"/>
  <c r="M1238" i="7" s="1"/>
  <c r="M1239" i="7" s="1"/>
  <c r="M1240" i="7" s="1"/>
  <c r="M1241" i="7" s="1"/>
  <c r="M1242" i="7" s="1"/>
  <c r="M1243" i="7" s="1"/>
  <c r="M1244" i="7" s="1"/>
  <c r="M1245" i="7" s="1"/>
  <c r="M1246" i="7" s="1"/>
  <c r="J673" i="7"/>
  <c r="I673" i="7"/>
  <c r="G674" i="7" s="1"/>
  <c r="K1247" i="7" l="1"/>
  <c r="M1247" i="7" s="1"/>
  <c r="M1248" i="7" s="1"/>
  <c r="M1249" i="7" s="1"/>
  <c r="M1250" i="7" s="1"/>
  <c r="M1251" i="7" s="1"/>
  <c r="M1252" i="7" s="1"/>
  <c r="M1253" i="7" s="1"/>
  <c r="M1254" i="7" s="1"/>
  <c r="M1255" i="7" s="1"/>
  <c r="M1256" i="7" s="1"/>
  <c r="M1257" i="7" s="1"/>
  <c r="M1258" i="7" s="1"/>
  <c r="M1259" i="7" s="1"/>
  <c r="M1260" i="7" s="1"/>
  <c r="M1261" i="7" s="1"/>
  <c r="I674" i="7"/>
  <c r="G675" i="7" s="1"/>
  <c r="J674" i="7"/>
  <c r="K1262" i="7" l="1"/>
  <c r="K1263" i="7" s="1"/>
  <c r="K1264" i="7" s="1"/>
  <c r="K1265" i="7" s="1"/>
  <c r="K1266" i="7" s="1"/>
  <c r="K1267" i="7" s="1"/>
  <c r="K1268" i="7" s="1"/>
  <c r="K1269" i="7" s="1"/>
  <c r="J675" i="7"/>
  <c r="I675" i="7"/>
  <c r="G676" i="7" s="1"/>
  <c r="M1262" i="7" l="1"/>
  <c r="M1263" i="7" s="1"/>
  <c r="M1264" i="7" s="1"/>
  <c r="M1265" i="7" s="1"/>
  <c r="M1266" i="7" s="1"/>
  <c r="M1267" i="7" s="1"/>
  <c r="M1268" i="7" s="1"/>
  <c r="M1269" i="7" s="1"/>
  <c r="M1270" i="7" s="1"/>
  <c r="I676" i="7"/>
  <c r="G677" i="7" s="1"/>
  <c r="J676" i="7"/>
  <c r="K1271" i="7" l="1"/>
  <c r="K1272" i="7" s="1"/>
  <c r="K1273" i="7" s="1"/>
  <c r="K1274" i="7" s="1"/>
  <c r="K1275" i="7" s="1"/>
  <c r="K1276" i="7" s="1"/>
  <c r="K1277" i="7" s="1"/>
  <c r="K1278" i="7" s="1"/>
  <c r="K1279" i="7" s="1"/>
  <c r="K1280" i="7" s="1"/>
  <c r="K1281" i="7" s="1"/>
  <c r="K1282" i="7" s="1"/>
  <c r="J677" i="7"/>
  <c r="I677" i="7"/>
  <c r="G678" i="7" s="1"/>
  <c r="M1271" i="7" l="1"/>
  <c r="M1272" i="7" s="1"/>
  <c r="M1273" i="7" s="1"/>
  <c r="M1274" i="7" s="1"/>
  <c r="M1275" i="7" s="1"/>
  <c r="M1276" i="7" s="1"/>
  <c r="M1277" i="7" s="1"/>
  <c r="M1278" i="7" s="1"/>
  <c r="M1279" i="7" s="1"/>
  <c r="M1280" i="7" s="1"/>
  <c r="M1281" i="7" s="1"/>
  <c r="M1282" i="7" s="1"/>
  <c r="M1283" i="7" s="1"/>
  <c r="M1284" i="7" s="1"/>
  <c r="I678" i="7"/>
  <c r="G679" i="7" s="1"/>
  <c r="J678" i="7"/>
  <c r="K1285" i="7" l="1"/>
  <c r="K1286" i="7" s="1"/>
  <c r="J679" i="7"/>
  <c r="I679" i="7"/>
  <c r="G680" i="7" s="1"/>
  <c r="M1285" i="7" l="1"/>
  <c r="M1286" i="7" s="1"/>
  <c r="M1287" i="7" s="1"/>
  <c r="M1288" i="7" s="1"/>
  <c r="M1289" i="7" s="1"/>
  <c r="M1290" i="7" s="1"/>
  <c r="M1291" i="7" s="1"/>
  <c r="M1292" i="7" s="1"/>
  <c r="M1293" i="7" s="1"/>
  <c r="M1294" i="7" s="1"/>
  <c r="M1295" i="7" s="1"/>
  <c r="M1296" i="7" s="1"/>
  <c r="M1297" i="7" s="1"/>
  <c r="M1298" i="7" s="1"/>
  <c r="M1299" i="7" s="1"/>
  <c r="M1300" i="7" s="1"/>
  <c r="I680" i="7"/>
  <c r="G681" i="7" s="1"/>
  <c r="J680" i="7"/>
  <c r="K1301" i="7" l="1"/>
  <c r="K1302" i="7" s="1"/>
  <c r="K1303" i="7" s="1"/>
  <c r="K1304" i="7" s="1"/>
  <c r="K1305" i="7" s="1"/>
  <c r="K1306" i="7" s="1"/>
  <c r="K1307" i="7" s="1"/>
  <c r="J681" i="7"/>
  <c r="I681" i="7"/>
  <c r="G682" i="7" s="1"/>
  <c r="M1301" i="7" l="1"/>
  <c r="M1302" i="7" s="1"/>
  <c r="M1303" i="7" s="1"/>
  <c r="M1304" i="7" s="1"/>
  <c r="M1305" i="7" s="1"/>
  <c r="M1306" i="7" s="1"/>
  <c r="M1307" i="7" s="1"/>
  <c r="M1308" i="7" s="1"/>
  <c r="M1309" i="7" s="1"/>
  <c r="I682" i="7"/>
  <c r="G683" i="7" s="1"/>
  <c r="J682" i="7"/>
  <c r="K1310" i="7" l="1"/>
  <c r="M1310" i="7" s="1"/>
  <c r="M1311" i="7" s="1"/>
  <c r="J683" i="7"/>
  <c r="I683" i="7"/>
  <c r="G684" i="7" s="1"/>
  <c r="K1312" i="7" l="1"/>
  <c r="K1313" i="7" s="1"/>
  <c r="K1314" i="7" s="1"/>
  <c r="K1315" i="7" s="1"/>
  <c r="K1316" i="7" s="1"/>
  <c r="K1317" i="7" s="1"/>
  <c r="K1318" i="7" s="1"/>
  <c r="K1319" i="7" s="1"/>
  <c r="K1320" i="7" s="1"/>
  <c r="K1321" i="7" s="1"/>
  <c r="K1322" i="7" s="1"/>
  <c r="I684" i="7"/>
  <c r="G685" i="7" s="1"/>
  <c r="J684" i="7"/>
  <c r="M1312" i="7" l="1"/>
  <c r="M1313" i="7" s="1"/>
  <c r="M1314" i="7" s="1"/>
  <c r="M1315" i="7" s="1"/>
  <c r="M1316" i="7" s="1"/>
  <c r="M1317" i="7" s="1"/>
  <c r="M1318" i="7" s="1"/>
  <c r="M1319" i="7" s="1"/>
  <c r="M1320" i="7" s="1"/>
  <c r="M1321" i="7" s="1"/>
  <c r="M1322" i="7" s="1"/>
  <c r="J685" i="7"/>
  <c r="I685" i="7"/>
  <c r="G686" i="7" s="1"/>
  <c r="I686" i="7" l="1"/>
  <c r="G687" i="7" s="1"/>
  <c r="J686" i="7"/>
  <c r="J687" i="7" l="1"/>
  <c r="I687" i="7"/>
  <c r="G688" i="7" s="1"/>
  <c r="I688" i="7" l="1"/>
  <c r="G689" i="7" s="1"/>
  <c r="J688" i="7"/>
  <c r="J689" i="7" l="1"/>
  <c r="I689" i="7"/>
  <c r="G690" i="7" s="1"/>
  <c r="I690" i="7" l="1"/>
  <c r="G691" i="7" s="1"/>
  <c r="J690" i="7"/>
  <c r="J691" i="7" l="1"/>
  <c r="I691" i="7"/>
  <c r="G692" i="7" s="1"/>
  <c r="I692" i="7" l="1"/>
  <c r="G693" i="7" s="1"/>
  <c r="J692" i="7"/>
  <c r="J693" i="7" l="1"/>
  <c r="I693" i="7"/>
  <c r="G694" i="7" s="1"/>
  <c r="I694" i="7" l="1"/>
  <c r="G695" i="7" s="1"/>
  <c r="J694" i="7"/>
  <c r="J695" i="7" l="1"/>
  <c r="I695" i="7"/>
  <c r="G696" i="7" s="1"/>
  <c r="I696" i="7" l="1"/>
  <c r="G697" i="7" s="1"/>
  <c r="J696" i="7"/>
  <c r="J697" i="7" l="1"/>
  <c r="I697" i="7"/>
  <c r="G698" i="7" s="1"/>
  <c r="I698" i="7" l="1"/>
  <c r="G699" i="7" s="1"/>
  <c r="J698" i="7"/>
  <c r="J699" i="7" l="1"/>
  <c r="I699" i="7"/>
  <c r="G700" i="7" s="1"/>
  <c r="I700" i="7" l="1"/>
  <c r="G701" i="7" s="1"/>
  <c r="J700" i="7"/>
  <c r="J701" i="7" l="1"/>
  <c r="I701" i="7"/>
  <c r="G702" i="7" s="1"/>
  <c r="I702" i="7" l="1"/>
  <c r="G703" i="7" s="1"/>
  <c r="J702" i="7"/>
  <c r="J703" i="7" l="1"/>
  <c r="I703" i="7"/>
  <c r="G704" i="7" s="1"/>
  <c r="I704" i="7" l="1"/>
  <c r="G705" i="7" s="1"/>
  <c r="J704" i="7"/>
  <c r="J705" i="7" l="1"/>
  <c r="I705" i="7"/>
  <c r="G706" i="7" s="1"/>
  <c r="I706" i="7" l="1"/>
  <c r="G707" i="7" s="1"/>
  <c r="J706" i="7"/>
  <c r="J707" i="7" l="1"/>
  <c r="I707" i="7"/>
  <c r="G708" i="7" s="1"/>
  <c r="I708" i="7" l="1"/>
  <c r="G709" i="7" s="1"/>
  <c r="J708" i="7"/>
  <c r="J709" i="7" l="1"/>
  <c r="I709" i="7"/>
  <c r="G710" i="7" s="1"/>
  <c r="I710" i="7" l="1"/>
  <c r="G711" i="7" s="1"/>
  <c r="J710" i="7"/>
  <c r="J711" i="7" l="1"/>
  <c r="I711" i="7"/>
  <c r="G712" i="7" s="1"/>
  <c r="I712" i="7" l="1"/>
  <c r="G713" i="7" s="1"/>
  <c r="J712" i="7"/>
  <c r="J713" i="7" l="1"/>
  <c r="I713" i="7"/>
  <c r="G714" i="7" s="1"/>
  <c r="I714" i="7" l="1"/>
  <c r="G715" i="7" s="1"/>
  <c r="J714" i="7"/>
  <c r="J715" i="7" l="1"/>
  <c r="I715" i="7"/>
  <c r="G716" i="7" s="1"/>
  <c r="I716" i="7" l="1"/>
  <c r="G717" i="7" s="1"/>
  <c r="J716" i="7"/>
  <c r="J717" i="7" l="1"/>
  <c r="I717" i="7"/>
  <c r="G718" i="7" s="1"/>
  <c r="I718" i="7" l="1"/>
  <c r="G719" i="7" s="1"/>
  <c r="J718" i="7"/>
  <c r="J719" i="7" l="1"/>
  <c r="I719" i="7"/>
  <c r="G720" i="7" s="1"/>
  <c r="I720" i="7" l="1"/>
  <c r="G721" i="7" s="1"/>
  <c r="J720" i="7"/>
  <c r="J721" i="7" l="1"/>
  <c r="I721" i="7"/>
  <c r="G722" i="7" s="1"/>
  <c r="I722" i="7" l="1"/>
  <c r="G723" i="7" s="1"/>
  <c r="J722" i="7"/>
  <c r="J723" i="7" l="1"/>
  <c r="I723" i="7"/>
  <c r="G724" i="7" s="1"/>
  <c r="I724" i="7" l="1"/>
  <c r="G725" i="7" s="1"/>
  <c r="J724" i="7"/>
  <c r="J725" i="7" l="1"/>
  <c r="I725" i="7"/>
  <c r="G726" i="7" s="1"/>
  <c r="I726" i="7" l="1"/>
  <c r="G727" i="7" s="1"/>
  <c r="J726" i="7"/>
  <c r="J727" i="7" l="1"/>
  <c r="I727" i="7"/>
  <c r="G728" i="7" s="1"/>
  <c r="I728" i="7" l="1"/>
  <c r="G729" i="7" s="1"/>
  <c r="J728" i="7"/>
  <c r="J729" i="7" l="1"/>
  <c r="I729" i="7"/>
  <c r="G730" i="7" s="1"/>
  <c r="I730" i="7" l="1"/>
  <c r="G731" i="7" s="1"/>
  <c r="J730" i="7"/>
  <c r="J731" i="7" l="1"/>
  <c r="I731" i="7"/>
  <c r="G732" i="7" s="1"/>
  <c r="I732" i="7" l="1"/>
  <c r="G733" i="7" s="1"/>
  <c r="J732" i="7"/>
  <c r="J733" i="7" l="1"/>
  <c r="I733" i="7"/>
  <c r="G734" i="7" s="1"/>
  <c r="I734" i="7" l="1"/>
  <c r="G735" i="7" s="1"/>
  <c r="J734" i="7"/>
  <c r="J735" i="7" l="1"/>
  <c r="I735" i="7"/>
  <c r="G736" i="7" s="1"/>
  <c r="I736" i="7" l="1"/>
  <c r="G737" i="7" s="1"/>
  <c r="J736" i="7"/>
  <c r="J737" i="7" l="1"/>
  <c r="I737" i="7"/>
  <c r="G738" i="7" s="1"/>
  <c r="I738" i="7" l="1"/>
  <c r="G739" i="7" s="1"/>
  <c r="J738" i="7"/>
  <c r="J739" i="7" l="1"/>
  <c r="I739" i="7"/>
  <c r="G740" i="7" s="1"/>
  <c r="I740" i="7" l="1"/>
  <c r="G741" i="7" s="1"/>
  <c r="J740" i="7"/>
  <c r="J741" i="7" l="1"/>
  <c r="I741" i="7"/>
  <c r="G742" i="7" s="1"/>
  <c r="I742" i="7" l="1"/>
  <c r="G743" i="7" s="1"/>
  <c r="J742" i="7"/>
  <c r="J743" i="7" l="1"/>
  <c r="I743" i="7"/>
  <c r="G744" i="7" s="1"/>
  <c r="I744" i="7" l="1"/>
  <c r="G745" i="7" s="1"/>
  <c r="J744" i="7"/>
  <c r="J745" i="7" l="1"/>
  <c r="I745" i="7"/>
  <c r="G746" i="7" s="1"/>
  <c r="I746" i="7" l="1"/>
  <c r="G747" i="7" s="1"/>
  <c r="J746" i="7"/>
  <c r="J747" i="7" l="1"/>
  <c r="I747" i="7"/>
  <c r="G748" i="7" s="1"/>
  <c r="I748" i="7" l="1"/>
  <c r="G749" i="7" s="1"/>
  <c r="J748" i="7"/>
  <c r="J749" i="7" l="1"/>
  <c r="I749" i="7"/>
  <c r="G750" i="7" s="1"/>
  <c r="I750" i="7" l="1"/>
  <c r="G751" i="7" s="1"/>
  <c r="J750" i="7"/>
  <c r="J751" i="7" l="1"/>
  <c r="I751" i="7"/>
  <c r="G752" i="7" s="1"/>
  <c r="I752" i="7" l="1"/>
  <c r="G753" i="7" s="1"/>
  <c r="J752" i="7"/>
  <c r="J753" i="7" l="1"/>
  <c r="I753" i="7"/>
  <c r="G754" i="7" s="1"/>
  <c r="I754" i="7" l="1"/>
  <c r="G755" i="7" s="1"/>
  <c r="J754" i="7"/>
  <c r="J755" i="7" l="1"/>
  <c r="I755" i="7"/>
  <c r="G756" i="7" s="1"/>
  <c r="I756" i="7" l="1"/>
  <c r="G757" i="7" s="1"/>
  <c r="J756" i="7"/>
  <c r="J757" i="7" l="1"/>
  <c r="I757" i="7"/>
  <c r="G758" i="7" s="1"/>
  <c r="I758" i="7" l="1"/>
  <c r="G759" i="7" s="1"/>
  <c r="J758" i="7"/>
  <c r="J759" i="7" l="1"/>
  <c r="I759" i="7"/>
  <c r="G760" i="7" s="1"/>
  <c r="I760" i="7" l="1"/>
  <c r="G761" i="7" s="1"/>
  <c r="J760" i="7"/>
  <c r="J761" i="7" l="1"/>
  <c r="I761" i="7"/>
  <c r="G762" i="7" s="1"/>
  <c r="I762" i="7" l="1"/>
  <c r="G763" i="7" s="1"/>
  <c r="J762" i="7"/>
  <c r="J763" i="7" l="1"/>
  <c r="I763" i="7"/>
  <c r="G764" i="7" s="1"/>
  <c r="I764" i="7" l="1"/>
  <c r="G765" i="7" s="1"/>
  <c r="J764" i="7"/>
  <c r="J765" i="7" l="1"/>
  <c r="I765" i="7"/>
  <c r="G766" i="7" s="1"/>
  <c r="I766" i="7" l="1"/>
  <c r="G767" i="7" s="1"/>
  <c r="J766" i="7"/>
  <c r="J767" i="7" l="1"/>
  <c r="I767" i="7"/>
  <c r="G768" i="7" s="1"/>
  <c r="I768" i="7" l="1"/>
  <c r="G769" i="7" s="1"/>
  <c r="J768" i="7"/>
  <c r="J769" i="7" l="1"/>
  <c r="I769" i="7"/>
  <c r="G770" i="7" s="1"/>
  <c r="I770" i="7" l="1"/>
  <c r="G771" i="7" s="1"/>
  <c r="J770" i="7"/>
  <c r="J771" i="7" l="1"/>
  <c r="I771" i="7"/>
  <c r="G772" i="7" s="1"/>
  <c r="I772" i="7" l="1"/>
  <c r="G773" i="7" s="1"/>
  <c r="J772" i="7"/>
  <c r="J773" i="7" l="1"/>
  <c r="I773" i="7"/>
  <c r="G774" i="7" s="1"/>
  <c r="I774" i="7" l="1"/>
  <c r="G775" i="7" s="1"/>
  <c r="J774" i="7"/>
  <c r="J775" i="7" l="1"/>
  <c r="I775" i="7"/>
  <c r="G776" i="7" s="1"/>
  <c r="I776" i="7" l="1"/>
  <c r="G777" i="7" s="1"/>
  <c r="J776" i="7"/>
  <c r="J777" i="7" l="1"/>
  <c r="I777" i="7"/>
  <c r="G778" i="7" s="1"/>
  <c r="I778" i="7" l="1"/>
  <c r="G779" i="7" s="1"/>
  <c r="J778" i="7"/>
  <c r="J779" i="7" l="1"/>
  <c r="I779" i="7"/>
  <c r="G780" i="7" s="1"/>
  <c r="I780" i="7" l="1"/>
  <c r="G781" i="7" s="1"/>
  <c r="J780" i="7"/>
  <c r="J781" i="7" l="1"/>
  <c r="I781" i="7"/>
  <c r="G782" i="7" s="1"/>
  <c r="I782" i="7" l="1"/>
  <c r="G783" i="7" s="1"/>
  <c r="J782" i="7"/>
  <c r="J783" i="7" l="1"/>
  <c r="I783" i="7"/>
  <c r="G784" i="7" s="1"/>
  <c r="I784" i="7" l="1"/>
  <c r="G785" i="7" s="1"/>
  <c r="J784" i="7"/>
  <c r="J785" i="7" l="1"/>
  <c r="I785" i="7"/>
  <c r="G786" i="7" s="1"/>
  <c r="I786" i="7" l="1"/>
  <c r="G787" i="7" s="1"/>
  <c r="J786" i="7"/>
  <c r="J787" i="7" l="1"/>
  <c r="I787" i="7"/>
  <c r="G788" i="7" s="1"/>
  <c r="I788" i="7" l="1"/>
  <c r="G789" i="7" s="1"/>
  <c r="J788" i="7"/>
  <c r="J789" i="7" l="1"/>
  <c r="I789" i="7"/>
  <c r="G790" i="7" s="1"/>
  <c r="I790" i="7" l="1"/>
  <c r="G791" i="7" s="1"/>
  <c r="J790" i="7"/>
  <c r="J791" i="7" l="1"/>
  <c r="I791" i="7"/>
  <c r="G792" i="7" s="1"/>
  <c r="I792" i="7" l="1"/>
  <c r="G793" i="7" s="1"/>
  <c r="J792" i="7"/>
  <c r="J793" i="7" l="1"/>
  <c r="I793" i="7"/>
  <c r="G794" i="7" s="1"/>
  <c r="I794" i="7" l="1"/>
  <c r="G795" i="7" s="1"/>
  <c r="J794" i="7"/>
  <c r="J795" i="7" l="1"/>
  <c r="I795" i="7"/>
  <c r="G796" i="7" s="1"/>
  <c r="I796" i="7" l="1"/>
  <c r="G797" i="7" s="1"/>
  <c r="J796" i="7"/>
  <c r="J797" i="7" l="1"/>
  <c r="I797" i="7"/>
  <c r="G798" i="7" s="1"/>
  <c r="I798" i="7" l="1"/>
  <c r="G799" i="7" s="1"/>
  <c r="J798" i="7"/>
  <c r="J799" i="7" l="1"/>
  <c r="I799" i="7"/>
  <c r="G800" i="7" s="1"/>
  <c r="I800" i="7" l="1"/>
  <c r="G801" i="7" s="1"/>
  <c r="J800" i="7"/>
  <c r="J801" i="7" l="1"/>
  <c r="I801" i="7"/>
  <c r="G802" i="7" s="1"/>
  <c r="I802" i="7" l="1"/>
  <c r="G803" i="7" s="1"/>
  <c r="J802" i="7"/>
  <c r="J803" i="7" l="1"/>
  <c r="I803" i="7"/>
  <c r="G804" i="7" s="1"/>
  <c r="I804" i="7" l="1"/>
  <c r="G805" i="7" s="1"/>
  <c r="J804" i="7"/>
  <c r="J805" i="7" l="1"/>
  <c r="I805" i="7"/>
  <c r="G806" i="7" s="1"/>
  <c r="I806" i="7" l="1"/>
  <c r="G807" i="7" s="1"/>
  <c r="J806" i="7"/>
  <c r="J807" i="7" l="1"/>
  <c r="I807" i="7"/>
  <c r="G808" i="7" s="1"/>
  <c r="I808" i="7" l="1"/>
  <c r="G809" i="7" s="1"/>
  <c r="J808" i="7"/>
  <c r="J809" i="7" l="1"/>
  <c r="I809" i="7"/>
  <c r="G810" i="7" s="1"/>
  <c r="I810" i="7" l="1"/>
  <c r="G811" i="7" s="1"/>
  <c r="J810" i="7"/>
  <c r="J811" i="7" l="1"/>
  <c r="I811" i="7"/>
  <c r="G812" i="7" s="1"/>
  <c r="I812" i="7" l="1"/>
  <c r="G813" i="7" s="1"/>
  <c r="J812" i="7"/>
  <c r="J813" i="7" l="1"/>
  <c r="I813" i="7"/>
  <c r="G814" i="7" s="1"/>
  <c r="I814" i="7" l="1"/>
  <c r="G815" i="7" s="1"/>
  <c r="J814" i="7"/>
  <c r="I815" i="7" l="1"/>
  <c r="G816" i="7" s="1"/>
  <c r="J815" i="7"/>
  <c r="I816" i="7" l="1"/>
  <c r="G817" i="7" s="1"/>
  <c r="J816" i="7"/>
  <c r="J817" i="7" l="1"/>
  <c r="I817" i="7"/>
  <c r="G818" i="7" s="1"/>
  <c r="I818" i="7" l="1"/>
  <c r="G819" i="7" s="1"/>
  <c r="J818" i="7"/>
  <c r="J819" i="7" l="1"/>
  <c r="I819" i="7"/>
  <c r="G820" i="7" s="1"/>
  <c r="I820" i="7" l="1"/>
  <c r="G821" i="7" s="1"/>
  <c r="J820" i="7"/>
  <c r="J821" i="7" l="1"/>
  <c r="I821" i="7"/>
  <c r="G822" i="7" s="1"/>
  <c r="I822" i="7" l="1"/>
  <c r="G823" i="7" s="1"/>
  <c r="J822" i="7"/>
  <c r="J823" i="7" l="1"/>
  <c r="I823" i="7"/>
  <c r="G824" i="7" s="1"/>
  <c r="I824" i="7" l="1"/>
  <c r="G825" i="7" s="1"/>
  <c r="J824" i="7"/>
  <c r="J825" i="7" l="1"/>
  <c r="I825" i="7"/>
  <c r="G826" i="7" s="1"/>
  <c r="I826" i="7" l="1"/>
  <c r="G827" i="7" s="1"/>
  <c r="J826" i="7"/>
  <c r="J827" i="7" l="1"/>
  <c r="I827" i="7"/>
  <c r="G828" i="7" s="1"/>
  <c r="I828" i="7" l="1"/>
  <c r="G829" i="7" s="1"/>
  <c r="J828" i="7"/>
  <c r="J829" i="7" l="1"/>
  <c r="I829" i="7"/>
  <c r="G830" i="7" s="1"/>
  <c r="I830" i="7" l="1"/>
  <c r="G831" i="7" s="1"/>
  <c r="J830" i="7"/>
  <c r="J831" i="7" l="1"/>
  <c r="I831" i="7"/>
  <c r="G832" i="7" s="1"/>
  <c r="I832" i="7" l="1"/>
  <c r="G833" i="7" s="1"/>
  <c r="J832" i="7"/>
  <c r="J833" i="7" l="1"/>
  <c r="I833" i="7"/>
  <c r="G834" i="7" s="1"/>
  <c r="I834" i="7" l="1"/>
  <c r="G835" i="7" s="1"/>
  <c r="J834" i="7"/>
  <c r="J835" i="7" l="1"/>
  <c r="I835" i="7"/>
  <c r="G836" i="7" s="1"/>
  <c r="I836" i="7" l="1"/>
  <c r="G837" i="7" s="1"/>
  <c r="J836" i="7"/>
  <c r="J837" i="7" l="1"/>
  <c r="I837" i="7"/>
  <c r="G838" i="7" s="1"/>
  <c r="I838" i="7" l="1"/>
  <c r="G839" i="7" s="1"/>
  <c r="J838" i="7"/>
  <c r="J839" i="7" l="1"/>
  <c r="I839" i="7"/>
  <c r="G840" i="7" s="1"/>
  <c r="I840" i="7" l="1"/>
  <c r="G841" i="7" s="1"/>
  <c r="J840" i="7"/>
  <c r="J841" i="7" l="1"/>
  <c r="I841" i="7"/>
  <c r="G842" i="7" s="1"/>
  <c r="I842" i="7" l="1"/>
  <c r="G843" i="7" s="1"/>
  <c r="J842" i="7"/>
  <c r="J843" i="7" l="1"/>
  <c r="I843" i="7"/>
  <c r="G844" i="7" s="1"/>
  <c r="I844" i="7" l="1"/>
  <c r="G845" i="7" s="1"/>
  <c r="J844" i="7"/>
  <c r="J845" i="7" l="1"/>
  <c r="I845" i="7"/>
  <c r="G846" i="7" s="1"/>
  <c r="I846" i="7" l="1"/>
  <c r="G847" i="7" s="1"/>
  <c r="J846" i="7"/>
  <c r="J847" i="7" l="1"/>
  <c r="I847" i="7"/>
  <c r="G848" i="7" s="1"/>
  <c r="I848" i="7" l="1"/>
  <c r="G849" i="7" s="1"/>
  <c r="J848" i="7"/>
  <c r="J849" i="7" l="1"/>
  <c r="I849" i="7"/>
  <c r="G850" i="7" s="1"/>
  <c r="I850" i="7" l="1"/>
  <c r="G851" i="7" s="1"/>
  <c r="J850" i="7"/>
  <c r="J851" i="7" l="1"/>
  <c r="I851" i="7"/>
  <c r="G852" i="7" s="1"/>
  <c r="I852" i="7" l="1"/>
  <c r="G853" i="7" s="1"/>
  <c r="J852" i="7"/>
  <c r="J853" i="7" l="1"/>
  <c r="I853" i="7"/>
  <c r="G854" i="7" s="1"/>
  <c r="I854" i="7" l="1"/>
  <c r="G855" i="7" s="1"/>
  <c r="J854" i="7"/>
  <c r="J855" i="7" l="1"/>
  <c r="I855" i="7"/>
  <c r="G856" i="7" s="1"/>
  <c r="I856" i="7" l="1"/>
  <c r="G857" i="7" s="1"/>
  <c r="J856" i="7"/>
  <c r="J857" i="7" l="1"/>
  <c r="I857" i="7"/>
  <c r="G858" i="7" s="1"/>
  <c r="I858" i="7" l="1"/>
  <c r="G859" i="7" s="1"/>
  <c r="J858" i="7"/>
  <c r="J859" i="7" l="1"/>
  <c r="I859" i="7"/>
  <c r="G860" i="7" s="1"/>
  <c r="I860" i="7" l="1"/>
  <c r="G861" i="7" s="1"/>
  <c r="J860" i="7"/>
  <c r="J861" i="7" l="1"/>
  <c r="I861" i="7"/>
  <c r="G862" i="7" s="1"/>
  <c r="I862" i="7" l="1"/>
  <c r="G863" i="7" s="1"/>
  <c r="J862" i="7"/>
  <c r="J863" i="7" l="1"/>
  <c r="I863" i="7"/>
  <c r="G864" i="7" s="1"/>
  <c r="I864" i="7" l="1"/>
  <c r="G865" i="7" s="1"/>
  <c r="J864" i="7"/>
  <c r="J865" i="7" l="1"/>
  <c r="I865" i="7"/>
  <c r="G866" i="7" s="1"/>
  <c r="I866" i="7" l="1"/>
  <c r="G867" i="7" s="1"/>
  <c r="J866" i="7"/>
  <c r="J867" i="7" l="1"/>
  <c r="I867" i="7"/>
  <c r="G868" i="7" s="1"/>
  <c r="I868" i="7" l="1"/>
  <c r="G869" i="7" s="1"/>
  <c r="J868" i="7"/>
  <c r="J869" i="7" l="1"/>
  <c r="I869" i="7"/>
  <c r="G870" i="7" s="1"/>
  <c r="I870" i="7" l="1"/>
  <c r="G871" i="7" s="1"/>
  <c r="J870" i="7"/>
  <c r="J871" i="7" l="1"/>
  <c r="I871" i="7"/>
  <c r="G872" i="7" s="1"/>
  <c r="I872" i="7" l="1"/>
  <c r="G873" i="7" s="1"/>
  <c r="J872" i="7"/>
  <c r="J873" i="7" l="1"/>
  <c r="I873" i="7"/>
  <c r="G874" i="7" s="1"/>
  <c r="I874" i="7" l="1"/>
  <c r="G875" i="7" s="1"/>
  <c r="J874" i="7"/>
  <c r="J875" i="7" l="1"/>
  <c r="I875" i="7"/>
  <c r="G876" i="7" s="1"/>
  <c r="I876" i="7" l="1"/>
  <c r="G877" i="7" s="1"/>
  <c r="J876" i="7"/>
  <c r="J877" i="7" l="1"/>
  <c r="I877" i="7"/>
  <c r="G878" i="7" s="1"/>
  <c r="I878" i="7" l="1"/>
  <c r="G879" i="7" s="1"/>
  <c r="J878" i="7"/>
  <c r="J879" i="7" l="1"/>
  <c r="I879" i="7"/>
  <c r="G880" i="7" s="1"/>
  <c r="I880" i="7" l="1"/>
  <c r="G881" i="7" s="1"/>
  <c r="J880" i="7"/>
  <c r="J881" i="7" l="1"/>
  <c r="I881" i="7"/>
  <c r="G882" i="7" s="1"/>
  <c r="I882" i="7" l="1"/>
  <c r="G883" i="7" s="1"/>
  <c r="J882" i="7"/>
  <c r="J883" i="7" l="1"/>
  <c r="I883" i="7"/>
  <c r="G884" i="7" s="1"/>
  <c r="I884" i="7" l="1"/>
  <c r="G885" i="7" s="1"/>
  <c r="J884" i="7"/>
  <c r="J885" i="7" l="1"/>
  <c r="I885" i="7"/>
  <c r="G886" i="7" s="1"/>
  <c r="I886" i="7" l="1"/>
  <c r="G887" i="7" s="1"/>
  <c r="J886" i="7"/>
  <c r="J887" i="7" l="1"/>
  <c r="I887" i="7"/>
  <c r="G888" i="7" s="1"/>
  <c r="I888" i="7" l="1"/>
  <c r="G889" i="7" s="1"/>
  <c r="J888" i="7"/>
  <c r="J889" i="7" l="1"/>
  <c r="I889" i="7"/>
  <c r="G890" i="7" s="1"/>
  <c r="I890" i="7" l="1"/>
  <c r="G891" i="7" s="1"/>
  <c r="J890" i="7"/>
  <c r="J891" i="7" l="1"/>
  <c r="I891" i="7"/>
  <c r="G892" i="7" s="1"/>
  <c r="I892" i="7" l="1"/>
  <c r="G893" i="7" s="1"/>
  <c r="J892" i="7"/>
  <c r="J893" i="7" l="1"/>
  <c r="I893" i="7"/>
  <c r="G894" i="7" s="1"/>
  <c r="I894" i="7" l="1"/>
  <c r="G895" i="7" s="1"/>
  <c r="J894" i="7"/>
  <c r="J895" i="7" l="1"/>
  <c r="I895" i="7"/>
  <c r="G896" i="7" s="1"/>
  <c r="I896" i="7" l="1"/>
  <c r="G897" i="7" s="1"/>
  <c r="J896" i="7"/>
  <c r="J897" i="7" l="1"/>
  <c r="I897" i="7"/>
  <c r="G898" i="7" s="1"/>
  <c r="I898" i="7" l="1"/>
  <c r="G899" i="7" s="1"/>
  <c r="J898" i="7"/>
  <c r="J899" i="7" l="1"/>
  <c r="I899" i="7"/>
  <c r="G900" i="7" s="1"/>
  <c r="I900" i="7" l="1"/>
  <c r="G901" i="7" s="1"/>
  <c r="J900" i="7"/>
  <c r="J901" i="7" l="1"/>
  <c r="I901" i="7"/>
  <c r="G902" i="7" s="1"/>
  <c r="I902" i="7" l="1"/>
  <c r="G903" i="7" s="1"/>
  <c r="J902" i="7"/>
  <c r="J903" i="7" l="1"/>
  <c r="I903" i="7"/>
  <c r="G904" i="7" s="1"/>
  <c r="I904" i="7" l="1"/>
  <c r="G905" i="7" s="1"/>
  <c r="J904" i="7"/>
  <c r="J905" i="7" l="1"/>
  <c r="I905" i="7"/>
  <c r="G906" i="7" s="1"/>
  <c r="I906" i="7" l="1"/>
  <c r="G907" i="7" s="1"/>
  <c r="J906" i="7"/>
  <c r="J907" i="7" l="1"/>
  <c r="I907" i="7"/>
  <c r="G908" i="7" s="1"/>
  <c r="I908" i="7" l="1"/>
  <c r="G909" i="7" s="1"/>
  <c r="J908" i="7"/>
  <c r="J909" i="7" l="1"/>
  <c r="I909" i="7"/>
  <c r="G910" i="7" s="1"/>
  <c r="I910" i="7" l="1"/>
  <c r="G911" i="7" s="1"/>
  <c r="J910" i="7"/>
  <c r="J911" i="7" l="1"/>
  <c r="I911" i="7"/>
  <c r="G912" i="7" s="1"/>
  <c r="I912" i="7" l="1"/>
  <c r="G913" i="7" s="1"/>
  <c r="J912" i="7"/>
  <c r="J913" i="7" l="1"/>
  <c r="I913" i="7"/>
  <c r="G914" i="7" s="1"/>
  <c r="I914" i="7" l="1"/>
  <c r="G915" i="7" s="1"/>
  <c r="J914" i="7"/>
  <c r="J915" i="7" l="1"/>
  <c r="I915" i="7"/>
  <c r="G916" i="7" s="1"/>
  <c r="I916" i="7" l="1"/>
  <c r="G917" i="7" s="1"/>
  <c r="J916" i="7"/>
  <c r="J917" i="7" l="1"/>
  <c r="I917" i="7"/>
  <c r="G918" i="7" s="1"/>
  <c r="I918" i="7" l="1"/>
  <c r="G919" i="7" s="1"/>
  <c r="J918" i="7"/>
  <c r="J919" i="7" l="1"/>
  <c r="I919" i="7"/>
  <c r="G920" i="7" s="1"/>
  <c r="I920" i="7" l="1"/>
  <c r="G921" i="7" s="1"/>
  <c r="J920" i="7"/>
  <c r="J921" i="7" l="1"/>
  <c r="I921" i="7"/>
  <c r="G922" i="7" s="1"/>
  <c r="I922" i="7" l="1"/>
  <c r="G923" i="7" s="1"/>
  <c r="J922" i="7"/>
  <c r="J923" i="7" l="1"/>
  <c r="I923" i="7"/>
  <c r="G924" i="7" s="1"/>
  <c r="I924" i="7" l="1"/>
  <c r="G925" i="7" s="1"/>
  <c r="J924" i="7"/>
  <c r="J925" i="7" l="1"/>
  <c r="I925" i="7"/>
  <c r="G926" i="7" s="1"/>
  <c r="I926" i="7" l="1"/>
  <c r="G927" i="7" s="1"/>
  <c r="J926" i="7"/>
  <c r="J927" i="7" l="1"/>
  <c r="I927" i="7"/>
  <c r="G928" i="7" s="1"/>
  <c r="I928" i="7" l="1"/>
  <c r="G929" i="7" s="1"/>
  <c r="J928" i="7"/>
  <c r="J929" i="7" l="1"/>
  <c r="I929" i="7"/>
  <c r="G930" i="7" s="1"/>
  <c r="I930" i="7" l="1"/>
  <c r="G931" i="7" s="1"/>
  <c r="J930" i="7"/>
  <c r="J931" i="7" l="1"/>
  <c r="I931" i="7"/>
  <c r="G932" i="7" s="1"/>
  <c r="I932" i="7" l="1"/>
  <c r="G933" i="7" s="1"/>
  <c r="J932" i="7"/>
  <c r="J933" i="7" l="1"/>
  <c r="I933" i="7"/>
  <c r="G934" i="7" s="1"/>
  <c r="I934" i="7" l="1"/>
  <c r="G935" i="7" s="1"/>
  <c r="J934" i="7"/>
  <c r="J935" i="7" l="1"/>
  <c r="I935" i="7"/>
  <c r="G936" i="7" s="1"/>
  <c r="I936" i="7" l="1"/>
  <c r="G937" i="7" s="1"/>
  <c r="J936" i="7"/>
  <c r="J937" i="7" l="1"/>
  <c r="I937" i="7"/>
  <c r="G938" i="7" s="1"/>
  <c r="I938" i="7" l="1"/>
  <c r="G939" i="7" s="1"/>
  <c r="J938" i="7"/>
  <c r="J939" i="7" l="1"/>
  <c r="I939" i="7"/>
  <c r="G940" i="7" s="1"/>
  <c r="I940" i="7" l="1"/>
  <c r="G941" i="7" s="1"/>
  <c r="J940" i="7"/>
  <c r="J941" i="7" l="1"/>
  <c r="I941" i="7"/>
  <c r="G942" i="7" s="1"/>
  <c r="I942" i="7" l="1"/>
  <c r="G943" i="7" s="1"/>
  <c r="J942" i="7"/>
  <c r="J943" i="7" l="1"/>
  <c r="I943" i="7"/>
  <c r="G944" i="7" s="1"/>
  <c r="I944" i="7" l="1"/>
  <c r="G945" i="7" s="1"/>
  <c r="J944" i="7"/>
  <c r="J945" i="7" l="1"/>
  <c r="I945" i="7"/>
  <c r="G946" i="7" s="1"/>
  <c r="I946" i="7" l="1"/>
  <c r="G947" i="7" s="1"/>
  <c r="J946" i="7"/>
  <c r="J947" i="7" l="1"/>
  <c r="I947" i="7"/>
  <c r="G948" i="7" s="1"/>
  <c r="I948" i="7" l="1"/>
  <c r="G949" i="7" s="1"/>
  <c r="J948" i="7"/>
  <c r="J949" i="7" l="1"/>
  <c r="I949" i="7"/>
  <c r="G950" i="7" s="1"/>
  <c r="I950" i="7" l="1"/>
  <c r="G951" i="7" s="1"/>
  <c r="J950" i="7"/>
  <c r="J951" i="7" l="1"/>
  <c r="I951" i="7"/>
  <c r="G952" i="7" s="1"/>
  <c r="I952" i="7" l="1"/>
  <c r="G953" i="7" s="1"/>
  <c r="J952" i="7"/>
  <c r="J953" i="7" l="1"/>
  <c r="I953" i="7"/>
  <c r="G954" i="7" s="1"/>
  <c r="I954" i="7" l="1"/>
  <c r="G955" i="7" s="1"/>
  <c r="J954" i="7"/>
  <c r="J955" i="7" l="1"/>
  <c r="I955" i="7"/>
  <c r="G956" i="7" s="1"/>
  <c r="I956" i="7" l="1"/>
  <c r="G957" i="7" s="1"/>
  <c r="J956" i="7"/>
  <c r="J957" i="7" l="1"/>
  <c r="I957" i="7"/>
  <c r="G958" i="7" s="1"/>
  <c r="I958" i="7" l="1"/>
  <c r="G959" i="7" s="1"/>
  <c r="J958" i="7"/>
  <c r="J959" i="7" l="1"/>
  <c r="I959" i="7"/>
  <c r="G960" i="7" s="1"/>
  <c r="I960" i="7" l="1"/>
  <c r="G961" i="7" s="1"/>
  <c r="J960" i="7"/>
  <c r="J961" i="7" l="1"/>
  <c r="I961" i="7"/>
  <c r="G962" i="7" s="1"/>
  <c r="I962" i="7" l="1"/>
  <c r="G963" i="7" s="1"/>
  <c r="J962" i="7"/>
  <c r="J963" i="7" l="1"/>
  <c r="I963" i="7"/>
  <c r="G964" i="7" s="1"/>
  <c r="I964" i="7" l="1"/>
  <c r="G965" i="7" s="1"/>
  <c r="J964" i="7"/>
  <c r="J965" i="7" l="1"/>
  <c r="I965" i="7"/>
  <c r="G966" i="7" s="1"/>
  <c r="I966" i="7" l="1"/>
  <c r="G967" i="7" s="1"/>
  <c r="J966" i="7"/>
  <c r="J967" i="7" l="1"/>
  <c r="I967" i="7"/>
  <c r="G968" i="7" s="1"/>
  <c r="I968" i="7" l="1"/>
  <c r="G969" i="7" s="1"/>
  <c r="J968" i="7"/>
  <c r="J969" i="7" l="1"/>
  <c r="I969" i="7"/>
  <c r="G970" i="7" s="1"/>
  <c r="I970" i="7" l="1"/>
  <c r="G971" i="7" s="1"/>
  <c r="J970" i="7"/>
  <c r="J971" i="7" l="1"/>
  <c r="I971" i="7"/>
  <c r="G972" i="7" s="1"/>
  <c r="I972" i="7" l="1"/>
  <c r="G973" i="7" s="1"/>
  <c r="J972" i="7"/>
  <c r="J973" i="7" l="1"/>
  <c r="I973" i="7"/>
  <c r="G974" i="7" s="1"/>
  <c r="I974" i="7" l="1"/>
  <c r="G975" i="7" s="1"/>
  <c r="J974" i="7"/>
  <c r="J975" i="7" l="1"/>
  <c r="I975" i="7"/>
  <c r="G976" i="7" s="1"/>
  <c r="I976" i="7" l="1"/>
  <c r="G977" i="7" s="1"/>
  <c r="J976" i="7"/>
  <c r="J977" i="7" l="1"/>
  <c r="I977" i="7"/>
  <c r="G978" i="7" s="1"/>
  <c r="I978" i="7" l="1"/>
  <c r="G979" i="7" s="1"/>
  <c r="J978" i="7"/>
  <c r="J979" i="7" l="1"/>
  <c r="I979" i="7"/>
  <c r="G980" i="7" s="1"/>
  <c r="I980" i="7" l="1"/>
  <c r="G981" i="7" s="1"/>
  <c r="J980" i="7"/>
  <c r="J981" i="7" l="1"/>
  <c r="I981" i="7"/>
  <c r="G982" i="7" s="1"/>
  <c r="I982" i="7" l="1"/>
  <c r="G983" i="7" s="1"/>
  <c r="J982" i="7"/>
  <c r="J983" i="7" l="1"/>
  <c r="I983" i="7"/>
  <c r="G984" i="7" s="1"/>
  <c r="J984" i="7" l="1"/>
  <c r="I984" i="7"/>
  <c r="G985" i="7" s="1"/>
  <c r="J985" i="7" l="1"/>
  <c r="I985" i="7"/>
  <c r="G986" i="7" s="1"/>
  <c r="J986" i="7" l="1"/>
  <c r="I986" i="7"/>
  <c r="G987" i="7" s="1"/>
  <c r="J987" i="7" l="1"/>
  <c r="I987" i="7"/>
  <c r="G988" i="7" s="1"/>
  <c r="J988" i="7" l="1"/>
  <c r="I988" i="7"/>
  <c r="G989" i="7" s="1"/>
  <c r="J989" i="7" l="1"/>
  <c r="I989" i="7"/>
  <c r="G990" i="7" s="1"/>
  <c r="J990" i="7" l="1"/>
  <c r="I990" i="7"/>
  <c r="G991" i="7" s="1"/>
  <c r="J991" i="7" l="1"/>
  <c r="I991" i="7"/>
  <c r="G992" i="7" s="1"/>
  <c r="J992" i="7" l="1"/>
  <c r="I992" i="7"/>
  <c r="G993" i="7" s="1"/>
  <c r="J993" i="7" l="1"/>
  <c r="I993" i="7"/>
  <c r="G994" i="7" s="1"/>
  <c r="J994" i="7" l="1"/>
  <c r="I994" i="7"/>
  <c r="G995" i="7" s="1"/>
  <c r="J995" i="7" l="1"/>
  <c r="I995" i="7"/>
  <c r="G996" i="7" s="1"/>
  <c r="J996" i="7" l="1"/>
  <c r="I996" i="7"/>
  <c r="G997" i="7" s="1"/>
  <c r="J997" i="7" l="1"/>
  <c r="I997" i="7"/>
  <c r="G998" i="7" s="1"/>
  <c r="J998" i="7" l="1"/>
  <c r="I998" i="7"/>
  <c r="G999" i="7" s="1"/>
  <c r="J999" i="7" l="1"/>
  <c r="I999" i="7"/>
  <c r="G1000" i="7" s="1"/>
  <c r="J1000" i="7" l="1"/>
  <c r="I1000" i="7"/>
  <c r="G1001" i="7" s="1"/>
  <c r="J1001" i="7" l="1"/>
  <c r="I1001" i="7"/>
  <c r="G1002" i="7" s="1"/>
  <c r="J1002" i="7" l="1"/>
  <c r="I1002" i="7"/>
  <c r="G1003" i="7" s="1"/>
  <c r="J1003" i="7" l="1"/>
  <c r="I1003" i="7"/>
  <c r="G1004" i="7" s="1"/>
  <c r="J1004" i="7" l="1"/>
  <c r="I1004" i="7"/>
  <c r="G1005" i="7" s="1"/>
  <c r="J1005" i="7" l="1"/>
  <c r="I1005" i="7"/>
  <c r="G1006" i="7" s="1"/>
  <c r="J1006" i="7" l="1"/>
  <c r="I1006" i="7"/>
  <c r="G1007" i="7" s="1"/>
  <c r="J1007" i="7" l="1"/>
  <c r="I1007" i="7"/>
  <c r="G1008" i="7" s="1"/>
  <c r="J1008" i="7" l="1"/>
  <c r="I1008" i="7"/>
  <c r="G1009" i="7" s="1"/>
  <c r="J1009" i="7" l="1"/>
  <c r="I1009" i="7"/>
  <c r="G1010" i="7" s="1"/>
  <c r="J1010" i="7" l="1"/>
  <c r="I1010" i="7"/>
  <c r="G1011" i="7" s="1"/>
  <c r="J1011" i="7" l="1"/>
  <c r="I1011" i="7"/>
  <c r="G1012" i="7" s="1"/>
  <c r="J1012" i="7" l="1"/>
  <c r="I1012" i="7"/>
  <c r="G1013" i="7" s="1"/>
  <c r="J1013" i="7" l="1"/>
  <c r="I1013" i="7"/>
  <c r="G1014" i="7" s="1"/>
  <c r="J1014" i="7" l="1"/>
  <c r="I1014" i="7"/>
  <c r="G1015" i="7" s="1"/>
  <c r="J1015" i="7" l="1"/>
  <c r="I1015" i="7"/>
  <c r="G1016" i="7" s="1"/>
  <c r="J1016" i="7" l="1"/>
  <c r="I1016" i="7"/>
  <c r="G1017" i="7" s="1"/>
  <c r="J1017" i="7" l="1"/>
  <c r="I1017" i="7"/>
  <c r="G1018" i="7" s="1"/>
  <c r="J1018" i="7" l="1"/>
  <c r="I1018" i="7"/>
  <c r="G1019" i="7" s="1"/>
  <c r="J1019" i="7" l="1"/>
  <c r="I1019" i="7"/>
  <c r="G1020" i="7" s="1"/>
  <c r="J1020" i="7" l="1"/>
  <c r="I1020" i="7"/>
  <c r="G1021" i="7" s="1"/>
  <c r="J1021" i="7" l="1"/>
  <c r="I1021" i="7"/>
  <c r="G1022" i="7" s="1"/>
  <c r="J1022" i="7" l="1"/>
  <c r="I1022" i="7"/>
  <c r="G1023" i="7" s="1"/>
  <c r="J1023" i="7" l="1"/>
  <c r="I1023" i="7"/>
  <c r="G1024" i="7" s="1"/>
  <c r="J1024" i="7" l="1"/>
  <c r="I1024" i="7"/>
  <c r="G1025" i="7" s="1"/>
  <c r="J1025" i="7" l="1"/>
  <c r="I1025" i="7"/>
  <c r="G1026" i="7" s="1"/>
  <c r="J1026" i="7" l="1"/>
  <c r="I1026" i="7"/>
  <c r="G1027" i="7" s="1"/>
  <c r="J1027" i="7" l="1"/>
  <c r="I1027" i="7"/>
  <c r="G1028" i="7" s="1"/>
  <c r="J1028" i="7" l="1"/>
  <c r="I1028" i="7"/>
  <c r="G1029" i="7" s="1"/>
  <c r="J1029" i="7" l="1"/>
  <c r="I1029" i="7"/>
  <c r="G1030" i="7" s="1"/>
  <c r="J1030" i="7" l="1"/>
  <c r="I1030" i="7"/>
  <c r="G1031" i="7" s="1"/>
  <c r="J1031" i="7" l="1"/>
  <c r="I1031" i="7"/>
  <c r="G1032" i="7" s="1"/>
  <c r="J1032" i="7" l="1"/>
  <c r="I1032" i="7"/>
  <c r="G1033" i="7" s="1"/>
  <c r="J1033" i="7" l="1"/>
  <c r="I1033" i="7"/>
  <c r="G1034" i="7" s="1"/>
  <c r="J1034" i="7" l="1"/>
  <c r="I1034" i="7"/>
  <c r="G1035" i="7" s="1"/>
  <c r="J1035" i="7" l="1"/>
  <c r="I1035" i="7"/>
  <c r="G1036" i="7" s="1"/>
  <c r="J1036" i="7" l="1"/>
  <c r="I1036" i="7"/>
  <c r="G1037" i="7" s="1"/>
  <c r="J1037" i="7" l="1"/>
  <c r="I1037" i="7"/>
  <c r="G1038" i="7" s="1"/>
  <c r="J1038" i="7" l="1"/>
  <c r="I1038" i="7"/>
  <c r="G1039" i="7" s="1"/>
  <c r="J1039" i="7" l="1"/>
  <c r="I1039" i="7"/>
  <c r="G1040" i="7" s="1"/>
  <c r="J1040" i="7" l="1"/>
  <c r="I1040" i="7"/>
  <c r="G1041" i="7" s="1"/>
  <c r="J1041" i="7" l="1"/>
  <c r="I1041" i="7"/>
  <c r="G1042" i="7" s="1"/>
  <c r="J1042" i="7" l="1"/>
  <c r="I1042" i="7"/>
  <c r="G1043" i="7" s="1"/>
  <c r="J1043" i="7" l="1"/>
  <c r="I1043" i="7"/>
  <c r="G1044" i="7" s="1"/>
  <c r="J1044" i="7" l="1"/>
  <c r="I1044" i="7"/>
  <c r="G1045" i="7" s="1"/>
  <c r="J1045" i="7" l="1"/>
  <c r="I1045" i="7"/>
  <c r="G1046" i="7" s="1"/>
  <c r="J1046" i="7" l="1"/>
  <c r="I1046" i="7"/>
  <c r="G1047" i="7" s="1"/>
  <c r="J1047" i="7" l="1"/>
  <c r="I1047" i="7"/>
  <c r="G1048" i="7" s="1"/>
  <c r="J1048" i="7" l="1"/>
  <c r="I1048" i="7"/>
  <c r="G1049" i="7" s="1"/>
  <c r="J1049" i="7" l="1"/>
  <c r="I1049" i="7"/>
  <c r="G1050" i="7" s="1"/>
  <c r="J1050" i="7" l="1"/>
  <c r="I1050" i="7"/>
  <c r="G1051" i="7" s="1"/>
  <c r="J1051" i="7" l="1"/>
  <c r="I1051" i="7"/>
  <c r="G1052" i="7" s="1"/>
  <c r="J1052" i="7" l="1"/>
  <c r="I1052" i="7"/>
  <c r="G1053" i="7" s="1"/>
  <c r="J1053" i="7" l="1"/>
  <c r="I1053" i="7"/>
  <c r="G1054" i="7" s="1"/>
  <c r="J1054" i="7" l="1"/>
  <c r="I1054" i="7"/>
  <c r="G1055" i="7" s="1"/>
  <c r="J1055" i="7" l="1"/>
  <c r="I1055" i="7"/>
  <c r="G1056" i="7" s="1"/>
  <c r="J1056" i="7" l="1"/>
  <c r="I1056" i="7"/>
  <c r="G1057" i="7" s="1"/>
  <c r="J1057" i="7" l="1"/>
  <c r="I1057" i="7"/>
  <c r="G1058" i="7" s="1"/>
  <c r="J1058" i="7" l="1"/>
  <c r="I1058" i="7"/>
  <c r="G1059" i="7" s="1"/>
  <c r="J1059" i="7" l="1"/>
  <c r="I1059" i="7"/>
  <c r="G1060" i="7" s="1"/>
  <c r="J1060" i="7" l="1"/>
  <c r="I1060" i="7"/>
  <c r="G1061" i="7" s="1"/>
  <c r="J1061" i="7" l="1"/>
  <c r="I1061" i="7"/>
  <c r="G1062" i="7" s="1"/>
  <c r="J1062" i="7" l="1"/>
  <c r="I1062" i="7"/>
  <c r="G1063" i="7" s="1"/>
  <c r="J1063" i="7" l="1"/>
  <c r="I1063" i="7"/>
  <c r="G1064" i="7" s="1"/>
  <c r="J1064" i="7" l="1"/>
  <c r="I1064" i="7"/>
  <c r="G1065" i="7" s="1"/>
  <c r="J1065" i="7" l="1"/>
  <c r="I1065" i="7"/>
  <c r="G1066" i="7" s="1"/>
  <c r="J1066" i="7" l="1"/>
  <c r="I1066" i="7"/>
  <c r="G1067" i="7" s="1"/>
  <c r="J1067" i="7" l="1"/>
  <c r="I1067" i="7"/>
  <c r="G1068" i="7" s="1"/>
  <c r="J1068" i="7" l="1"/>
  <c r="I1068" i="7"/>
  <c r="G1069" i="7" s="1"/>
  <c r="J1069" i="7" l="1"/>
  <c r="I1069" i="7"/>
  <c r="G1070" i="7" s="1"/>
  <c r="J1070" i="7" l="1"/>
  <c r="I1070" i="7"/>
  <c r="G1071" i="7" s="1"/>
  <c r="J1071" i="7" l="1"/>
  <c r="I1071" i="7"/>
  <c r="G1072" i="7" s="1"/>
  <c r="J1072" i="7" l="1"/>
  <c r="I1072" i="7"/>
  <c r="G1073" i="7" s="1"/>
  <c r="J1073" i="7" l="1"/>
  <c r="I1073" i="7"/>
  <c r="G1074" i="7" s="1"/>
  <c r="J1074" i="7" l="1"/>
  <c r="I1074" i="7"/>
  <c r="G1075" i="7" s="1"/>
  <c r="J1075" i="7" l="1"/>
  <c r="I1075" i="7"/>
  <c r="G1076" i="7" s="1"/>
  <c r="J1076" i="7" l="1"/>
  <c r="I1076" i="7"/>
  <c r="G1077" i="7" s="1"/>
  <c r="J1077" i="7" l="1"/>
  <c r="I1077" i="7"/>
  <c r="G1078" i="7" s="1"/>
  <c r="J1078" i="7" l="1"/>
  <c r="I1078" i="7"/>
  <c r="G1079" i="7" s="1"/>
  <c r="J1079" i="7" l="1"/>
  <c r="I1079" i="7"/>
  <c r="G1080" i="7" s="1"/>
  <c r="J1080" i="7" l="1"/>
  <c r="I1080" i="7"/>
  <c r="G1081" i="7" s="1"/>
  <c r="J1081" i="7" l="1"/>
  <c r="I1081" i="7"/>
  <c r="G1082" i="7" s="1"/>
  <c r="J1082" i="7" l="1"/>
  <c r="I1082" i="7"/>
  <c r="G1083" i="7" s="1"/>
  <c r="J1083" i="7" l="1"/>
  <c r="I1083" i="7"/>
  <c r="G1084" i="7" s="1"/>
  <c r="J1084" i="7" l="1"/>
  <c r="I1084" i="7"/>
  <c r="G1085" i="7" s="1"/>
  <c r="J1085" i="7" l="1"/>
  <c r="I1085" i="7"/>
  <c r="G1086" i="7" s="1"/>
  <c r="J1086" i="7" l="1"/>
  <c r="I1086" i="7"/>
  <c r="G1087" i="7" s="1"/>
  <c r="J1087" i="7" l="1"/>
  <c r="I1087" i="7"/>
  <c r="G1088" i="7" s="1"/>
  <c r="J1088" i="7" l="1"/>
  <c r="I1088" i="7"/>
  <c r="G1089" i="7" s="1"/>
  <c r="J1089" i="7" l="1"/>
  <c r="I1089" i="7"/>
  <c r="G1090" i="7" s="1"/>
  <c r="J1090" i="7" l="1"/>
  <c r="I1090" i="7"/>
  <c r="G1091" i="7" s="1"/>
  <c r="J1091" i="7" l="1"/>
  <c r="I1091" i="7"/>
  <c r="G1092" i="7" s="1"/>
  <c r="J1092" i="7" l="1"/>
  <c r="I1092" i="7"/>
  <c r="G1093" i="7" s="1"/>
  <c r="J1093" i="7" l="1"/>
  <c r="I1093" i="7"/>
  <c r="G1094" i="7" s="1"/>
  <c r="J1094" i="7" l="1"/>
  <c r="I1094" i="7"/>
  <c r="G1095" i="7" s="1"/>
  <c r="J1095" i="7" l="1"/>
  <c r="I1095" i="7"/>
  <c r="G1096" i="7" s="1"/>
  <c r="J1096" i="7" l="1"/>
  <c r="I1096" i="7"/>
  <c r="G1097" i="7" s="1"/>
  <c r="J1097" i="7" l="1"/>
  <c r="I1097" i="7"/>
  <c r="G1098" i="7" s="1"/>
  <c r="J1098" i="7" l="1"/>
  <c r="I1098" i="7"/>
  <c r="G1099" i="7" s="1"/>
  <c r="J1099" i="7" l="1"/>
  <c r="I1099" i="7"/>
  <c r="G1100" i="7" s="1"/>
  <c r="J1100" i="7" l="1"/>
  <c r="I1100" i="7"/>
  <c r="G1101" i="7" s="1"/>
  <c r="J1101" i="7" l="1"/>
  <c r="I1101" i="7"/>
  <c r="G1102" i="7" s="1"/>
  <c r="J1102" i="7" l="1"/>
  <c r="I1102" i="7"/>
  <c r="G1103" i="7" s="1"/>
  <c r="J1103" i="7" l="1"/>
  <c r="I1103" i="7"/>
  <c r="G1104" i="7" s="1"/>
  <c r="J1104" i="7" l="1"/>
  <c r="I1104" i="7"/>
  <c r="G1105" i="7" s="1"/>
  <c r="J1105" i="7" l="1"/>
  <c r="I1105" i="7"/>
  <c r="G1106" i="7" s="1"/>
  <c r="J1106" i="7" l="1"/>
  <c r="I1106" i="7"/>
  <c r="G1107" i="7" s="1"/>
  <c r="J1107" i="7" l="1"/>
  <c r="I1107" i="7"/>
  <c r="G1108" i="7" s="1"/>
  <c r="J1108" i="7" l="1"/>
  <c r="I1108" i="7"/>
  <c r="G1109" i="7" s="1"/>
  <c r="J1109" i="7" l="1"/>
  <c r="I1109" i="7"/>
  <c r="G1110" i="7" s="1"/>
  <c r="J1110" i="7" l="1"/>
  <c r="I1110" i="7"/>
  <c r="G1111" i="7" s="1"/>
  <c r="J1111" i="7" l="1"/>
  <c r="I1111" i="7"/>
  <c r="G1112" i="7" s="1"/>
  <c r="J1112" i="7" l="1"/>
  <c r="I1112" i="7"/>
  <c r="G1113" i="7" s="1"/>
  <c r="J1113" i="7" l="1"/>
  <c r="I1113" i="7"/>
  <c r="G1114" i="7" s="1"/>
  <c r="J1114" i="7" l="1"/>
  <c r="I1114" i="7"/>
  <c r="G1115" i="7" s="1"/>
  <c r="J1115" i="7" l="1"/>
  <c r="I1115" i="7"/>
  <c r="G1116" i="7" s="1"/>
  <c r="J1116" i="7" l="1"/>
  <c r="I1116" i="7"/>
  <c r="G1117" i="7" s="1"/>
  <c r="J1117" i="7" l="1"/>
  <c r="I1117" i="7"/>
  <c r="G1118" i="7" s="1"/>
  <c r="J1118" i="7" l="1"/>
  <c r="I1118" i="7"/>
  <c r="G1119" i="7" s="1"/>
  <c r="J1119" i="7" l="1"/>
  <c r="I1119" i="7"/>
  <c r="G1120" i="7" s="1"/>
  <c r="J1120" i="7" l="1"/>
  <c r="I1120" i="7"/>
  <c r="G1121" i="7" s="1"/>
  <c r="J1121" i="7" l="1"/>
  <c r="I1121" i="7"/>
  <c r="G1122" i="7" s="1"/>
  <c r="J1122" i="7" l="1"/>
  <c r="I1122" i="7"/>
  <c r="G1123" i="7" s="1"/>
  <c r="J1123" i="7" l="1"/>
  <c r="I1123" i="7"/>
  <c r="G1124" i="7" s="1"/>
  <c r="J1124" i="7" l="1"/>
  <c r="I1124" i="7"/>
  <c r="G1125" i="7" s="1"/>
  <c r="J1125" i="7" l="1"/>
  <c r="I1125" i="7"/>
  <c r="G1126" i="7" s="1"/>
  <c r="J1126" i="7" l="1"/>
  <c r="I1126" i="7"/>
  <c r="G1127" i="7" s="1"/>
  <c r="J1127" i="7" l="1"/>
  <c r="I1127" i="7"/>
  <c r="G1128" i="7" s="1"/>
  <c r="J1128" i="7" l="1"/>
  <c r="I1128" i="7"/>
  <c r="G1129" i="7" s="1"/>
  <c r="J1129" i="7" l="1"/>
  <c r="I1129" i="7"/>
  <c r="G1130" i="7" s="1"/>
  <c r="J1130" i="7" l="1"/>
  <c r="I1130" i="7"/>
  <c r="G1131" i="7" s="1"/>
  <c r="J1131" i="7" l="1"/>
  <c r="I1131" i="7"/>
  <c r="G1132" i="7" s="1"/>
  <c r="J1132" i="7" l="1"/>
  <c r="I1132" i="7"/>
  <c r="G1133" i="7" s="1"/>
  <c r="J1133" i="7" l="1"/>
  <c r="I1133" i="7"/>
  <c r="G1134" i="7" s="1"/>
  <c r="J1134" i="7" l="1"/>
  <c r="I1134" i="7"/>
  <c r="G1135" i="7" s="1"/>
  <c r="J1135" i="7" l="1"/>
  <c r="I1135" i="7"/>
  <c r="G1136" i="7" s="1"/>
  <c r="J1136" i="7" l="1"/>
  <c r="I1136" i="7"/>
  <c r="G1137" i="7" s="1"/>
  <c r="J1137" i="7" l="1"/>
  <c r="I1137" i="7"/>
  <c r="G1138" i="7" s="1"/>
  <c r="J1138" i="7" l="1"/>
  <c r="I1138" i="7"/>
  <c r="G1139" i="7" s="1"/>
  <c r="J1139" i="7" l="1"/>
  <c r="I1139" i="7"/>
  <c r="G1140" i="7" s="1"/>
  <c r="J1140" i="7" l="1"/>
  <c r="I1140" i="7"/>
  <c r="G1141" i="7" s="1"/>
  <c r="J1141" i="7" l="1"/>
  <c r="I1141" i="7"/>
  <c r="G1142" i="7" s="1"/>
  <c r="J1142" i="7" l="1"/>
  <c r="I1142" i="7"/>
  <c r="G1143" i="7" s="1"/>
  <c r="J1143" i="7" l="1"/>
  <c r="I1143" i="7"/>
  <c r="G1144" i="7" s="1"/>
  <c r="J1144" i="7" l="1"/>
  <c r="I1144" i="7"/>
  <c r="G1145" i="7" s="1"/>
  <c r="J1145" i="7" l="1"/>
  <c r="I1145" i="7"/>
  <c r="G1146" i="7" s="1"/>
  <c r="J1146" i="7" l="1"/>
  <c r="I1146" i="7"/>
  <c r="G1147" i="7" s="1"/>
  <c r="J1147" i="7" l="1"/>
  <c r="I1147" i="7"/>
  <c r="G1148" i="7" s="1"/>
  <c r="J1148" i="7" l="1"/>
  <c r="I1148" i="7"/>
  <c r="G1149" i="7" s="1"/>
  <c r="J1149" i="7" l="1"/>
  <c r="I1149" i="7"/>
  <c r="G1150" i="7" s="1"/>
  <c r="J1150" i="7" l="1"/>
  <c r="I1150" i="7"/>
  <c r="G1151" i="7" s="1"/>
  <c r="J1151" i="7" l="1"/>
  <c r="I1151" i="7"/>
  <c r="G1152" i="7" s="1"/>
  <c r="J1152" i="7" l="1"/>
  <c r="I1152" i="7"/>
  <c r="G1153" i="7" s="1"/>
  <c r="I1153" i="7" l="1"/>
  <c r="G1154" i="7" s="1"/>
  <c r="J1153" i="7"/>
  <c r="J1154" i="7" l="1"/>
  <c r="I1154" i="7"/>
  <c r="G1155" i="7" s="1"/>
  <c r="J1155" i="7" l="1"/>
  <c r="I1155" i="7"/>
  <c r="G1156" i="7" s="1"/>
  <c r="J1156" i="7" l="1"/>
  <c r="I1156" i="7"/>
  <c r="G1157" i="7" s="1"/>
  <c r="J1157" i="7" l="1"/>
  <c r="I1157" i="7"/>
  <c r="G1158" i="7" s="1"/>
  <c r="J1158" i="7" l="1"/>
  <c r="I1158" i="7"/>
  <c r="G1159" i="7" s="1"/>
  <c r="J1159" i="7" l="1"/>
  <c r="I1159" i="7"/>
  <c r="G1160" i="7" s="1"/>
  <c r="J1160" i="7" l="1"/>
  <c r="I1160" i="7"/>
  <c r="G1161" i="7" s="1"/>
  <c r="J1161" i="7" l="1"/>
  <c r="I1161" i="7"/>
  <c r="G1162" i="7" s="1"/>
  <c r="J1162" i="7" l="1"/>
  <c r="I1162" i="7"/>
  <c r="G1163" i="7" s="1"/>
  <c r="J1163" i="7" l="1"/>
  <c r="I1163" i="7"/>
  <c r="G1164" i="7" s="1"/>
  <c r="J1164" i="7" l="1"/>
  <c r="I1164" i="7"/>
  <c r="G1165" i="7" s="1"/>
  <c r="J1165" i="7" l="1"/>
  <c r="I1165" i="7"/>
  <c r="G1166" i="7" s="1"/>
  <c r="J1166" i="7" l="1"/>
  <c r="I1166" i="7"/>
  <c r="G1167" i="7" s="1"/>
  <c r="J1167" i="7" l="1"/>
  <c r="I1167" i="7"/>
  <c r="G1168" i="7" s="1"/>
  <c r="J1168" i="7" l="1"/>
  <c r="I1168" i="7"/>
  <c r="G1169" i="7" s="1"/>
  <c r="J1169" i="7" l="1"/>
  <c r="I1169" i="7"/>
  <c r="G1170" i="7" s="1"/>
  <c r="J1170" i="7" l="1"/>
  <c r="I1170" i="7"/>
  <c r="G1171" i="7" s="1"/>
  <c r="J1171" i="7" l="1"/>
  <c r="I1171" i="7"/>
  <c r="G1172" i="7" s="1"/>
  <c r="J1172" i="7" l="1"/>
  <c r="I1172" i="7"/>
  <c r="G1173" i="7" s="1"/>
  <c r="J1173" i="7" l="1"/>
  <c r="I1173" i="7"/>
  <c r="G1174" i="7" s="1"/>
  <c r="J1174" i="7" l="1"/>
  <c r="I1174" i="7"/>
  <c r="G1175" i="7" s="1"/>
  <c r="J1175" i="7" l="1"/>
  <c r="I1175" i="7"/>
  <c r="G1176" i="7" s="1"/>
  <c r="J1176" i="7" l="1"/>
  <c r="I1176" i="7"/>
  <c r="G1177" i="7" s="1"/>
  <c r="J1177" i="7" l="1"/>
  <c r="I1177" i="7"/>
  <c r="G1178" i="7" s="1"/>
  <c r="J1178" i="7" l="1"/>
  <c r="I1178" i="7"/>
  <c r="G1179" i="7" s="1"/>
  <c r="J1179" i="7" l="1"/>
  <c r="I1179" i="7"/>
  <c r="G1180" i="7" s="1"/>
  <c r="J1180" i="7" l="1"/>
  <c r="I1180" i="7"/>
  <c r="G1181" i="7" s="1"/>
  <c r="J1181" i="7" l="1"/>
  <c r="I1181" i="7"/>
  <c r="G1182" i="7" s="1"/>
  <c r="J1182" i="7" l="1"/>
  <c r="I1182" i="7"/>
  <c r="G1183" i="7" s="1"/>
  <c r="J1183" i="7" l="1"/>
  <c r="I1183" i="7"/>
  <c r="G1184" i="7" s="1"/>
  <c r="J1184" i="7" l="1"/>
  <c r="I1184" i="7"/>
  <c r="G1185" i="7" s="1"/>
  <c r="J1185" i="7" l="1"/>
  <c r="I1185" i="7"/>
  <c r="G1186" i="7" s="1"/>
  <c r="J1186" i="7" l="1"/>
  <c r="I1186" i="7"/>
  <c r="G1187" i="7" s="1"/>
  <c r="J1187" i="7" l="1"/>
  <c r="I1187" i="7"/>
  <c r="G1188" i="7" s="1"/>
  <c r="J1188" i="7" l="1"/>
  <c r="I1188" i="7"/>
  <c r="G1189" i="7" s="1"/>
  <c r="J1189" i="7" l="1"/>
  <c r="I1189" i="7"/>
  <c r="G1190" i="7" s="1"/>
  <c r="J1190" i="7" l="1"/>
  <c r="I1190" i="7"/>
  <c r="G1191" i="7" s="1"/>
  <c r="J1191" i="7" l="1"/>
  <c r="I1191" i="7"/>
  <c r="G1192" i="7" s="1"/>
  <c r="J1192" i="7" l="1"/>
  <c r="I1192" i="7"/>
  <c r="G1193" i="7" s="1"/>
  <c r="J1193" i="7" l="1"/>
  <c r="I1193" i="7"/>
  <c r="G1194" i="7" s="1"/>
  <c r="J1194" i="7" l="1"/>
  <c r="I1194" i="7"/>
  <c r="G1195" i="7" s="1"/>
  <c r="J1195" i="7" l="1"/>
  <c r="I1195" i="7"/>
  <c r="G1196" i="7" s="1"/>
  <c r="J1196" i="7" l="1"/>
  <c r="I1196" i="7"/>
  <c r="G1197" i="7" s="1"/>
  <c r="J1197" i="7" l="1"/>
  <c r="I1197" i="7"/>
  <c r="G1198" i="7" s="1"/>
  <c r="J1198" i="7" l="1"/>
  <c r="I1198" i="7"/>
  <c r="G1199" i="7" s="1"/>
  <c r="J1199" i="7" l="1"/>
  <c r="I1199" i="7"/>
  <c r="G1200" i="7" s="1"/>
  <c r="J1200" i="7" l="1"/>
  <c r="I1200" i="7"/>
  <c r="G1201" i="7" s="1"/>
  <c r="J1201" i="7" l="1"/>
  <c r="I1201" i="7"/>
  <c r="G1202" i="7" s="1"/>
  <c r="J1202" i="7" l="1"/>
  <c r="I1202" i="7"/>
  <c r="G1203" i="7" s="1"/>
  <c r="J1203" i="7" l="1"/>
  <c r="I1203" i="7"/>
  <c r="G1204" i="7" s="1"/>
  <c r="J1204" i="7" l="1"/>
  <c r="I1204" i="7"/>
  <c r="G1205" i="7" s="1"/>
  <c r="J1205" i="7" l="1"/>
  <c r="I1205" i="7"/>
  <c r="G1206" i="7" s="1"/>
  <c r="J1206" i="7" l="1"/>
  <c r="I1206" i="7"/>
  <c r="G1207" i="7" s="1"/>
  <c r="J1207" i="7" l="1"/>
  <c r="I1207" i="7"/>
  <c r="G1208" i="7" s="1"/>
  <c r="J1208" i="7" l="1"/>
  <c r="I1208" i="7"/>
  <c r="G1209" i="7" s="1"/>
  <c r="J1209" i="7" l="1"/>
  <c r="I1209" i="7"/>
  <c r="G1210" i="7" s="1"/>
  <c r="J1210" i="7" l="1"/>
  <c r="I1210" i="7"/>
  <c r="G1211" i="7" s="1"/>
  <c r="J1211" i="7" l="1"/>
  <c r="I1211" i="7"/>
  <c r="G1212" i="7" s="1"/>
  <c r="J1212" i="7" l="1"/>
  <c r="I1212" i="7"/>
  <c r="G1213" i="7" s="1"/>
  <c r="J1213" i="7" l="1"/>
  <c r="I1213" i="7"/>
  <c r="G1214" i="7" s="1"/>
  <c r="J1214" i="7" l="1"/>
  <c r="I1214" i="7"/>
  <c r="G1215" i="7" s="1"/>
  <c r="J1215" i="7" l="1"/>
  <c r="I1215" i="7"/>
  <c r="G1216" i="7" s="1"/>
  <c r="J1216" i="7" l="1"/>
  <c r="I1216" i="7"/>
  <c r="G1217" i="7" s="1"/>
  <c r="J1217" i="7" l="1"/>
  <c r="I1217" i="7"/>
  <c r="G1218" i="7" s="1"/>
  <c r="J1218" i="7" l="1"/>
  <c r="I1218" i="7"/>
  <c r="G1219" i="7" s="1"/>
  <c r="J1219" i="7" l="1"/>
  <c r="I1219" i="7"/>
  <c r="G1220" i="7" s="1"/>
  <c r="J1220" i="7" l="1"/>
  <c r="I1220" i="7"/>
  <c r="G1221" i="7" s="1"/>
  <c r="J1221" i="7" l="1"/>
  <c r="I1221" i="7"/>
  <c r="G1222" i="7" s="1"/>
  <c r="J1222" i="7" l="1"/>
  <c r="I1222" i="7"/>
  <c r="G1223" i="7" s="1"/>
  <c r="J1223" i="7" l="1"/>
  <c r="I1223" i="7"/>
  <c r="G1224" i="7" s="1"/>
  <c r="J1224" i="7" l="1"/>
  <c r="I1224" i="7"/>
  <c r="G1225" i="7" s="1"/>
  <c r="J1225" i="7" l="1"/>
  <c r="I1225" i="7"/>
  <c r="G1226" i="7" s="1"/>
  <c r="J1226" i="7" l="1"/>
  <c r="I1226" i="7"/>
  <c r="G1227" i="7" s="1"/>
  <c r="J1227" i="7" l="1"/>
  <c r="I1227" i="7"/>
  <c r="G1228" i="7" s="1"/>
  <c r="J1228" i="7" l="1"/>
  <c r="I1228" i="7"/>
  <c r="G1229" i="7" s="1"/>
  <c r="J1229" i="7" l="1"/>
  <c r="I1229" i="7"/>
  <c r="G1230" i="7" s="1"/>
  <c r="J1230" i="7" l="1"/>
  <c r="I1230" i="7"/>
  <c r="G1231" i="7" s="1"/>
  <c r="J1231" i="7" l="1"/>
  <c r="I1231" i="7"/>
  <c r="G1232" i="7" s="1"/>
  <c r="J1232" i="7" l="1"/>
  <c r="I1232" i="7"/>
  <c r="G1233" i="7" s="1"/>
  <c r="J1233" i="7" l="1"/>
  <c r="I1233" i="7"/>
  <c r="G1234" i="7" s="1"/>
  <c r="J1234" i="7" l="1"/>
  <c r="I1234" i="7"/>
  <c r="G1235" i="7" s="1"/>
  <c r="J1235" i="7" l="1"/>
  <c r="I1235" i="7"/>
  <c r="G1236" i="7" s="1"/>
  <c r="J1236" i="7" l="1"/>
  <c r="I1236" i="7"/>
  <c r="G1237" i="7" s="1"/>
  <c r="J1237" i="7" l="1"/>
  <c r="I1237" i="7"/>
  <c r="G1238" i="7" s="1"/>
  <c r="J1238" i="7" l="1"/>
  <c r="I1238" i="7"/>
  <c r="G1239" i="7" s="1"/>
  <c r="J1239" i="7" l="1"/>
  <c r="I1239" i="7"/>
  <c r="G1240" i="7" s="1"/>
  <c r="J1240" i="7" l="1"/>
  <c r="I1240" i="7"/>
  <c r="G1241" i="7" s="1"/>
  <c r="J1241" i="7" l="1"/>
  <c r="I1241" i="7"/>
  <c r="G1242" i="7" s="1"/>
  <c r="J1242" i="7" l="1"/>
  <c r="I1242" i="7"/>
  <c r="G1243" i="7" s="1"/>
  <c r="J1243" i="7" l="1"/>
  <c r="I1243" i="7"/>
  <c r="G1244" i="7" s="1"/>
  <c r="J1244" i="7" l="1"/>
  <c r="I1244" i="7"/>
  <c r="G1245" i="7" s="1"/>
  <c r="J1245" i="7" l="1"/>
  <c r="I1245" i="7"/>
  <c r="G1246" i="7" s="1"/>
  <c r="J1246" i="7" l="1"/>
  <c r="I1246" i="7"/>
  <c r="G1247" i="7" s="1"/>
  <c r="J1247" i="7" l="1"/>
  <c r="I1247" i="7"/>
  <c r="G1248" i="7" s="1"/>
  <c r="J1248" i="7" l="1"/>
  <c r="I1248" i="7"/>
  <c r="G1249" i="7" s="1"/>
  <c r="J1249" i="7" l="1"/>
  <c r="I1249" i="7"/>
  <c r="G1250" i="7" s="1"/>
  <c r="J1250" i="7" l="1"/>
  <c r="I1250" i="7"/>
  <c r="G1251" i="7" s="1"/>
  <c r="J1251" i="7" l="1"/>
  <c r="I1251" i="7"/>
  <c r="G1252" i="7" s="1"/>
  <c r="J1252" i="7" l="1"/>
  <c r="I1252" i="7"/>
  <c r="G1253" i="7" s="1"/>
  <c r="J1253" i="7" l="1"/>
  <c r="I1253" i="7"/>
  <c r="G1254" i="7" s="1"/>
  <c r="J1254" i="7" l="1"/>
  <c r="I1254" i="7"/>
  <c r="G1255" i="7" s="1"/>
  <c r="J1255" i="7" l="1"/>
  <c r="I1255" i="7"/>
  <c r="G1256" i="7" s="1"/>
  <c r="J1256" i="7" l="1"/>
  <c r="I1256" i="7"/>
  <c r="G1257" i="7" s="1"/>
  <c r="J1257" i="7" l="1"/>
  <c r="I1257" i="7"/>
  <c r="G1258" i="7" s="1"/>
  <c r="J1258" i="7" l="1"/>
  <c r="I1258" i="7"/>
  <c r="G1259" i="7" s="1"/>
  <c r="J1259" i="7" l="1"/>
  <c r="I1259" i="7"/>
  <c r="G1260" i="7" s="1"/>
  <c r="J1260" i="7" l="1"/>
  <c r="I1260" i="7"/>
  <c r="G1261" i="7" s="1"/>
  <c r="J1261" i="7" l="1"/>
  <c r="I1261" i="7"/>
  <c r="G1262" i="7" s="1"/>
  <c r="J1262" i="7" l="1"/>
  <c r="I1262" i="7"/>
  <c r="G1263" i="7" s="1"/>
  <c r="J1263" i="7" l="1"/>
  <c r="I1263" i="7"/>
  <c r="G1264" i="7" s="1"/>
  <c r="J1264" i="7" l="1"/>
  <c r="I1264" i="7"/>
  <c r="G1265" i="7" s="1"/>
  <c r="J1265" i="7" l="1"/>
  <c r="I1265" i="7"/>
  <c r="G1266" i="7" s="1"/>
  <c r="J1266" i="7" l="1"/>
  <c r="I1266" i="7"/>
  <c r="G1267" i="7" s="1"/>
  <c r="J1267" i="7" l="1"/>
  <c r="I1267" i="7"/>
  <c r="G1268" i="7" s="1"/>
  <c r="J1268" i="7" l="1"/>
  <c r="I1268" i="7"/>
  <c r="G1269" i="7" s="1"/>
  <c r="J1269" i="7" l="1"/>
  <c r="I1269" i="7"/>
  <c r="G1270" i="7" s="1"/>
  <c r="J1270" i="7" l="1"/>
  <c r="I1270" i="7"/>
  <c r="G1271" i="7" s="1"/>
  <c r="J1271" i="7" l="1"/>
  <c r="I1271" i="7"/>
  <c r="G1272" i="7" s="1"/>
  <c r="J1272" i="7" l="1"/>
  <c r="I1272" i="7"/>
  <c r="G1273" i="7" s="1"/>
  <c r="J1273" i="7" l="1"/>
  <c r="I1273" i="7"/>
  <c r="G1274" i="7" s="1"/>
  <c r="J1274" i="7" l="1"/>
  <c r="I1274" i="7"/>
  <c r="G1275" i="7" s="1"/>
  <c r="J1275" i="7" l="1"/>
  <c r="I1275" i="7"/>
  <c r="G1276" i="7" s="1"/>
  <c r="J1276" i="7" l="1"/>
  <c r="I1276" i="7"/>
  <c r="G1277" i="7" s="1"/>
  <c r="J1277" i="7" l="1"/>
  <c r="I1277" i="7"/>
  <c r="G1278" i="7" s="1"/>
  <c r="J1278" i="7" l="1"/>
  <c r="I1278" i="7"/>
  <c r="G1279" i="7" s="1"/>
  <c r="J1279" i="7" l="1"/>
  <c r="I1279" i="7"/>
  <c r="G1280" i="7" s="1"/>
  <c r="J1280" i="7" l="1"/>
  <c r="I1280" i="7"/>
  <c r="G1281" i="7" s="1"/>
  <c r="J1281" i="7" l="1"/>
  <c r="I1281" i="7"/>
  <c r="G1282" i="7" s="1"/>
  <c r="J1282" i="7" l="1"/>
  <c r="I1282" i="7"/>
  <c r="G1283" i="7" s="1"/>
  <c r="J1283" i="7" l="1"/>
  <c r="I1283" i="7"/>
  <c r="G1284" i="7" s="1"/>
  <c r="J1284" i="7" l="1"/>
  <c r="I1284" i="7"/>
  <c r="G1285" i="7" s="1"/>
  <c r="J1285" i="7" l="1"/>
  <c r="I1285" i="7"/>
  <c r="G1286" i="7" s="1"/>
  <c r="J1286" i="7" l="1"/>
  <c r="I1286" i="7"/>
  <c r="G1287" i="7" s="1"/>
  <c r="J1287" i="7" l="1"/>
  <c r="I1287" i="7"/>
  <c r="G1288" i="7" s="1"/>
  <c r="J1288" i="7" l="1"/>
  <c r="I1288" i="7"/>
  <c r="G1289" i="7" s="1"/>
  <c r="J1289" i="7" l="1"/>
  <c r="I1289" i="7"/>
  <c r="G1290" i="7" s="1"/>
  <c r="J1290" i="7" l="1"/>
  <c r="I1290" i="7"/>
  <c r="G1291" i="7" s="1"/>
  <c r="J1291" i="7" l="1"/>
  <c r="I1291" i="7"/>
  <c r="G1292" i="7" s="1"/>
  <c r="J1292" i="7" l="1"/>
  <c r="I1292" i="7"/>
  <c r="G1293" i="7" s="1"/>
  <c r="G1294" i="7" l="1"/>
  <c r="J1293" i="7"/>
  <c r="I1293" i="7"/>
  <c r="J1294" i="7" l="1"/>
  <c r="I1294" i="7"/>
  <c r="G1295" i="7" s="1"/>
  <c r="J1295" i="7" l="1"/>
  <c r="I1295" i="7"/>
  <c r="G1296" i="7" s="1"/>
  <c r="J1296" i="7" l="1"/>
  <c r="I1296" i="7"/>
  <c r="G1297" i="7" s="1"/>
  <c r="J1297" i="7" l="1"/>
  <c r="I1297" i="7"/>
  <c r="G1298" i="7" s="1"/>
  <c r="J1298" i="7" l="1"/>
  <c r="I1298" i="7"/>
  <c r="G1299" i="7" s="1"/>
  <c r="J1299" i="7" l="1"/>
  <c r="I1299" i="7"/>
  <c r="G1300" i="7" s="1"/>
  <c r="J1300" i="7" l="1"/>
  <c r="I1300" i="7"/>
  <c r="G1301" i="7" s="1"/>
  <c r="J1301" i="7" l="1"/>
  <c r="I1301" i="7"/>
  <c r="G1302" i="7" s="1"/>
  <c r="J1302" i="7" l="1"/>
  <c r="I1302" i="7"/>
  <c r="G1303" i="7" s="1"/>
  <c r="J1303" i="7" l="1"/>
  <c r="I1303" i="7"/>
  <c r="G1304" i="7" s="1"/>
  <c r="J1304" i="7" l="1"/>
  <c r="I1304" i="7"/>
  <c r="G1305" i="7" s="1"/>
  <c r="J1305" i="7" l="1"/>
  <c r="I1305" i="7"/>
  <c r="G1306" i="7" s="1"/>
  <c r="J1306" i="7" l="1"/>
  <c r="I1306" i="7"/>
  <c r="G1307" i="7" s="1"/>
  <c r="J1307" i="7" l="1"/>
  <c r="I1307" i="7"/>
  <c r="G1308" i="7" s="1"/>
  <c r="J1308" i="7" l="1"/>
  <c r="I1308" i="7"/>
  <c r="G1309" i="7" s="1"/>
  <c r="J1309" i="7" l="1"/>
  <c r="I1309" i="7"/>
  <c r="G1310" i="7" s="1"/>
  <c r="J1310" i="7" l="1"/>
  <c r="I1310" i="7"/>
  <c r="G1311" i="7" s="1"/>
  <c r="J1311" i="7" l="1"/>
  <c r="I1311" i="7"/>
  <c r="G1312" i="7" s="1"/>
  <c r="J1312" i="7" l="1"/>
  <c r="I1312" i="7"/>
  <c r="G1313" i="7" s="1"/>
  <c r="J1313" i="7" l="1"/>
  <c r="I1313" i="7"/>
  <c r="G1314" i="7" s="1"/>
  <c r="J1314" i="7" l="1"/>
  <c r="I1314" i="7"/>
  <c r="G1315" i="7" s="1"/>
  <c r="J1315" i="7" l="1"/>
  <c r="I1315" i="7"/>
  <c r="G1316" i="7" s="1"/>
  <c r="J1316" i="7" l="1"/>
  <c r="I1316" i="7"/>
  <c r="G1317" i="7" s="1"/>
  <c r="J1317" i="7" l="1"/>
  <c r="I1317" i="7"/>
  <c r="G1318" i="7" s="1"/>
  <c r="J1318" i="7" l="1"/>
  <c r="I1318" i="7"/>
  <c r="G1319" i="7" s="1"/>
  <c r="J1319" i="7" l="1"/>
  <c r="I1319" i="7"/>
  <c r="G1320" i="7" s="1"/>
  <c r="J1320" i="7" l="1"/>
  <c r="I1320" i="7"/>
  <c r="G1321" i="7" s="1"/>
  <c r="J1321" i="7" l="1"/>
  <c r="I1321" i="7"/>
  <c r="G1322" i="7" s="1"/>
  <c r="J1322" i="7" l="1"/>
  <c r="I1322" i="7"/>
</calcChain>
</file>

<file path=xl/comments1.xml><?xml version="1.0" encoding="utf-8"?>
<comments xmlns="http://schemas.openxmlformats.org/spreadsheetml/2006/main">
  <authors>
    <author>MMH</author>
  </authors>
  <commentList>
    <comment ref="B12" authorId="0">
      <text>
        <r>
          <rPr>
            <b/>
            <sz val="8"/>
            <color indexed="81"/>
            <rFont val="Tahoma"/>
            <family val="2"/>
          </rPr>
          <t>Will only copy formulas for the years in the time horizon.</t>
        </r>
      </text>
    </comment>
    <comment ref="D13" authorId="0">
      <text>
        <r>
          <rPr>
            <b/>
            <sz val="8"/>
            <color indexed="81"/>
            <rFont val="Tahoma"/>
            <family val="2"/>
          </rPr>
          <t>Use the Buying Condition to determine how many months to take the average of.</t>
        </r>
      </text>
    </comment>
    <comment ref="E13" authorId="0">
      <text>
        <r>
          <rPr>
            <b/>
            <sz val="8"/>
            <color indexed="81"/>
            <rFont val="Tahoma"/>
            <family val="2"/>
          </rPr>
          <t>Use the Selling Condition to determine how many months to take the average of.</t>
        </r>
      </text>
    </comment>
  </commentList>
</comments>
</file>

<file path=xl/sharedStrings.xml><?xml version="1.0" encoding="utf-8"?>
<sst xmlns="http://schemas.openxmlformats.org/spreadsheetml/2006/main" count="70" uniqueCount="62">
  <si>
    <t>Risk Rate</t>
  </si>
  <si>
    <t>Time Horizon</t>
  </si>
  <si>
    <t>From:</t>
  </si>
  <si>
    <t>To:</t>
  </si>
  <si>
    <t>Possible Profits</t>
  </si>
  <si>
    <t>X , Y</t>
  </si>
  <si>
    <t>X</t>
  </si>
  <si>
    <t>Y</t>
  </si>
  <si>
    <t>Profit</t>
  </si>
  <si>
    <t>Date</t>
  </si>
  <si>
    <t>Own?</t>
  </si>
  <si>
    <t>Buy?</t>
  </si>
  <si>
    <t>Sell?</t>
  </si>
  <si>
    <t>Yes</t>
  </si>
  <si>
    <t>S&amp;P Data</t>
  </si>
  <si>
    <t>Starting Capital</t>
  </si>
  <si>
    <t>Starting Number of Shares</t>
  </si>
  <si>
    <t>Risk Free Rate</t>
  </si>
  <si>
    <t>Year</t>
  </si>
  <si>
    <t>Month</t>
  </si>
  <si>
    <t>From</t>
  </si>
  <si>
    <t>To</t>
  </si>
  <si>
    <t>Jan</t>
  </si>
  <si>
    <t>Feb</t>
  </si>
  <si>
    <t>Mar</t>
  </si>
  <si>
    <t>Apr</t>
  </si>
  <si>
    <t>May</t>
  </si>
  <si>
    <t>Jun</t>
  </si>
  <si>
    <t>Jul</t>
  </si>
  <si>
    <t>Aug</t>
  </si>
  <si>
    <t>Nov</t>
  </si>
  <si>
    <t>Dec</t>
  </si>
  <si>
    <t>Buy Check</t>
  </si>
  <si>
    <t>Sell Check</t>
  </si>
  <si>
    <t>Price      (per share)</t>
  </si>
  <si>
    <t>Cash Flow</t>
  </si>
  <si>
    <t>Sep</t>
  </si>
  <si>
    <t>Oct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</si>
  <si>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</si>
  <si>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</si>
  <si>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</si>
  <si>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</si>
  <si>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</si>
  <si>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</si>
  <si>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</si>
  <si>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</si>
  <si>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</si>
  <si>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Number of Shares</t>
  </si>
  <si>
    <t>Cost to Buy (per share)</t>
  </si>
  <si>
    <t>Cost to Sell (per share)</t>
  </si>
  <si>
    <t>Number of Buys</t>
  </si>
  <si>
    <t>Number of Sales</t>
  </si>
  <si>
    <t>At Max Profit</t>
  </si>
  <si>
    <t>Buy and Hold               (No Sell)</t>
  </si>
  <si>
    <t>Sell and Hold          (No Buy)</t>
  </si>
  <si>
    <t>Buy Allowed?</t>
  </si>
  <si>
    <t>Sell Allowed?</t>
  </si>
  <si>
    <t>SNP                                       (Buy and Sell)</t>
  </si>
  <si>
    <t>10</t>
  </si>
  <si>
    <t>11</t>
  </si>
  <si>
    <t>12</t>
  </si>
  <si>
    <t>©2005 Seref, Ahuja, Winston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</si>
</sst>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7" formatCode="&quot;$&quot;#,##0.00_);\(&quot;$&quot;#,##0.00\)"/>
    <numFmt numFmtId="188" formatCode="&quot;$&quot;#,##0.00"/>
    <numFmt numFmtId="189" formatCode="0.000"/>
  </numFmts>
  <fonts count="9" x14ac:knownFonts="1">
    <font>
      <sz val="10"/>
      <name val="Arial"/>
    </font>
    <font>
      <sz val="8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sz val="10"/>
      <name val="Courier"/>
      <family val="3"/>
    </font>
    <font>
      <sz val="10"/>
      <name val="Arial"/>
      <family val="2"/>
    </font>
    <font>
      <b/>
      <sz val="8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0">
    <xf numFmtId="0" fontId="0" fillId="0" borderId="0" xfId="0"/>
    <xf numFmtId="0" fontId="3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1" applyFont="1"/>
    <xf numFmtId="0" fontId="7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3" fillId="0" borderId="0" xfId="1" applyFont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wrapText="1"/>
    </xf>
    <xf numFmtId="188" fontId="3" fillId="4" borderId="8" xfId="1" applyNumberFormat="1" applyFont="1" applyFill="1" applyBorder="1" applyAlignment="1">
      <alignment horizontal="center"/>
    </xf>
    <xf numFmtId="0" fontId="7" fillId="3" borderId="1" xfId="1" applyFont="1" applyFill="1" applyBorder="1" applyAlignment="1">
      <alignment horizontal="center"/>
    </xf>
    <xf numFmtId="0" fontId="7" fillId="4" borderId="1" xfId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 wrapText="1"/>
    </xf>
    <xf numFmtId="0" fontId="2" fillId="2" borderId="1" xfId="0" applyFont="1" applyFill="1" applyBorder="1" applyAlignment="1">
      <alignment horizontal="center" wrapText="1"/>
    </xf>
    <xf numFmtId="0" fontId="7" fillId="5" borderId="9" xfId="1" applyFont="1" applyFill="1" applyBorder="1" applyAlignment="1">
      <alignment horizontal="center"/>
    </xf>
    <xf numFmtId="0" fontId="3" fillId="6" borderId="5" xfId="1" applyFont="1" applyFill="1" applyBorder="1" applyAlignment="1">
      <alignment horizontal="center"/>
    </xf>
    <xf numFmtId="0" fontId="7" fillId="6" borderId="5" xfId="1" applyFont="1" applyFill="1" applyBorder="1" applyAlignment="1">
      <alignment horizontal="center"/>
    </xf>
    <xf numFmtId="0" fontId="7" fillId="6" borderId="6" xfId="1" applyFont="1" applyFill="1" applyBorder="1" applyAlignment="1">
      <alignment horizontal="center"/>
    </xf>
    <xf numFmtId="0" fontId="7" fillId="6" borderId="10" xfId="1" applyNumberFormat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3" fillId="7" borderId="12" xfId="0" applyFont="1" applyFill="1" applyBorder="1" applyAlignment="1" applyProtection="1">
      <alignment horizontal="center"/>
      <protection hidden="1"/>
    </xf>
    <xf numFmtId="188" fontId="3" fillId="3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88" fontId="0" fillId="0" borderId="0" xfId="0" applyNumberForma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3" fillId="6" borderId="6" xfId="1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1" quotePrefix="1" applyFont="1" applyAlignment="1">
      <alignment horizontal="center"/>
    </xf>
    <xf numFmtId="0" fontId="7" fillId="8" borderId="1" xfId="1" applyFont="1" applyFill="1" applyBorder="1" applyAlignment="1">
      <alignment horizontal="center"/>
    </xf>
    <xf numFmtId="189" fontId="7" fillId="5" borderId="9" xfId="1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187" fontId="3" fillId="4" borderId="1" xfId="0" applyNumberFormat="1" applyFont="1" applyFill="1" applyBorder="1" applyAlignment="1">
      <alignment horizontal="center"/>
    </xf>
    <xf numFmtId="187" fontId="3" fillId="3" borderId="6" xfId="0" applyNumberFormat="1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/>
    </xf>
    <xf numFmtId="188" fontId="0" fillId="3" borderId="18" xfId="0" applyNumberFormat="1" applyFill="1" applyBorder="1" applyAlignment="1">
      <alignment horizontal="center"/>
    </xf>
    <xf numFmtId="188" fontId="0" fillId="3" borderId="13" xfId="0" applyNumberFormat="1" applyFill="1" applyBorder="1" applyAlignment="1">
      <alignment horizontal="center"/>
    </xf>
    <xf numFmtId="188" fontId="0" fillId="3" borderId="1" xfId="0" applyNumberFormat="1" applyFill="1" applyBorder="1" applyAlignment="1">
      <alignment horizontal="center"/>
    </xf>
    <xf numFmtId="188" fontId="0" fillId="3" borderId="3" xfId="0" applyNumberFormat="1" applyFill="1" applyBorder="1" applyAlignment="1">
      <alignment horizontal="center"/>
    </xf>
    <xf numFmtId="188" fontId="0" fillId="4" borderId="1" xfId="0" applyNumberForma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2" fillId="2" borderId="14" xfId="0" applyFont="1" applyFill="1" applyBorder="1" applyAlignment="1">
      <alignment horizontal="center" wrapText="1"/>
    </xf>
    <xf numFmtId="0" fontId="2" fillId="2" borderId="15" xfId="0" applyFont="1" applyFill="1" applyBorder="1" applyAlignment="1">
      <alignment horizontal="center" wrapText="1"/>
    </xf>
    <xf numFmtId="0" fontId="2" fillId="2" borderId="17" xfId="0" applyFont="1" applyFill="1" applyBorder="1" applyAlignment="1">
      <alignment horizontal="center" wrapText="1"/>
    </xf>
  </cellXfs>
  <cellStyles count="2">
    <cellStyle name="Normal" xfId="0" builtinId="0"/>
    <cellStyle name="Normal_matradingrul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4</xdr:row>
      <xdr:rowOff>0</xdr:rowOff>
    </xdr:from>
    <xdr:to>
      <xdr:col>5</xdr:col>
      <xdr:colOff>342900</xdr:colOff>
      <xdr:row>8</xdr:row>
      <xdr:rowOff>85725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628650" y="647700"/>
          <a:ext cx="2762250" cy="7334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9966" mc:Ignorable="a14" a14:legacySpreadsheetColorIndex="57"/>
            </a:gs>
            <a:gs pos="50000">
              <a:srgbClr xmlns:mc="http://schemas.openxmlformats.org/markup-compatibility/2006" xmlns:a14="http://schemas.microsoft.com/office/drawing/2010/main" val="FFFF99" mc:Ignorable="a14" a14:legacySpreadsheetColorIndex="43"/>
            </a:gs>
            <a:gs pos="100000">
              <a:srgbClr xmlns:mc="http://schemas.openxmlformats.org/markup-compatibility/2006" xmlns:a14="http://schemas.microsoft.com/office/drawing/2010/main" val="339966" mc:Ignorable="a14" a14:legacySpreadsheetColorIndex="57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en-US" sz="1800" b="1" i="1" u="none" strike="noStrike" baseline="0">
              <a:solidFill>
                <a:srgbClr val="000000"/>
              </a:solidFill>
              <a:latin typeface="Arial"/>
              <a:cs typeface="Arial"/>
            </a:rPr>
            <a:t>Technical Analysis      for Market Timing</a:t>
          </a:r>
          <a:endParaRPr lang="en-US"/>
        </a:p>
      </xdr:txBody>
    </xdr:sp>
    <xdr:clientData/>
  </xdr:twoCellAnchor>
  <xdr:twoCellAnchor>
    <xdr:from>
      <xdr:col>0</xdr:col>
      <xdr:colOff>295275</xdr:colOff>
      <xdr:row>9</xdr:row>
      <xdr:rowOff>9525</xdr:rowOff>
    </xdr:from>
    <xdr:to>
      <xdr:col>6</xdr:col>
      <xdr:colOff>133350</xdr:colOff>
      <xdr:row>26</xdr:row>
      <xdr:rowOff>95250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295275" y="1466850"/>
          <a:ext cx="3495675" cy="2838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>
            <a:alpha val="7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We assume that a person buys shares of a stock when the average market value for a past time horizon falls below some value X and sells shares of a stock when the average market value for a past time horizon rises above some value Y. The Technical Analysis for Market Timing problem seeks to determine values for X and Y and a max profit for buying and selling shares for some time horizon. This application analyzes Technical Analysis for Market Timing for two options: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Option A: The Time Horizon and Risk Rate are set, and then various values of X and Y are used (within given bounds) to calculate overall profit. A max profit is found among these values.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Option B: The Time Horizon shifts (within a given bound) and the best values of X and Y are determined for the max profit possible for Buy and Sell, Buy only, and Sell only scenarios.</a:t>
          </a:r>
          <a:endParaRPr lang="en-US"/>
        </a:p>
      </xdr:txBody>
    </xdr:sp>
    <xdr:clientData/>
  </xdr:twoCellAnchor>
  <xdr:twoCellAnchor>
    <xdr:from>
      <xdr:col>2</xdr:col>
      <xdr:colOff>266700</xdr:colOff>
      <xdr:row>27</xdr:row>
      <xdr:rowOff>38100</xdr:rowOff>
    </xdr:from>
    <xdr:to>
      <xdr:col>4</xdr:col>
      <xdr:colOff>57150</xdr:colOff>
      <xdr:row>29</xdr:row>
      <xdr:rowOff>95250</xdr:rowOff>
    </xdr:to>
    <xdr:sp macro="[0]!Main" textlink="">
      <xdr:nvSpPr>
        <xdr:cNvPr id="1027" name="AutoShape 3"/>
        <xdr:cNvSpPr>
          <a:spLocks noChangeArrowheads="1"/>
        </xdr:cNvSpPr>
      </xdr:nvSpPr>
      <xdr:spPr bwMode="auto">
        <a:xfrm>
          <a:off x="1485900" y="4410075"/>
          <a:ext cx="1009650" cy="3810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START</a:t>
          </a:r>
          <a:endParaRPr lang="en-US"/>
        </a:p>
      </xdr:txBody>
    </xdr:sp>
    <xdr:clientData/>
  </xdr:twoCellAnchor>
  <xdr:twoCellAnchor editAs="oneCell">
    <xdr:from>
      <xdr:col>6</xdr:col>
      <xdr:colOff>304800</xdr:colOff>
      <xdr:row>12</xdr:row>
      <xdr:rowOff>0</xdr:rowOff>
    </xdr:from>
    <xdr:to>
      <xdr:col>10</xdr:col>
      <xdr:colOff>47625</xdr:colOff>
      <xdr:row>20</xdr:row>
      <xdr:rowOff>123825</xdr:rowOff>
    </xdr:to>
    <xdr:pic>
      <xdr:nvPicPr>
        <xdr:cNvPr id="1028" name="Picture 4" descr="DollarPictur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606"/>
        <a:stretch>
          <a:fillRect/>
        </a:stretch>
      </xdr:blipFill>
      <xdr:spPr bwMode="auto">
        <a:xfrm>
          <a:off x="3962400" y="1943100"/>
          <a:ext cx="2181225" cy="1419225"/>
        </a:xfrm>
        <a:prstGeom prst="rect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</xdr:row>
      <xdr:rowOff>85725</xdr:rowOff>
    </xdr:from>
    <xdr:to>
      <xdr:col>12</xdr:col>
      <xdr:colOff>219075</xdr:colOff>
      <xdr:row>15</xdr:row>
      <xdr:rowOff>0</xdr:rowOff>
    </xdr:to>
    <xdr:pic>
      <xdr:nvPicPr>
        <xdr:cNvPr id="1029" name="Picture 5" descr="wallstree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895350"/>
          <a:ext cx="2047875" cy="1533525"/>
        </a:xfrm>
        <a:prstGeom prst="rect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466725</xdr:colOff>
      <xdr:row>13</xdr:row>
      <xdr:rowOff>114300</xdr:rowOff>
    </xdr:from>
    <xdr:to>
      <xdr:col>12</xdr:col>
      <xdr:colOff>523875</xdr:colOff>
      <xdr:row>23</xdr:row>
      <xdr:rowOff>85725</xdr:rowOff>
    </xdr:to>
    <xdr:pic>
      <xdr:nvPicPr>
        <xdr:cNvPr id="1030" name="Picture 6" descr="timing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25" y="2219325"/>
          <a:ext cx="1885950" cy="1590675"/>
        </a:xfrm>
        <a:prstGeom prst="rect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57150</xdr:rowOff>
    </xdr:from>
    <xdr:to>
      <xdr:col>6</xdr:col>
      <xdr:colOff>276225</xdr:colOff>
      <xdr:row>3</xdr:row>
      <xdr:rowOff>47625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304800" y="57150"/>
          <a:ext cx="3219450" cy="476250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9966" mc:Ignorable="a14" a14:legacySpreadsheetColorIndex="57"/>
            </a:gs>
            <a:gs pos="50000">
              <a:srgbClr xmlns:mc="http://schemas.openxmlformats.org/markup-compatibility/2006" xmlns:a14="http://schemas.microsoft.com/office/drawing/2010/main" val="FFFF99" mc:Ignorable="a14" a14:legacySpreadsheetColorIndex="43"/>
            </a:gs>
            <a:gs pos="100000">
              <a:srgbClr xmlns:mc="http://schemas.openxmlformats.org/markup-compatibility/2006" xmlns:a14="http://schemas.microsoft.com/office/drawing/2010/main" val="339966" mc:Ignorable="a14" a14:legacySpreadsheetColorIndex="57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Calculations</a:t>
          </a:r>
          <a:endParaRPr lang="en-US"/>
        </a:p>
      </xdr:txBody>
    </xdr:sp>
    <xdr:clientData/>
  </xdr:twoCellAnchor>
  <xdr:twoCellAnchor>
    <xdr:from>
      <xdr:col>1</xdr:col>
      <xdr:colOff>114300</xdr:colOff>
      <xdr:row>3</xdr:row>
      <xdr:rowOff>142875</xdr:rowOff>
    </xdr:from>
    <xdr:to>
      <xdr:col>9</xdr:col>
      <xdr:colOff>381000</xdr:colOff>
      <xdr:row>6</xdr:row>
      <xdr:rowOff>47625</xdr:rowOff>
    </xdr:to>
    <xdr:sp macro="" textlink="">
      <xdr:nvSpPr>
        <xdr:cNvPr id="5122" name="Text Box 2"/>
        <xdr:cNvSpPr txBox="1">
          <a:spLocks noChangeArrowheads="1"/>
        </xdr:cNvSpPr>
      </xdr:nvSpPr>
      <xdr:spPr bwMode="auto">
        <a:xfrm>
          <a:off x="314325" y="628650"/>
          <a:ext cx="5438775" cy="3905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>
            <a:alpha val="7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spreadsheet contains the calculations for Cash Flow based on the input by the user and the various buy / sell strategies tried. Scroll down to the dates you selected to view calculations.</a:t>
          </a:r>
          <a:endParaRPr lang="en-US"/>
        </a:p>
      </xdr:txBody>
    </xdr:sp>
    <xdr:clientData/>
  </xdr:twoCellAnchor>
  <xdr:twoCellAnchor>
    <xdr:from>
      <xdr:col>9</xdr:col>
      <xdr:colOff>495300</xdr:colOff>
      <xdr:row>3</xdr:row>
      <xdr:rowOff>133350</xdr:rowOff>
    </xdr:from>
    <xdr:to>
      <xdr:col>10</xdr:col>
      <xdr:colOff>590550</xdr:colOff>
      <xdr:row>5</xdr:row>
      <xdr:rowOff>152400</xdr:rowOff>
    </xdr:to>
    <xdr:sp macro="[0]!EndProg" textlink="">
      <xdr:nvSpPr>
        <xdr:cNvPr id="5123" name="AutoShape 3"/>
        <xdr:cNvSpPr>
          <a:spLocks noChangeArrowheads="1"/>
        </xdr:cNvSpPr>
      </xdr:nvSpPr>
      <xdr:spPr bwMode="auto">
        <a:xfrm>
          <a:off x="5867400" y="619125"/>
          <a:ext cx="876300" cy="3429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END</a:t>
          </a:r>
          <a:endParaRPr lang="en-US"/>
        </a:p>
      </xdr:txBody>
    </xdr:sp>
    <xdr:clientData/>
  </xdr:twoCellAnchor>
  <xdr:twoCellAnchor editAs="oneCell">
    <xdr:from>
      <xdr:col>6</xdr:col>
      <xdr:colOff>438150</xdr:colOff>
      <xdr:row>0</xdr:row>
      <xdr:rowOff>76200</xdr:rowOff>
    </xdr:from>
    <xdr:to>
      <xdr:col>12</xdr:col>
      <xdr:colOff>619125</xdr:colOff>
      <xdr:row>3</xdr:row>
      <xdr:rowOff>9525</xdr:rowOff>
    </xdr:to>
    <xdr:pic>
      <xdr:nvPicPr>
        <xdr:cNvPr id="5124" name="Picture 4" descr="DollarPictur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0"/>
        <a:stretch>
          <a:fillRect/>
        </a:stretch>
      </xdr:blipFill>
      <xdr:spPr bwMode="auto">
        <a:xfrm>
          <a:off x="3686175" y="76200"/>
          <a:ext cx="4067175" cy="419100"/>
        </a:xfrm>
        <a:prstGeom prst="rect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704850</xdr:colOff>
      <xdr:row>3</xdr:row>
      <xdr:rowOff>133350</xdr:rowOff>
    </xdr:from>
    <xdr:to>
      <xdr:col>12</xdr:col>
      <xdr:colOff>619125</xdr:colOff>
      <xdr:row>6</xdr:row>
      <xdr:rowOff>0</xdr:rowOff>
    </xdr:to>
    <xdr:sp macro="[0]!GoBack" textlink="">
      <xdr:nvSpPr>
        <xdr:cNvPr id="5128" name="AutoShape 8"/>
        <xdr:cNvSpPr>
          <a:spLocks noChangeArrowheads="1"/>
        </xdr:cNvSpPr>
      </xdr:nvSpPr>
      <xdr:spPr bwMode="auto">
        <a:xfrm>
          <a:off x="6858000" y="619125"/>
          <a:ext cx="895350" cy="35242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Back</a:t>
          </a:r>
          <a:endParaRPr 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104775</xdr:rowOff>
    </xdr:from>
    <xdr:to>
      <xdr:col>4</xdr:col>
      <xdr:colOff>419100</xdr:colOff>
      <xdr:row>3</xdr:row>
      <xdr:rowOff>66675</xdr:rowOff>
    </xdr:to>
    <xdr:sp macro="" textlink="">
      <xdr:nvSpPr>
        <xdr:cNvPr id="3073" name="Text Box 1"/>
        <xdr:cNvSpPr txBox="1">
          <a:spLocks noChangeArrowheads="1"/>
        </xdr:cNvSpPr>
      </xdr:nvSpPr>
      <xdr:spPr bwMode="auto">
        <a:xfrm>
          <a:off x="276225" y="104775"/>
          <a:ext cx="3067050" cy="4476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9966" mc:Ignorable="a14" a14:legacySpreadsheetColorIndex="57"/>
            </a:gs>
            <a:gs pos="50000">
              <a:srgbClr xmlns:mc="http://schemas.openxmlformats.org/markup-compatibility/2006" xmlns:a14="http://schemas.microsoft.com/office/drawing/2010/main" val="FFFF99" mc:Ignorable="a14" a14:legacySpreadsheetColorIndex="43"/>
            </a:gs>
            <a:gs pos="100000">
              <a:srgbClr xmlns:mc="http://schemas.openxmlformats.org/markup-compatibility/2006" xmlns:a14="http://schemas.microsoft.com/office/drawing/2010/main" val="339966" mc:Ignorable="a14" a14:legacySpreadsheetColorIndex="57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Output for Option A</a:t>
          </a:r>
          <a:endParaRPr lang="en-US"/>
        </a:p>
      </xdr:txBody>
    </xdr:sp>
    <xdr:clientData/>
  </xdr:twoCellAnchor>
  <xdr:twoCellAnchor>
    <xdr:from>
      <xdr:col>1</xdr:col>
      <xdr:colOff>9525</xdr:colOff>
      <xdr:row>3</xdr:row>
      <xdr:rowOff>142875</xdr:rowOff>
    </xdr:from>
    <xdr:to>
      <xdr:col>6</xdr:col>
      <xdr:colOff>695325</xdr:colOff>
      <xdr:row>9</xdr:row>
      <xdr:rowOff>9525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266700" y="628650"/>
          <a:ext cx="5410200" cy="838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>
            <a:alpha val="7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You may vary the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Risk Rate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Time Horizon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to view possible profits with trading strategies varying between the given lower and upper bounds.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(X =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Buying Condition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(# months), Y =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Selling Condition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(# months).)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You may change the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Risk Rate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and/or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Time Horizon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values and press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RESOLVE.</a:t>
          </a:r>
          <a:endParaRPr lang="en-US"/>
        </a:p>
      </xdr:txBody>
    </xdr:sp>
    <xdr:clientData/>
  </xdr:twoCellAnchor>
  <xdr:twoCellAnchor>
    <xdr:from>
      <xdr:col>6</xdr:col>
      <xdr:colOff>781050</xdr:colOff>
      <xdr:row>3</xdr:row>
      <xdr:rowOff>152400</xdr:rowOff>
    </xdr:from>
    <xdr:to>
      <xdr:col>7</xdr:col>
      <xdr:colOff>828675</xdr:colOff>
      <xdr:row>6</xdr:row>
      <xdr:rowOff>47625</xdr:rowOff>
    </xdr:to>
    <xdr:sp macro="[0]!EndProg" textlink="">
      <xdr:nvSpPr>
        <xdr:cNvPr id="3075" name="AutoShape 3"/>
        <xdr:cNvSpPr>
          <a:spLocks noChangeArrowheads="1"/>
        </xdr:cNvSpPr>
      </xdr:nvSpPr>
      <xdr:spPr bwMode="auto">
        <a:xfrm>
          <a:off x="5762625" y="638175"/>
          <a:ext cx="1009650" cy="3810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END</a:t>
          </a:r>
          <a:endParaRPr lang="en-US"/>
        </a:p>
      </xdr:txBody>
    </xdr:sp>
    <xdr:clientData/>
  </xdr:twoCellAnchor>
  <xdr:twoCellAnchor editAs="oneCell">
    <xdr:from>
      <xdr:col>4</xdr:col>
      <xdr:colOff>581025</xdr:colOff>
      <xdr:row>0</xdr:row>
      <xdr:rowOff>123825</xdr:rowOff>
    </xdr:from>
    <xdr:to>
      <xdr:col>8</xdr:col>
      <xdr:colOff>904875</xdr:colOff>
      <xdr:row>3</xdr:row>
      <xdr:rowOff>57150</xdr:rowOff>
    </xdr:to>
    <xdr:pic>
      <xdr:nvPicPr>
        <xdr:cNvPr id="3076" name="Picture 4" descr="DollarPictur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0"/>
        <a:stretch>
          <a:fillRect/>
        </a:stretch>
      </xdr:blipFill>
      <xdr:spPr bwMode="auto">
        <a:xfrm>
          <a:off x="3505200" y="123825"/>
          <a:ext cx="4419600" cy="419100"/>
        </a:xfrm>
        <a:prstGeom prst="rect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9525</xdr:rowOff>
        </xdr:from>
        <xdr:to>
          <xdr:col>2</xdr:col>
          <xdr:colOff>628650</xdr:colOff>
          <xdr:row>13</xdr:row>
          <xdr:rowOff>9525</xdr:rowOff>
        </xdr:to>
        <xdr:sp macro="" textlink="">
          <xdr:nvSpPr>
            <xdr:cNvPr id="3077" name="spnRat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4</xdr:col>
          <xdr:colOff>552450</xdr:colOff>
          <xdr:row>14</xdr:row>
          <xdr:rowOff>28575</xdr:rowOff>
        </xdr:to>
        <xdr:sp macro="" textlink="">
          <xdr:nvSpPr>
            <xdr:cNvPr id="3078" name="txtYearFrom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47625</xdr:rowOff>
        </xdr:from>
        <xdr:to>
          <xdr:col>4</xdr:col>
          <xdr:colOff>552450</xdr:colOff>
          <xdr:row>15</xdr:row>
          <xdr:rowOff>57150</xdr:rowOff>
        </xdr:to>
        <xdr:sp macro="" textlink="">
          <xdr:nvSpPr>
            <xdr:cNvPr id="3079" name="txtYearT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13</xdr:row>
          <xdr:rowOff>0</xdr:rowOff>
        </xdr:from>
        <xdr:to>
          <xdr:col>5</xdr:col>
          <xdr:colOff>790575</xdr:colOff>
          <xdr:row>14</xdr:row>
          <xdr:rowOff>28575</xdr:rowOff>
        </xdr:to>
        <xdr:sp macro="" textlink="">
          <xdr:nvSpPr>
            <xdr:cNvPr id="3080" name="cmbMonthFrom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14</xdr:row>
          <xdr:rowOff>47625</xdr:rowOff>
        </xdr:from>
        <xdr:to>
          <xdr:col>5</xdr:col>
          <xdr:colOff>781050</xdr:colOff>
          <xdr:row>15</xdr:row>
          <xdr:rowOff>57150</xdr:rowOff>
        </xdr:to>
        <xdr:sp macro="" textlink="">
          <xdr:nvSpPr>
            <xdr:cNvPr id="3081" name="cmbMonthT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390525</xdr:colOff>
      <xdr:row>6</xdr:row>
      <xdr:rowOff>114300</xdr:rowOff>
    </xdr:from>
    <xdr:to>
      <xdr:col>8</xdr:col>
      <xdr:colOff>333375</xdr:colOff>
      <xdr:row>9</xdr:row>
      <xdr:rowOff>9525</xdr:rowOff>
    </xdr:to>
    <xdr:sp macro="[0]!SolveA" textlink="">
      <xdr:nvSpPr>
        <xdr:cNvPr id="3082" name="AutoShape 10"/>
        <xdr:cNvSpPr>
          <a:spLocks noChangeArrowheads="1"/>
        </xdr:cNvSpPr>
      </xdr:nvSpPr>
      <xdr:spPr bwMode="auto">
        <a:xfrm>
          <a:off x="6334125" y="1085850"/>
          <a:ext cx="1019175" cy="3810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RESOLVE</a:t>
          </a:r>
          <a:endParaRPr lang="en-US"/>
        </a:p>
      </xdr:txBody>
    </xdr:sp>
    <xdr:clientData/>
  </xdr:twoCellAnchor>
  <xdr:twoCellAnchor>
    <xdr:from>
      <xdr:col>7</xdr:col>
      <xdr:colOff>914400</xdr:colOff>
      <xdr:row>3</xdr:row>
      <xdr:rowOff>152400</xdr:rowOff>
    </xdr:from>
    <xdr:to>
      <xdr:col>8</xdr:col>
      <xdr:colOff>847725</xdr:colOff>
      <xdr:row>6</xdr:row>
      <xdr:rowOff>47625</xdr:rowOff>
    </xdr:to>
    <xdr:sp macro="[0]!ViewCalc" textlink="">
      <xdr:nvSpPr>
        <xdr:cNvPr id="3083" name="AutoShape 11"/>
        <xdr:cNvSpPr>
          <a:spLocks noChangeArrowheads="1"/>
        </xdr:cNvSpPr>
      </xdr:nvSpPr>
      <xdr:spPr bwMode="auto">
        <a:xfrm>
          <a:off x="6858000" y="638175"/>
          <a:ext cx="1009650" cy="3810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View Calc</a:t>
          </a:r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104775</xdr:rowOff>
    </xdr:from>
    <xdr:to>
      <xdr:col>4</xdr:col>
      <xdr:colOff>342900</xdr:colOff>
      <xdr:row>3</xdr:row>
      <xdr:rowOff>66675</xdr:rowOff>
    </xdr:to>
    <xdr:sp macro="" textlink="">
      <xdr:nvSpPr>
        <xdr:cNvPr id="4097" name="Text Box 1"/>
        <xdr:cNvSpPr txBox="1">
          <a:spLocks noChangeArrowheads="1"/>
        </xdr:cNvSpPr>
      </xdr:nvSpPr>
      <xdr:spPr bwMode="auto">
        <a:xfrm>
          <a:off x="314325" y="104775"/>
          <a:ext cx="2362200" cy="44767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9966" mc:Ignorable="a14" a14:legacySpreadsheetColorIndex="57"/>
            </a:gs>
            <a:gs pos="50000">
              <a:srgbClr xmlns:mc="http://schemas.openxmlformats.org/markup-compatibility/2006" xmlns:a14="http://schemas.microsoft.com/office/drawing/2010/main" val="FFFF99" mc:Ignorable="a14" a14:legacySpreadsheetColorIndex="43"/>
            </a:gs>
            <a:gs pos="100000">
              <a:srgbClr xmlns:mc="http://schemas.openxmlformats.org/markup-compatibility/2006" xmlns:a14="http://schemas.microsoft.com/office/drawing/2010/main" val="339966" mc:Ignorable="a14" a14:legacySpreadsheetColorIndex="57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Output for Option B</a:t>
          </a:r>
          <a:endParaRPr lang="en-US"/>
        </a:p>
      </xdr:txBody>
    </xdr:sp>
    <xdr:clientData/>
  </xdr:twoCellAnchor>
  <xdr:twoCellAnchor>
    <xdr:from>
      <xdr:col>1</xdr:col>
      <xdr:colOff>9525</xdr:colOff>
      <xdr:row>4</xdr:row>
      <xdr:rowOff>0</xdr:rowOff>
    </xdr:from>
    <xdr:to>
      <xdr:col>7</xdr:col>
      <xdr:colOff>838200</xdr:colOff>
      <xdr:row>9</xdr:row>
      <xdr:rowOff>47625</xdr:rowOff>
    </xdr:to>
    <xdr:sp macro="" textlink="">
      <xdr:nvSpPr>
        <xdr:cNvPr id="4098" name="Text Box 2"/>
        <xdr:cNvSpPr txBox="1">
          <a:spLocks noChangeArrowheads="1"/>
        </xdr:cNvSpPr>
      </xdr:nvSpPr>
      <xdr:spPr bwMode="auto">
        <a:xfrm>
          <a:off x="304800" y="647700"/>
          <a:ext cx="4733925" cy="85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>
            <a:alpha val="7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Max Profit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is found for a fixed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Risk Rate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various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Time Horizons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for three different scenarios: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Buying and Selling,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Buying and Holding,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Selling and Holding.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Press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RESOLVE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to change the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Time Horizon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intervals.</a:t>
          </a:r>
          <a:endParaRPr lang="en-US"/>
        </a:p>
      </xdr:txBody>
    </xdr:sp>
    <xdr:clientData/>
  </xdr:twoCellAnchor>
  <xdr:twoCellAnchor>
    <xdr:from>
      <xdr:col>7</xdr:col>
      <xdr:colOff>923925</xdr:colOff>
      <xdr:row>4</xdr:row>
      <xdr:rowOff>0</xdr:rowOff>
    </xdr:from>
    <xdr:to>
      <xdr:col>9</xdr:col>
      <xdr:colOff>447675</xdr:colOff>
      <xdr:row>6</xdr:row>
      <xdr:rowOff>57150</xdr:rowOff>
    </xdr:to>
    <xdr:sp macro="[0]!EndProg" textlink="">
      <xdr:nvSpPr>
        <xdr:cNvPr id="4099" name="AutoShape 3"/>
        <xdr:cNvSpPr>
          <a:spLocks noChangeArrowheads="1"/>
        </xdr:cNvSpPr>
      </xdr:nvSpPr>
      <xdr:spPr bwMode="auto">
        <a:xfrm>
          <a:off x="5124450" y="647700"/>
          <a:ext cx="1038225" cy="3810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END</a:t>
          </a:r>
          <a:endParaRPr lang="en-US"/>
        </a:p>
      </xdr:txBody>
    </xdr:sp>
    <xdr:clientData/>
  </xdr:twoCellAnchor>
  <xdr:twoCellAnchor editAs="oneCell">
    <xdr:from>
      <xdr:col>5</xdr:col>
      <xdr:colOff>0</xdr:colOff>
      <xdr:row>0</xdr:row>
      <xdr:rowOff>123825</xdr:rowOff>
    </xdr:from>
    <xdr:to>
      <xdr:col>11</xdr:col>
      <xdr:colOff>0</xdr:colOff>
      <xdr:row>3</xdr:row>
      <xdr:rowOff>57150</xdr:rowOff>
    </xdr:to>
    <xdr:pic>
      <xdr:nvPicPr>
        <xdr:cNvPr id="4100" name="Picture 4" descr="DollarPictur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0"/>
        <a:stretch>
          <a:fillRect/>
        </a:stretch>
      </xdr:blipFill>
      <xdr:spPr bwMode="auto">
        <a:xfrm>
          <a:off x="2800350" y="123825"/>
          <a:ext cx="4476750" cy="419100"/>
        </a:xfrm>
        <a:prstGeom prst="rect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9525</xdr:colOff>
      <xdr:row>6</xdr:row>
      <xdr:rowOff>133350</xdr:rowOff>
    </xdr:from>
    <xdr:to>
      <xdr:col>10</xdr:col>
      <xdr:colOff>66675</xdr:colOff>
      <xdr:row>9</xdr:row>
      <xdr:rowOff>28575</xdr:rowOff>
    </xdr:to>
    <xdr:sp macro="[0]!SolveB" textlink="">
      <xdr:nvSpPr>
        <xdr:cNvPr id="4104" name="AutoShape 8"/>
        <xdr:cNvSpPr>
          <a:spLocks noChangeArrowheads="1"/>
        </xdr:cNvSpPr>
      </xdr:nvSpPr>
      <xdr:spPr bwMode="auto">
        <a:xfrm>
          <a:off x="5724525" y="1104900"/>
          <a:ext cx="1009650" cy="3810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RESOLVE</a:t>
          </a:r>
          <a:endParaRPr lang="en-US"/>
        </a:p>
      </xdr:txBody>
    </xdr:sp>
    <xdr:clientData/>
  </xdr:twoCellAnchor>
  <xdr:twoCellAnchor>
    <xdr:from>
      <xdr:col>9</xdr:col>
      <xdr:colOff>542925</xdr:colOff>
      <xdr:row>4</xdr:row>
      <xdr:rowOff>0</xdr:rowOff>
    </xdr:from>
    <xdr:to>
      <xdr:col>10</xdr:col>
      <xdr:colOff>600075</xdr:colOff>
      <xdr:row>6</xdr:row>
      <xdr:rowOff>57150</xdr:rowOff>
    </xdr:to>
    <xdr:sp macro="[0]!ViewCalc" textlink="">
      <xdr:nvSpPr>
        <xdr:cNvPr id="4105" name="AutoShape 9"/>
        <xdr:cNvSpPr>
          <a:spLocks noChangeArrowheads="1"/>
        </xdr:cNvSpPr>
      </xdr:nvSpPr>
      <xdr:spPr bwMode="auto">
        <a:xfrm>
          <a:off x="6257925" y="647700"/>
          <a:ext cx="1009650" cy="3810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339966" mc:Ignorable="a14" a14:legacySpreadsheetColorIndex="57">
            <a:alpha val="8000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View Calc</a:t>
          </a:r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showRowColHeaders="0" workbookViewId="0">
      <selection activeCell="D2" sqref="D2"/>
    </sheetView>
  </sheetViews>
  <sheetFormatPr defaultRowHeight="12.75" x14ac:dyDescent="0.2"/>
  <sheetData>
    <row r="1" spans="1:1" x14ac:dyDescent="0.2">
      <c r="A1" s="9" t="s">
        <v>61</v>
      </c>
    </row>
  </sheetData>
  <sheetProtection password="8C4D" sheet="1" objects="1" scenarios="1" selectLockedCells="1" selectUnlockedCells="1"/>
  <phoneticPr fontId="1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1596"/>
  <sheetViews>
    <sheetView showGridLines="0" workbookViewId="0">
      <selection activeCell="M604" sqref="M604:M1322"/>
    </sheetView>
  </sheetViews>
  <sheetFormatPr defaultColWidth="11.7109375" defaultRowHeight="12.75" x14ac:dyDescent="0.2"/>
  <cols>
    <col min="1" max="1" width="3" style="11" customWidth="1"/>
    <col min="2" max="2" width="13.140625" customWidth="1"/>
    <col min="3" max="3" width="11.7109375" customWidth="1"/>
    <col min="4" max="4" width="9.140625" customWidth="1"/>
    <col min="5" max="5" width="9" customWidth="1"/>
    <col min="6" max="6" width="2.7109375" customWidth="1"/>
    <col min="7" max="7" width="16.28515625" customWidth="1"/>
    <col min="8" max="8" width="3.42578125" customWidth="1"/>
    <col min="9" max="9" width="12.140625" customWidth="1"/>
    <col min="10" max="11" width="11.7109375" customWidth="1"/>
    <col min="12" max="12" width="3" customWidth="1"/>
    <col min="13" max="13" width="15.42578125" customWidth="1"/>
    <col min="14" max="14" width="4" customWidth="1"/>
    <col min="15" max="15" width="15.5703125" customWidth="1"/>
    <col min="16" max="16" width="9.140625" customWidth="1"/>
    <col min="17" max="19" width="11.7109375" customWidth="1"/>
    <col min="20" max="21" width="11.7109375" hidden="1" customWidth="1"/>
  </cols>
  <sheetData>
    <row r="1" spans="2:21" s="11" customFormat="1" x14ac:dyDescent="0.2">
      <c r="T1" s="12" t="s">
        <v>22</v>
      </c>
      <c r="U1" s="38" t="s">
        <v>38</v>
      </c>
    </row>
    <row r="2" spans="2:21" s="11" customFormat="1" x14ac:dyDescent="0.2">
      <c r="T2" s="12" t="s">
        <v>23</v>
      </c>
      <c r="U2" s="38" t="s">
        <v>39</v>
      </c>
    </row>
    <row r="3" spans="2:21" s="11" customFormat="1" x14ac:dyDescent="0.2">
      <c r="T3" s="12" t="s">
        <v>24</v>
      </c>
      <c r="U3" s="38" t="s">
        <v>40</v>
      </c>
    </row>
    <row r="4" spans="2:21" s="11" customFormat="1" x14ac:dyDescent="0.2">
      <c r="T4" s="12" t="s">
        <v>25</v>
      </c>
      <c r="U4" s="38" t="s">
        <v>41</v>
      </c>
    </row>
    <row r="5" spans="2:21" s="11" customFormat="1" x14ac:dyDescent="0.2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T5" s="12" t="s">
        <v>26</v>
      </c>
      <c r="U5" s="38" t="s">
        <v>42</v>
      </c>
    </row>
    <row r="6" spans="2:21" s="11" customFormat="1" x14ac:dyDescent="0.2">
      <c r="B6" s="13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T6" s="12" t="s">
        <v>27</v>
      </c>
      <c r="U6" s="38" t="s">
        <v>43</v>
      </c>
    </row>
    <row r="7" spans="2:21" s="11" customFormat="1" x14ac:dyDescent="0.2">
      <c r="B7" s="13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T7" s="12" t="s">
        <v>28</v>
      </c>
      <c r="U7" s="38" t="s">
        <v>44</v>
      </c>
    </row>
    <row r="8" spans="2:21" s="11" customFormat="1" x14ac:dyDescent="0.2">
      <c r="B8" s="13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T8" s="12" t="s">
        <v>29</v>
      </c>
      <c r="U8" s="38" t="s">
        <v>45</v>
      </c>
    </row>
    <row r="9" spans="2:21" s="11" customFormat="1" ht="25.5" x14ac:dyDescent="0.2">
      <c r="B9" s="13"/>
      <c r="C9" s="13"/>
      <c r="D9" s="13"/>
      <c r="E9" s="12"/>
      <c r="F9" s="12"/>
      <c r="G9" s="12"/>
      <c r="H9" s="12"/>
      <c r="I9" s="21" t="s">
        <v>55</v>
      </c>
      <c r="J9" s="21" t="s">
        <v>56</v>
      </c>
      <c r="K9" s="12"/>
      <c r="L9" s="12"/>
      <c r="M9" s="20" t="s">
        <v>17</v>
      </c>
      <c r="T9" s="12" t="s">
        <v>36</v>
      </c>
      <c r="U9" s="38" t="s">
        <v>46</v>
      </c>
    </row>
    <row r="10" spans="2:21" s="11" customFormat="1" x14ac:dyDescent="0.2">
      <c r="E10" s="12"/>
      <c r="F10" s="12"/>
      <c r="G10" s="12"/>
      <c r="H10" s="12"/>
      <c r="I10" s="45" t="s">
        <v>13</v>
      </c>
      <c r="J10" s="45" t="s">
        <v>13</v>
      </c>
      <c r="M10" s="6">
        <v>0.05</v>
      </c>
      <c r="T10" s="12" t="s">
        <v>37</v>
      </c>
      <c r="U10" s="38" t="s">
        <v>58</v>
      </c>
    </row>
    <row r="11" spans="2:21" s="11" customFormat="1" ht="39" thickBot="1" x14ac:dyDescent="0.25">
      <c r="B11" s="12"/>
      <c r="C11" s="14"/>
      <c r="E11" s="12"/>
      <c r="F11" s="12"/>
      <c r="H11" s="12"/>
      <c r="I11" s="21" t="s">
        <v>48</v>
      </c>
      <c r="J11" s="21" t="s">
        <v>49</v>
      </c>
      <c r="K11" s="21" t="s">
        <v>16</v>
      </c>
      <c r="M11" s="20" t="s">
        <v>15</v>
      </c>
      <c r="T11" s="12" t="s">
        <v>30</v>
      </c>
      <c r="U11" s="38" t="s">
        <v>59</v>
      </c>
    </row>
    <row r="12" spans="2:21" s="11" customFormat="1" ht="13.5" thickBot="1" x14ac:dyDescent="0.25">
      <c r="B12" s="51" t="s">
        <v>14</v>
      </c>
      <c r="C12" s="52"/>
      <c r="E12" s="12"/>
      <c r="F12" s="12"/>
      <c r="H12" s="12"/>
      <c r="I12" s="31">
        <v>0.03</v>
      </c>
      <c r="J12" s="31">
        <v>0.06</v>
      </c>
      <c r="K12" s="6">
        <v>5000</v>
      </c>
      <c r="M12" s="31">
        <v>100000</v>
      </c>
      <c r="T12" s="12" t="s">
        <v>31</v>
      </c>
      <c r="U12" s="38" t="s">
        <v>60</v>
      </c>
    </row>
    <row r="13" spans="2:21" s="11" customFormat="1" ht="26.25" thickBot="1" x14ac:dyDescent="0.25">
      <c r="B13" s="23" t="s">
        <v>9</v>
      </c>
      <c r="C13" s="35" t="s">
        <v>34</v>
      </c>
      <c r="D13" s="16" t="s">
        <v>32</v>
      </c>
      <c r="E13" s="16" t="s">
        <v>33</v>
      </c>
      <c r="F13" s="12"/>
      <c r="G13" s="21" t="s">
        <v>10</v>
      </c>
      <c r="H13" s="12"/>
      <c r="I13" s="21" t="s">
        <v>11</v>
      </c>
      <c r="J13" s="42" t="s">
        <v>12</v>
      </c>
      <c r="K13" s="41" t="s">
        <v>47</v>
      </c>
      <c r="M13" s="15" t="s">
        <v>35</v>
      </c>
      <c r="O13" s="15" t="s">
        <v>8</v>
      </c>
    </row>
    <row r="14" spans="2:21" s="11" customFormat="1" x14ac:dyDescent="0.2">
      <c r="B14" s="24">
        <v>1871.01</v>
      </c>
      <c r="C14" s="25">
        <v>4.4400000000000004</v>
      </c>
      <c r="D14" s="40"/>
      <c r="E14" s="40"/>
      <c r="F14" s="12"/>
      <c r="G14" s="18"/>
      <c r="H14" s="12"/>
      <c r="I14" s="39"/>
      <c r="J14" s="39"/>
      <c r="K14" s="39"/>
      <c r="M14" s="19"/>
      <c r="O14" s="17">
        <f>$M$1322</f>
        <v>102040.09092882754</v>
      </c>
    </row>
    <row r="15" spans="2:21" s="11" customFormat="1" x14ac:dyDescent="0.2">
      <c r="B15" s="24">
        <v>1871.02</v>
      </c>
      <c r="C15" s="25">
        <v>4.5</v>
      </c>
      <c r="D15" s="40"/>
      <c r="E15" s="40"/>
      <c r="F15" s="12"/>
      <c r="G15" s="18"/>
      <c r="H15" s="12"/>
      <c r="I15" s="39"/>
      <c r="J15" s="39"/>
      <c r="K15" s="39"/>
      <c r="M15" s="19"/>
    </row>
    <row r="16" spans="2:21" s="11" customFormat="1" x14ac:dyDescent="0.2">
      <c r="B16" s="24">
        <v>1871.03</v>
      </c>
      <c r="C16" s="25">
        <v>4.6100000000000003</v>
      </c>
      <c r="D16" s="40"/>
      <c r="E16" s="40"/>
      <c r="F16" s="12"/>
      <c r="G16" s="18"/>
      <c r="H16" s="12"/>
      <c r="I16" s="39"/>
      <c r="J16" s="39"/>
      <c r="K16" s="39"/>
      <c r="M16" s="19"/>
    </row>
    <row r="17" spans="2:13" s="11" customFormat="1" x14ac:dyDescent="0.2">
      <c r="B17" s="24">
        <v>1871.04</v>
      </c>
      <c r="C17" s="25">
        <v>4.74</v>
      </c>
      <c r="D17" s="40"/>
      <c r="E17" s="40"/>
      <c r="F17" s="12"/>
      <c r="G17" s="18"/>
      <c r="H17" s="12"/>
      <c r="I17" s="39"/>
      <c r="J17" s="39"/>
      <c r="K17" s="39"/>
      <c r="M17" s="19"/>
    </row>
    <row r="18" spans="2:13" s="11" customFormat="1" x14ac:dyDescent="0.2">
      <c r="B18" s="24">
        <v>1871.05</v>
      </c>
      <c r="C18" s="25">
        <v>4.8600000000000003</v>
      </c>
      <c r="D18" s="40"/>
      <c r="E18" s="40"/>
      <c r="F18" s="12"/>
      <c r="G18" s="18"/>
      <c r="H18" s="12"/>
      <c r="I18" s="39"/>
      <c r="J18" s="39"/>
      <c r="K18" s="39"/>
      <c r="M18" s="19"/>
    </row>
    <row r="19" spans="2:13" s="11" customFormat="1" x14ac:dyDescent="0.2">
      <c r="B19" s="24">
        <v>1871.06</v>
      </c>
      <c r="C19" s="25">
        <v>4.82</v>
      </c>
      <c r="D19" s="40"/>
      <c r="E19" s="40"/>
      <c r="F19" s="12"/>
      <c r="G19" s="18"/>
      <c r="H19" s="12"/>
      <c r="I19" s="39"/>
      <c r="J19" s="39"/>
      <c r="K19" s="39"/>
      <c r="M19" s="19"/>
    </row>
    <row r="20" spans="2:13" s="11" customFormat="1" x14ac:dyDescent="0.2">
      <c r="B20" s="24">
        <v>1871.07</v>
      </c>
      <c r="C20" s="25">
        <v>4.7300000000000004</v>
      </c>
      <c r="D20" s="40"/>
      <c r="E20" s="40"/>
      <c r="F20" s="12"/>
      <c r="G20" s="18"/>
      <c r="H20" s="12"/>
      <c r="I20" s="39"/>
      <c r="J20" s="39"/>
      <c r="K20" s="39"/>
      <c r="M20" s="19"/>
    </row>
    <row r="21" spans="2:13" s="11" customFormat="1" x14ac:dyDescent="0.2">
      <c r="B21" s="24">
        <v>1871.08</v>
      </c>
      <c r="C21" s="25">
        <v>4.79</v>
      </c>
      <c r="D21" s="40"/>
      <c r="E21" s="40"/>
      <c r="F21" s="12"/>
      <c r="G21" s="18"/>
      <c r="H21" s="12"/>
      <c r="I21" s="39"/>
      <c r="J21" s="39"/>
      <c r="K21" s="39"/>
      <c r="M21" s="19"/>
    </row>
    <row r="22" spans="2:13" s="11" customFormat="1" x14ac:dyDescent="0.2">
      <c r="B22" s="24">
        <v>1871.09</v>
      </c>
      <c r="C22" s="25">
        <v>4.84</v>
      </c>
      <c r="D22" s="40"/>
      <c r="E22" s="40"/>
      <c r="F22" s="12"/>
      <c r="G22" s="18"/>
      <c r="H22" s="12"/>
      <c r="I22" s="39"/>
      <c r="J22" s="39"/>
      <c r="K22" s="39"/>
      <c r="M22" s="19"/>
    </row>
    <row r="23" spans="2:13" s="11" customFormat="1" x14ac:dyDescent="0.2">
      <c r="B23" s="24">
        <v>1871.1</v>
      </c>
      <c r="C23" s="25">
        <v>4.59</v>
      </c>
      <c r="D23" s="40"/>
      <c r="E23" s="40"/>
      <c r="F23" s="12"/>
      <c r="G23" s="18"/>
      <c r="H23" s="12"/>
      <c r="I23" s="39"/>
      <c r="J23" s="39"/>
      <c r="K23" s="39"/>
      <c r="M23" s="19"/>
    </row>
    <row r="24" spans="2:13" s="11" customFormat="1" x14ac:dyDescent="0.2">
      <c r="B24" s="24">
        <v>1871.11</v>
      </c>
      <c r="C24" s="25">
        <v>4.6399999999999997</v>
      </c>
      <c r="D24" s="40"/>
      <c r="E24" s="40"/>
      <c r="F24" s="12"/>
      <c r="G24" s="18"/>
      <c r="H24" s="12"/>
      <c r="I24" s="39"/>
      <c r="J24" s="39"/>
      <c r="K24" s="39"/>
      <c r="M24" s="19"/>
    </row>
    <row r="25" spans="2:13" s="11" customFormat="1" x14ac:dyDescent="0.2">
      <c r="B25" s="24">
        <v>1871.12</v>
      </c>
      <c r="C25" s="25">
        <v>4.74</v>
      </c>
      <c r="D25" s="40"/>
      <c r="E25" s="40"/>
      <c r="F25" s="12"/>
      <c r="G25" s="18"/>
      <c r="H25" s="12"/>
      <c r="I25" s="39"/>
      <c r="J25" s="39"/>
      <c r="K25" s="39"/>
      <c r="M25" s="19"/>
    </row>
    <row r="26" spans="2:13" s="11" customFormat="1" x14ac:dyDescent="0.2">
      <c r="B26" s="24">
        <v>1872.01</v>
      </c>
      <c r="C26" s="25">
        <v>4.8600000000000003</v>
      </c>
      <c r="D26" s="40"/>
      <c r="E26" s="40"/>
      <c r="F26" s="12"/>
      <c r="G26" s="18"/>
      <c r="H26" s="12"/>
      <c r="I26" s="39"/>
      <c r="J26" s="39"/>
      <c r="K26" s="39"/>
      <c r="M26" s="19"/>
    </row>
    <row r="27" spans="2:13" s="11" customFormat="1" x14ac:dyDescent="0.2">
      <c r="B27" s="24">
        <v>1872.02</v>
      </c>
      <c r="C27" s="25">
        <v>4.88</v>
      </c>
      <c r="D27" s="40"/>
      <c r="E27" s="40"/>
      <c r="F27" s="12"/>
      <c r="G27" s="18"/>
      <c r="H27" s="12"/>
      <c r="I27" s="39"/>
      <c r="J27" s="39"/>
      <c r="K27" s="39"/>
      <c r="M27" s="19"/>
    </row>
    <row r="28" spans="2:13" s="11" customFormat="1" x14ac:dyDescent="0.2">
      <c r="B28" s="24">
        <v>1872.03</v>
      </c>
      <c r="C28" s="25">
        <v>5.04</v>
      </c>
      <c r="D28" s="40"/>
      <c r="E28" s="40"/>
      <c r="F28" s="12"/>
      <c r="G28" s="18"/>
      <c r="H28" s="12"/>
      <c r="I28" s="39"/>
      <c r="J28" s="39"/>
      <c r="K28" s="39"/>
      <c r="M28" s="19"/>
    </row>
    <row r="29" spans="2:13" s="11" customFormat="1" x14ac:dyDescent="0.2">
      <c r="B29" s="24">
        <v>1872.04</v>
      </c>
      <c r="C29" s="25">
        <v>5.18</v>
      </c>
      <c r="D29" s="40"/>
      <c r="E29" s="40"/>
      <c r="F29" s="12"/>
      <c r="G29" s="18"/>
      <c r="H29" s="12"/>
      <c r="I29" s="39"/>
      <c r="J29" s="39"/>
      <c r="K29" s="39"/>
      <c r="M29" s="19"/>
    </row>
    <row r="30" spans="2:13" s="11" customFormat="1" x14ac:dyDescent="0.2">
      <c r="B30" s="24">
        <v>1872.05</v>
      </c>
      <c r="C30" s="25">
        <v>5.18</v>
      </c>
      <c r="D30" s="40"/>
      <c r="E30" s="40"/>
      <c r="F30" s="12"/>
      <c r="G30" s="18"/>
      <c r="H30" s="12"/>
      <c r="I30" s="39"/>
      <c r="J30" s="39"/>
      <c r="K30" s="39"/>
      <c r="M30" s="19"/>
    </row>
    <row r="31" spans="2:13" s="11" customFormat="1" x14ac:dyDescent="0.2">
      <c r="B31" s="24">
        <v>1872.06</v>
      </c>
      <c r="C31" s="25">
        <v>5.13</v>
      </c>
      <c r="D31" s="40"/>
      <c r="E31" s="40"/>
      <c r="F31" s="12"/>
      <c r="G31" s="18"/>
      <c r="H31" s="12"/>
      <c r="I31" s="39"/>
      <c r="J31" s="39"/>
      <c r="K31" s="39"/>
      <c r="M31" s="19"/>
    </row>
    <row r="32" spans="2:13" s="11" customFormat="1" x14ac:dyDescent="0.2">
      <c r="B32" s="24">
        <v>1872.07</v>
      </c>
      <c r="C32" s="25">
        <v>5.0999999999999996</v>
      </c>
      <c r="D32" s="40"/>
      <c r="E32" s="40"/>
      <c r="F32" s="12"/>
      <c r="G32" s="18"/>
      <c r="H32" s="12"/>
      <c r="I32" s="39"/>
      <c r="J32" s="39"/>
      <c r="K32" s="39"/>
      <c r="M32" s="19"/>
    </row>
    <row r="33" spans="2:13" s="11" customFormat="1" x14ac:dyDescent="0.2">
      <c r="B33" s="24">
        <v>1872.08</v>
      </c>
      <c r="C33" s="25">
        <v>5.04</v>
      </c>
      <c r="D33" s="40"/>
      <c r="E33" s="40"/>
      <c r="F33" s="12"/>
      <c r="G33" s="18"/>
      <c r="H33" s="12"/>
      <c r="I33" s="39"/>
      <c r="J33" s="39"/>
      <c r="K33" s="39"/>
      <c r="M33" s="19"/>
    </row>
    <row r="34" spans="2:13" s="11" customFormat="1" x14ac:dyDescent="0.2">
      <c r="B34" s="24">
        <v>1872.09</v>
      </c>
      <c r="C34" s="25">
        <v>4.95</v>
      </c>
      <c r="D34" s="40"/>
      <c r="E34" s="40"/>
      <c r="F34" s="12"/>
      <c r="G34" s="18"/>
      <c r="H34" s="12"/>
      <c r="I34" s="39"/>
      <c r="J34" s="39"/>
      <c r="K34" s="39"/>
      <c r="M34" s="19"/>
    </row>
    <row r="35" spans="2:13" s="11" customFormat="1" x14ac:dyDescent="0.2">
      <c r="B35" s="24">
        <v>1872.1</v>
      </c>
      <c r="C35" s="25">
        <v>4.97</v>
      </c>
      <c r="D35" s="40"/>
      <c r="E35" s="40"/>
      <c r="F35" s="12"/>
      <c r="G35" s="18"/>
      <c r="H35" s="12"/>
      <c r="I35" s="39"/>
      <c r="J35" s="39"/>
      <c r="K35" s="39"/>
      <c r="M35" s="19"/>
    </row>
    <row r="36" spans="2:13" s="11" customFormat="1" x14ac:dyDescent="0.2">
      <c r="B36" s="24">
        <v>1872.11</v>
      </c>
      <c r="C36" s="25">
        <v>4.95</v>
      </c>
      <c r="D36" s="40"/>
      <c r="E36" s="40"/>
      <c r="F36" s="12"/>
      <c r="G36" s="18"/>
      <c r="H36" s="12"/>
      <c r="I36" s="39"/>
      <c r="J36" s="39"/>
      <c r="K36" s="39"/>
      <c r="M36" s="19"/>
    </row>
    <row r="37" spans="2:13" s="11" customFormat="1" x14ac:dyDescent="0.2">
      <c r="B37" s="24">
        <v>1872.12</v>
      </c>
      <c r="C37" s="25">
        <v>5.07</v>
      </c>
      <c r="D37" s="40"/>
      <c r="E37" s="40"/>
      <c r="F37" s="12"/>
      <c r="G37" s="18"/>
      <c r="H37" s="12"/>
      <c r="I37" s="39"/>
      <c r="J37" s="39"/>
      <c r="K37" s="39"/>
      <c r="M37" s="19"/>
    </row>
    <row r="38" spans="2:13" s="11" customFormat="1" x14ac:dyDescent="0.2">
      <c r="B38" s="24">
        <v>1873.01</v>
      </c>
      <c r="C38" s="25">
        <v>5.1100000000000003</v>
      </c>
      <c r="D38" s="40"/>
      <c r="E38" s="40"/>
      <c r="F38" s="12"/>
      <c r="G38" s="18"/>
      <c r="H38" s="12"/>
      <c r="I38" s="39"/>
      <c r="J38" s="39"/>
      <c r="K38" s="39"/>
      <c r="M38" s="19"/>
    </row>
    <row r="39" spans="2:13" s="11" customFormat="1" x14ac:dyDescent="0.2">
      <c r="B39" s="24">
        <v>1873.02</v>
      </c>
      <c r="C39" s="25">
        <v>5.15</v>
      </c>
      <c r="D39" s="40"/>
      <c r="E39" s="40"/>
      <c r="F39" s="12"/>
      <c r="G39" s="18"/>
      <c r="H39" s="12"/>
      <c r="I39" s="39"/>
      <c r="J39" s="39"/>
      <c r="K39" s="39"/>
      <c r="M39" s="19"/>
    </row>
    <row r="40" spans="2:13" s="11" customFormat="1" x14ac:dyDescent="0.2">
      <c r="B40" s="24">
        <v>1873.03</v>
      </c>
      <c r="C40" s="25">
        <v>5.1100000000000003</v>
      </c>
      <c r="D40" s="40"/>
      <c r="E40" s="40"/>
      <c r="F40" s="12"/>
      <c r="G40" s="18"/>
      <c r="H40" s="12"/>
      <c r="I40" s="39"/>
      <c r="J40" s="39"/>
      <c r="K40" s="39"/>
      <c r="M40" s="19"/>
    </row>
    <row r="41" spans="2:13" s="11" customFormat="1" x14ac:dyDescent="0.2">
      <c r="B41" s="24">
        <v>1873.04</v>
      </c>
      <c r="C41" s="25">
        <v>5.04</v>
      </c>
      <c r="D41" s="40"/>
      <c r="E41" s="40"/>
      <c r="F41" s="12"/>
      <c r="G41" s="18"/>
      <c r="H41" s="12"/>
      <c r="I41" s="39"/>
      <c r="J41" s="39"/>
      <c r="K41" s="39"/>
      <c r="M41" s="19"/>
    </row>
    <row r="42" spans="2:13" s="11" customFormat="1" x14ac:dyDescent="0.2">
      <c r="B42" s="24">
        <v>1873.05</v>
      </c>
      <c r="C42" s="25">
        <v>5.05</v>
      </c>
      <c r="D42" s="40"/>
      <c r="E42" s="40"/>
      <c r="F42" s="12"/>
      <c r="G42" s="18"/>
      <c r="H42" s="12"/>
      <c r="I42" s="39"/>
      <c r="J42" s="39"/>
      <c r="K42" s="39"/>
      <c r="M42" s="19"/>
    </row>
    <row r="43" spans="2:13" s="11" customFormat="1" x14ac:dyDescent="0.2">
      <c r="B43" s="24">
        <v>1873.06</v>
      </c>
      <c r="C43" s="25">
        <v>4.9800000000000004</v>
      </c>
      <c r="D43" s="40"/>
      <c r="E43" s="40"/>
      <c r="F43" s="12"/>
      <c r="G43" s="18"/>
      <c r="H43" s="12"/>
      <c r="I43" s="39"/>
      <c r="J43" s="39"/>
      <c r="K43" s="39"/>
      <c r="M43" s="19"/>
    </row>
    <row r="44" spans="2:13" s="11" customFormat="1" x14ac:dyDescent="0.2">
      <c r="B44" s="24">
        <v>1873.07</v>
      </c>
      <c r="C44" s="25">
        <v>4.97</v>
      </c>
      <c r="D44" s="40"/>
      <c r="E44" s="40"/>
      <c r="F44" s="12"/>
      <c r="G44" s="18"/>
      <c r="H44" s="12"/>
      <c r="I44" s="39"/>
      <c r="J44" s="39"/>
      <c r="K44" s="39"/>
      <c r="M44" s="19"/>
    </row>
    <row r="45" spans="2:13" s="11" customFormat="1" x14ac:dyDescent="0.2">
      <c r="B45" s="24">
        <v>1873.08</v>
      </c>
      <c r="C45" s="25">
        <v>4.97</v>
      </c>
      <c r="D45" s="40"/>
      <c r="E45" s="40"/>
      <c r="F45" s="12"/>
      <c r="G45" s="18"/>
      <c r="H45" s="12"/>
      <c r="I45" s="39"/>
      <c r="J45" s="39"/>
      <c r="K45" s="39"/>
      <c r="M45" s="19"/>
    </row>
    <row r="46" spans="2:13" s="11" customFormat="1" x14ac:dyDescent="0.2">
      <c r="B46" s="24">
        <v>1873.09</v>
      </c>
      <c r="C46" s="25">
        <v>4.59</v>
      </c>
      <c r="D46" s="40"/>
      <c r="E46" s="40"/>
      <c r="F46" s="12"/>
      <c r="G46" s="18"/>
      <c r="H46" s="12"/>
      <c r="I46" s="39"/>
      <c r="J46" s="39"/>
      <c r="K46" s="39"/>
      <c r="M46" s="19"/>
    </row>
    <row r="47" spans="2:13" s="11" customFormat="1" x14ac:dyDescent="0.2">
      <c r="B47" s="24">
        <v>1873.1</v>
      </c>
      <c r="C47" s="25">
        <v>4.1900000000000004</v>
      </c>
      <c r="D47" s="40"/>
      <c r="E47" s="40"/>
      <c r="F47" s="12"/>
      <c r="G47" s="18"/>
      <c r="H47" s="12"/>
      <c r="I47" s="39"/>
      <c r="J47" s="39"/>
      <c r="K47" s="39"/>
      <c r="M47" s="19"/>
    </row>
    <row r="48" spans="2:13" s="11" customFormat="1" x14ac:dyDescent="0.2">
      <c r="B48" s="24">
        <v>1873.11</v>
      </c>
      <c r="C48" s="25">
        <v>4.04</v>
      </c>
      <c r="D48" s="40"/>
      <c r="E48" s="40"/>
      <c r="F48" s="12"/>
      <c r="G48" s="18"/>
      <c r="H48" s="12"/>
      <c r="I48" s="39"/>
      <c r="J48" s="39"/>
      <c r="K48" s="39"/>
      <c r="M48" s="19"/>
    </row>
    <row r="49" spans="2:13" s="11" customFormat="1" x14ac:dyDescent="0.2">
      <c r="B49" s="24">
        <v>1873.12</v>
      </c>
      <c r="C49" s="25">
        <v>4.42</v>
      </c>
      <c r="D49" s="40"/>
      <c r="E49" s="40"/>
      <c r="F49" s="12"/>
      <c r="G49" s="18"/>
      <c r="H49" s="12"/>
      <c r="I49" s="39"/>
      <c r="J49" s="39"/>
      <c r="K49" s="39"/>
      <c r="M49" s="19"/>
    </row>
    <row r="50" spans="2:13" s="11" customFormat="1" x14ac:dyDescent="0.2">
      <c r="B50" s="24">
        <v>1874.01</v>
      </c>
      <c r="C50" s="25">
        <v>4.66</v>
      </c>
      <c r="D50" s="40"/>
      <c r="E50" s="40"/>
      <c r="F50" s="12"/>
      <c r="G50" s="18"/>
      <c r="H50" s="12"/>
      <c r="I50" s="39"/>
      <c r="J50" s="39"/>
      <c r="K50" s="39"/>
      <c r="M50" s="19"/>
    </row>
    <row r="51" spans="2:13" s="11" customFormat="1" x14ac:dyDescent="0.2">
      <c r="B51" s="24">
        <v>1874.02</v>
      </c>
      <c r="C51" s="25">
        <v>4.8</v>
      </c>
      <c r="D51" s="40"/>
      <c r="E51" s="40"/>
      <c r="F51" s="12"/>
      <c r="G51" s="18"/>
      <c r="H51" s="12"/>
      <c r="I51" s="39"/>
      <c r="J51" s="39"/>
      <c r="K51" s="39"/>
      <c r="M51" s="19"/>
    </row>
    <row r="52" spans="2:13" s="11" customFormat="1" x14ac:dyDescent="0.2">
      <c r="B52" s="24">
        <v>1874.03</v>
      </c>
      <c r="C52" s="25">
        <v>4.7300000000000004</v>
      </c>
      <c r="D52" s="40"/>
      <c r="E52" s="40"/>
      <c r="F52" s="12"/>
      <c r="G52" s="18"/>
      <c r="H52" s="12"/>
      <c r="I52" s="39"/>
      <c r="J52" s="39"/>
      <c r="K52" s="39"/>
      <c r="M52" s="19"/>
    </row>
    <row r="53" spans="2:13" s="11" customFormat="1" x14ac:dyDescent="0.2">
      <c r="B53" s="24">
        <v>1874.04</v>
      </c>
      <c r="C53" s="25">
        <v>4.5999999999999996</v>
      </c>
      <c r="D53" s="40"/>
      <c r="E53" s="40"/>
      <c r="F53" s="12"/>
      <c r="G53" s="18"/>
      <c r="H53" s="12"/>
      <c r="I53" s="39"/>
      <c r="J53" s="39"/>
      <c r="K53" s="39"/>
      <c r="M53" s="19"/>
    </row>
    <row r="54" spans="2:13" s="11" customFormat="1" x14ac:dyDescent="0.2">
      <c r="B54" s="24">
        <v>1874.05</v>
      </c>
      <c r="C54" s="25">
        <v>4.4800000000000004</v>
      </c>
      <c r="D54" s="40"/>
      <c r="E54" s="40"/>
      <c r="F54" s="12"/>
      <c r="G54" s="18"/>
      <c r="H54" s="12"/>
      <c r="I54" s="39"/>
      <c r="J54" s="39"/>
      <c r="K54" s="39"/>
      <c r="M54" s="19"/>
    </row>
    <row r="55" spans="2:13" s="11" customFormat="1" x14ac:dyDescent="0.2">
      <c r="B55" s="24">
        <v>1874.06</v>
      </c>
      <c r="C55" s="25">
        <v>4.46</v>
      </c>
      <c r="D55" s="40"/>
      <c r="E55" s="40"/>
      <c r="F55" s="12"/>
      <c r="G55" s="18"/>
      <c r="H55" s="12"/>
      <c r="I55" s="39"/>
      <c r="J55" s="39"/>
      <c r="K55" s="39"/>
      <c r="M55" s="19"/>
    </row>
    <row r="56" spans="2:13" s="11" customFormat="1" x14ac:dyDescent="0.2">
      <c r="B56" s="24">
        <v>1874.07</v>
      </c>
      <c r="C56" s="25">
        <v>4.46</v>
      </c>
      <c r="D56" s="40"/>
      <c r="E56" s="40"/>
      <c r="F56" s="12"/>
      <c r="G56" s="18"/>
      <c r="H56" s="12"/>
      <c r="I56" s="39"/>
      <c r="J56" s="39"/>
      <c r="K56" s="39"/>
      <c r="M56" s="19"/>
    </row>
    <row r="57" spans="2:13" s="11" customFormat="1" x14ac:dyDescent="0.2">
      <c r="B57" s="24">
        <v>1874.08</v>
      </c>
      <c r="C57" s="25">
        <v>4.47</v>
      </c>
      <c r="D57" s="40"/>
      <c r="E57" s="40"/>
      <c r="F57" s="12"/>
      <c r="G57" s="18"/>
      <c r="H57" s="12"/>
      <c r="I57" s="39"/>
      <c r="J57" s="39"/>
      <c r="K57" s="39"/>
      <c r="M57" s="19"/>
    </row>
    <row r="58" spans="2:13" s="11" customFormat="1" x14ac:dyDescent="0.2">
      <c r="B58" s="24">
        <v>1874.09</v>
      </c>
      <c r="C58" s="25">
        <v>4.54</v>
      </c>
      <c r="D58" s="40"/>
      <c r="E58" s="40"/>
      <c r="F58" s="12"/>
      <c r="G58" s="18"/>
      <c r="H58" s="12"/>
      <c r="I58" s="39"/>
      <c r="J58" s="39"/>
      <c r="K58" s="39"/>
      <c r="M58" s="19"/>
    </row>
    <row r="59" spans="2:13" s="11" customFormat="1" x14ac:dyDescent="0.2">
      <c r="B59" s="24">
        <v>1874.1</v>
      </c>
      <c r="C59" s="25">
        <v>4.53</v>
      </c>
      <c r="D59" s="40"/>
      <c r="E59" s="40"/>
      <c r="F59" s="12"/>
      <c r="G59" s="18"/>
      <c r="H59" s="12"/>
      <c r="I59" s="39"/>
      <c r="J59" s="39"/>
      <c r="K59" s="39"/>
      <c r="M59" s="19"/>
    </row>
    <row r="60" spans="2:13" s="11" customFormat="1" x14ac:dyDescent="0.2">
      <c r="B60" s="24">
        <v>1874.11</v>
      </c>
      <c r="C60" s="25">
        <v>4.57</v>
      </c>
      <c r="D60" s="40"/>
      <c r="E60" s="40"/>
      <c r="F60" s="12"/>
      <c r="G60" s="18"/>
      <c r="H60" s="12"/>
      <c r="I60" s="39"/>
      <c r="J60" s="39"/>
      <c r="K60" s="39"/>
      <c r="M60" s="19"/>
    </row>
    <row r="61" spans="2:13" s="11" customFormat="1" x14ac:dyDescent="0.2">
      <c r="B61" s="24">
        <v>1874.12</v>
      </c>
      <c r="C61" s="25">
        <v>4.54</v>
      </c>
      <c r="D61" s="40"/>
      <c r="E61" s="40"/>
      <c r="F61" s="12"/>
      <c r="G61" s="18"/>
      <c r="H61" s="12"/>
      <c r="I61" s="39"/>
      <c r="J61" s="39"/>
      <c r="K61" s="39"/>
      <c r="M61" s="19"/>
    </row>
    <row r="62" spans="2:13" s="11" customFormat="1" x14ac:dyDescent="0.2">
      <c r="B62" s="24">
        <v>1875.01</v>
      </c>
      <c r="C62" s="25">
        <v>4.54</v>
      </c>
      <c r="D62" s="40"/>
      <c r="E62" s="40"/>
      <c r="F62" s="12"/>
      <c r="G62" s="18"/>
      <c r="H62" s="12"/>
      <c r="I62" s="39"/>
      <c r="J62" s="39"/>
      <c r="K62" s="39"/>
      <c r="M62" s="19"/>
    </row>
    <row r="63" spans="2:13" s="11" customFormat="1" x14ac:dyDescent="0.2">
      <c r="B63" s="24">
        <v>1875.02</v>
      </c>
      <c r="C63" s="25">
        <v>4.53</v>
      </c>
      <c r="D63" s="40"/>
      <c r="E63" s="40"/>
      <c r="F63" s="12"/>
      <c r="G63" s="18"/>
      <c r="H63" s="12"/>
      <c r="I63" s="39"/>
      <c r="J63" s="39"/>
      <c r="K63" s="39"/>
      <c r="M63" s="19"/>
    </row>
    <row r="64" spans="2:13" s="11" customFormat="1" x14ac:dyDescent="0.2">
      <c r="B64" s="24">
        <v>1875.03</v>
      </c>
      <c r="C64" s="25">
        <v>4.59</v>
      </c>
      <c r="D64" s="40"/>
      <c r="E64" s="40"/>
      <c r="F64" s="12"/>
      <c r="G64" s="18"/>
      <c r="H64" s="12"/>
      <c r="I64" s="39"/>
      <c r="J64" s="39"/>
      <c r="K64" s="39"/>
      <c r="M64" s="19"/>
    </row>
    <row r="65" spans="2:13" s="11" customFormat="1" x14ac:dyDescent="0.2">
      <c r="B65" s="24">
        <v>1875.04</v>
      </c>
      <c r="C65" s="25">
        <v>4.6500000000000004</v>
      </c>
      <c r="D65" s="40"/>
      <c r="E65" s="40"/>
      <c r="F65" s="12"/>
      <c r="G65" s="18"/>
      <c r="H65" s="12"/>
      <c r="I65" s="39"/>
      <c r="J65" s="39"/>
      <c r="K65" s="39"/>
      <c r="M65" s="19"/>
    </row>
    <row r="66" spans="2:13" s="11" customFormat="1" x14ac:dyDescent="0.2">
      <c r="B66" s="24">
        <v>1875.05</v>
      </c>
      <c r="C66" s="25">
        <v>4.47</v>
      </c>
      <c r="D66" s="40"/>
      <c r="E66" s="40"/>
      <c r="F66" s="12"/>
      <c r="G66" s="18"/>
      <c r="H66" s="12"/>
      <c r="I66" s="39"/>
      <c r="J66" s="39"/>
      <c r="K66" s="39"/>
      <c r="M66" s="19"/>
    </row>
    <row r="67" spans="2:13" s="11" customFormat="1" x14ac:dyDescent="0.2">
      <c r="B67" s="24">
        <v>1875.06</v>
      </c>
      <c r="C67" s="25">
        <v>4.38</v>
      </c>
      <c r="D67" s="40"/>
      <c r="E67" s="40"/>
      <c r="F67" s="12"/>
      <c r="G67" s="18"/>
      <c r="H67" s="12"/>
      <c r="I67" s="39"/>
      <c r="J67" s="39"/>
      <c r="K67" s="39"/>
      <c r="M67" s="19"/>
    </row>
    <row r="68" spans="2:13" s="11" customFormat="1" x14ac:dyDescent="0.2">
      <c r="B68" s="24">
        <v>1875.07</v>
      </c>
      <c r="C68" s="25">
        <v>4.3899999999999997</v>
      </c>
      <c r="D68" s="40"/>
      <c r="E68" s="40"/>
      <c r="F68" s="12"/>
      <c r="G68" s="18"/>
      <c r="H68" s="12"/>
      <c r="I68" s="39"/>
      <c r="J68" s="39"/>
      <c r="K68" s="39"/>
      <c r="M68" s="19"/>
    </row>
    <row r="69" spans="2:13" s="11" customFormat="1" x14ac:dyDescent="0.2">
      <c r="B69" s="24">
        <v>1875.08</v>
      </c>
      <c r="C69" s="25">
        <v>4.41</v>
      </c>
      <c r="D69" s="40"/>
      <c r="E69" s="40"/>
      <c r="F69" s="12"/>
      <c r="G69" s="18"/>
      <c r="H69" s="12"/>
      <c r="I69" s="39"/>
      <c r="J69" s="39"/>
      <c r="K69" s="39"/>
      <c r="M69" s="19"/>
    </row>
    <row r="70" spans="2:13" s="11" customFormat="1" x14ac:dyDescent="0.2">
      <c r="B70" s="24">
        <v>1875.09</v>
      </c>
      <c r="C70" s="25">
        <v>4.37</v>
      </c>
      <c r="D70" s="40"/>
      <c r="E70" s="40"/>
      <c r="F70" s="12"/>
      <c r="G70" s="18"/>
      <c r="H70" s="12"/>
      <c r="I70" s="39"/>
      <c r="J70" s="39"/>
      <c r="K70" s="39"/>
      <c r="M70" s="19"/>
    </row>
    <row r="71" spans="2:13" s="11" customFormat="1" x14ac:dyDescent="0.2">
      <c r="B71" s="24">
        <v>1875.1</v>
      </c>
      <c r="C71" s="25">
        <v>4.3</v>
      </c>
      <c r="D71" s="40"/>
      <c r="E71" s="40"/>
      <c r="F71" s="12"/>
      <c r="G71" s="18"/>
      <c r="H71" s="12"/>
      <c r="I71" s="39"/>
      <c r="J71" s="39"/>
      <c r="K71" s="39"/>
      <c r="M71" s="19"/>
    </row>
    <row r="72" spans="2:13" s="11" customFormat="1" x14ac:dyDescent="0.2">
      <c r="B72" s="24">
        <v>1875.11</v>
      </c>
      <c r="C72" s="25">
        <v>4.37</v>
      </c>
      <c r="D72" s="40"/>
      <c r="E72" s="40"/>
      <c r="F72" s="12"/>
      <c r="G72" s="18"/>
      <c r="H72" s="12"/>
      <c r="I72" s="39"/>
      <c r="J72" s="39"/>
      <c r="K72" s="39"/>
      <c r="M72" s="19"/>
    </row>
    <row r="73" spans="2:13" s="11" customFormat="1" x14ac:dyDescent="0.2">
      <c r="B73" s="24">
        <v>1875.12</v>
      </c>
      <c r="C73" s="25">
        <v>4.37</v>
      </c>
      <c r="D73" s="40"/>
      <c r="E73" s="40"/>
      <c r="F73" s="12"/>
      <c r="G73" s="18"/>
      <c r="H73" s="12"/>
      <c r="I73" s="39"/>
      <c r="J73" s="39"/>
      <c r="K73" s="39"/>
      <c r="M73" s="19"/>
    </row>
    <row r="74" spans="2:13" s="11" customFormat="1" x14ac:dyDescent="0.2">
      <c r="B74" s="24">
        <v>1876.01</v>
      </c>
      <c r="C74" s="25">
        <v>4.46</v>
      </c>
      <c r="D74" s="40"/>
      <c r="E74" s="40"/>
      <c r="F74" s="12"/>
      <c r="G74" s="18"/>
      <c r="H74" s="12"/>
      <c r="I74" s="39"/>
      <c r="J74" s="39"/>
      <c r="K74" s="39"/>
      <c r="M74" s="19"/>
    </row>
    <row r="75" spans="2:13" s="11" customFormat="1" x14ac:dyDescent="0.2">
      <c r="B75" s="24">
        <v>1876.02</v>
      </c>
      <c r="C75" s="25">
        <v>4.5199999999999996</v>
      </c>
      <c r="D75" s="40"/>
      <c r="E75" s="40"/>
      <c r="F75" s="12"/>
      <c r="G75" s="18"/>
      <c r="H75" s="12"/>
      <c r="I75" s="39"/>
      <c r="J75" s="39"/>
      <c r="K75" s="39"/>
      <c r="M75" s="19"/>
    </row>
    <row r="76" spans="2:13" s="11" customFormat="1" x14ac:dyDescent="0.2">
      <c r="B76" s="24">
        <v>1876.03</v>
      </c>
      <c r="C76" s="25">
        <v>4.51</v>
      </c>
      <c r="D76" s="40"/>
      <c r="E76" s="40"/>
      <c r="F76" s="12"/>
      <c r="G76" s="18"/>
      <c r="H76" s="12"/>
      <c r="I76" s="39"/>
      <c r="J76" s="39"/>
      <c r="K76" s="39"/>
      <c r="M76" s="19"/>
    </row>
    <row r="77" spans="2:13" s="11" customFormat="1" x14ac:dyDescent="0.2">
      <c r="B77" s="24">
        <v>1876.04</v>
      </c>
      <c r="C77" s="25">
        <v>4.34</v>
      </c>
      <c r="D77" s="40"/>
      <c r="E77" s="40"/>
      <c r="F77" s="12"/>
      <c r="G77" s="18"/>
      <c r="H77" s="12"/>
      <c r="I77" s="39"/>
      <c r="J77" s="39"/>
      <c r="K77" s="39"/>
      <c r="M77" s="19"/>
    </row>
    <row r="78" spans="2:13" s="11" customFormat="1" x14ac:dyDescent="0.2">
      <c r="B78" s="24">
        <v>1876.05</v>
      </c>
      <c r="C78" s="25">
        <v>4.18</v>
      </c>
      <c r="D78" s="40"/>
      <c r="E78" s="40"/>
      <c r="F78" s="12"/>
      <c r="G78" s="18"/>
      <c r="H78" s="12"/>
      <c r="I78" s="39"/>
      <c r="J78" s="39"/>
      <c r="K78" s="39"/>
      <c r="M78" s="19"/>
    </row>
    <row r="79" spans="2:13" s="11" customFormat="1" x14ac:dyDescent="0.2">
      <c r="B79" s="24">
        <v>1876.06</v>
      </c>
      <c r="C79" s="25">
        <v>4.1500000000000004</v>
      </c>
      <c r="D79" s="40"/>
      <c r="E79" s="40"/>
      <c r="F79" s="12"/>
      <c r="G79" s="18"/>
      <c r="H79" s="12"/>
      <c r="I79" s="39"/>
      <c r="J79" s="39"/>
      <c r="K79" s="39"/>
      <c r="M79" s="19"/>
    </row>
    <row r="80" spans="2:13" s="11" customFormat="1" x14ac:dyDescent="0.2">
      <c r="B80" s="24">
        <v>1876.07</v>
      </c>
      <c r="C80" s="25">
        <v>4.0999999999999996</v>
      </c>
      <c r="D80" s="40"/>
      <c r="E80" s="40"/>
      <c r="F80" s="12"/>
      <c r="G80" s="18"/>
      <c r="H80" s="12"/>
      <c r="I80" s="39"/>
      <c r="J80" s="39"/>
      <c r="K80" s="39"/>
      <c r="M80" s="19"/>
    </row>
    <row r="81" spans="2:13" s="11" customFormat="1" x14ac:dyDescent="0.2">
      <c r="B81" s="24">
        <v>1876.08</v>
      </c>
      <c r="C81" s="25">
        <v>3.93</v>
      </c>
      <c r="D81" s="40"/>
      <c r="E81" s="40"/>
      <c r="F81" s="12"/>
      <c r="G81" s="18"/>
      <c r="H81" s="12"/>
      <c r="I81" s="39"/>
      <c r="J81" s="39"/>
      <c r="K81" s="39"/>
      <c r="M81" s="19"/>
    </row>
    <row r="82" spans="2:13" s="11" customFormat="1" x14ac:dyDescent="0.2">
      <c r="B82" s="24">
        <v>1876.09</v>
      </c>
      <c r="C82" s="25">
        <v>3.69</v>
      </c>
      <c r="D82" s="40"/>
      <c r="E82" s="40"/>
      <c r="F82" s="12"/>
      <c r="G82" s="18"/>
      <c r="H82" s="12"/>
      <c r="I82" s="39"/>
      <c r="J82" s="39"/>
      <c r="K82" s="39"/>
      <c r="M82" s="19"/>
    </row>
    <row r="83" spans="2:13" s="11" customFormat="1" x14ac:dyDescent="0.2">
      <c r="B83" s="24">
        <v>1876.1</v>
      </c>
      <c r="C83" s="25">
        <v>3.67</v>
      </c>
      <c r="D83" s="40"/>
      <c r="E83" s="40"/>
      <c r="F83" s="12"/>
      <c r="G83" s="18"/>
      <c r="H83" s="12"/>
      <c r="I83" s="39"/>
      <c r="J83" s="39"/>
      <c r="K83" s="39"/>
      <c r="M83" s="19"/>
    </row>
    <row r="84" spans="2:13" s="11" customFormat="1" x14ac:dyDescent="0.2">
      <c r="B84" s="24">
        <v>1876.11</v>
      </c>
      <c r="C84" s="25">
        <v>3.6</v>
      </c>
      <c r="D84" s="40"/>
      <c r="E84" s="40"/>
      <c r="F84" s="12"/>
      <c r="G84" s="18"/>
      <c r="H84" s="12"/>
      <c r="I84" s="39"/>
      <c r="J84" s="39"/>
      <c r="K84" s="39"/>
      <c r="M84" s="19"/>
    </row>
    <row r="85" spans="2:13" s="11" customFormat="1" x14ac:dyDescent="0.2">
      <c r="B85" s="24">
        <v>1876.12</v>
      </c>
      <c r="C85" s="25">
        <v>3.58</v>
      </c>
      <c r="D85" s="40"/>
      <c r="E85" s="40"/>
      <c r="F85" s="12"/>
      <c r="G85" s="18"/>
      <c r="H85" s="12"/>
      <c r="I85" s="39"/>
      <c r="J85" s="39"/>
      <c r="K85" s="39"/>
      <c r="M85" s="19"/>
    </row>
    <row r="86" spans="2:13" s="11" customFormat="1" x14ac:dyDescent="0.2">
      <c r="B86" s="24">
        <v>1877.01</v>
      </c>
      <c r="C86" s="25">
        <v>3.55</v>
      </c>
      <c r="D86" s="40"/>
      <c r="E86" s="40"/>
      <c r="F86" s="12"/>
      <c r="G86" s="18"/>
      <c r="H86" s="12"/>
      <c r="I86" s="39"/>
      <c r="J86" s="39"/>
      <c r="K86" s="39"/>
      <c r="M86" s="19"/>
    </row>
    <row r="87" spans="2:13" s="11" customFormat="1" x14ac:dyDescent="0.2">
      <c r="B87" s="24">
        <v>1877.02</v>
      </c>
      <c r="C87" s="25">
        <v>3.34</v>
      </c>
      <c r="D87" s="40"/>
      <c r="E87" s="40"/>
      <c r="F87" s="12"/>
      <c r="G87" s="18"/>
      <c r="H87" s="12"/>
      <c r="I87" s="39"/>
      <c r="J87" s="39"/>
      <c r="K87" s="39"/>
      <c r="M87" s="19"/>
    </row>
    <row r="88" spans="2:13" s="11" customFormat="1" x14ac:dyDescent="0.2">
      <c r="B88" s="24">
        <v>1877.03</v>
      </c>
      <c r="C88" s="25">
        <v>3.17</v>
      </c>
      <c r="D88" s="40"/>
      <c r="E88" s="40"/>
      <c r="F88" s="12"/>
      <c r="G88" s="18"/>
      <c r="H88" s="12"/>
      <c r="I88" s="39"/>
      <c r="J88" s="39"/>
      <c r="K88" s="39"/>
      <c r="M88" s="19"/>
    </row>
    <row r="89" spans="2:13" s="11" customFormat="1" x14ac:dyDescent="0.2">
      <c r="B89" s="24">
        <v>1877.04</v>
      </c>
      <c r="C89" s="25">
        <v>2.94</v>
      </c>
      <c r="D89" s="40"/>
      <c r="E89" s="40"/>
      <c r="F89" s="12"/>
      <c r="G89" s="18"/>
      <c r="H89" s="12"/>
      <c r="I89" s="39"/>
      <c r="J89" s="39"/>
      <c r="K89" s="39"/>
      <c r="M89" s="19"/>
    </row>
    <row r="90" spans="2:13" s="11" customFormat="1" x14ac:dyDescent="0.2">
      <c r="B90" s="24">
        <v>1877.05</v>
      </c>
      <c r="C90" s="25">
        <v>2.94</v>
      </c>
      <c r="D90" s="40"/>
      <c r="E90" s="40"/>
      <c r="F90" s="12"/>
      <c r="G90" s="18"/>
      <c r="H90" s="12"/>
      <c r="I90" s="39"/>
      <c r="J90" s="39"/>
      <c r="K90" s="39"/>
      <c r="M90" s="19"/>
    </row>
    <row r="91" spans="2:13" s="11" customFormat="1" x14ac:dyDescent="0.2">
      <c r="B91" s="24">
        <v>1877.06</v>
      </c>
      <c r="C91" s="25">
        <v>2.73</v>
      </c>
      <c r="D91" s="40"/>
      <c r="E91" s="40"/>
      <c r="F91" s="12"/>
      <c r="G91" s="18"/>
      <c r="H91" s="12"/>
      <c r="I91" s="39"/>
      <c r="J91" s="39"/>
      <c r="K91" s="39"/>
      <c r="M91" s="19"/>
    </row>
    <row r="92" spans="2:13" s="11" customFormat="1" x14ac:dyDescent="0.2">
      <c r="B92" s="24">
        <v>1877.07</v>
      </c>
      <c r="C92" s="25">
        <v>2.85</v>
      </c>
      <c r="D92" s="40"/>
      <c r="E92" s="40"/>
      <c r="F92" s="12"/>
      <c r="G92" s="18"/>
      <c r="H92" s="12"/>
      <c r="I92" s="39"/>
      <c r="J92" s="39"/>
      <c r="K92" s="39"/>
      <c r="M92" s="19"/>
    </row>
    <row r="93" spans="2:13" s="11" customFormat="1" x14ac:dyDescent="0.2">
      <c r="B93" s="24">
        <v>1877.08</v>
      </c>
      <c r="C93" s="25">
        <v>3.05</v>
      </c>
      <c r="D93" s="40"/>
      <c r="E93" s="40"/>
      <c r="F93" s="12"/>
      <c r="G93" s="18"/>
      <c r="H93" s="12"/>
      <c r="I93" s="39"/>
      <c r="J93" s="39"/>
      <c r="K93" s="39"/>
      <c r="M93" s="19"/>
    </row>
    <row r="94" spans="2:13" s="11" customFormat="1" x14ac:dyDescent="0.2">
      <c r="B94" s="24">
        <v>1877.09</v>
      </c>
      <c r="C94" s="25">
        <v>3.24</v>
      </c>
      <c r="D94" s="40"/>
      <c r="E94" s="40"/>
      <c r="F94" s="12"/>
      <c r="G94" s="18"/>
      <c r="H94" s="12"/>
      <c r="I94" s="39"/>
      <c r="J94" s="39"/>
      <c r="K94" s="39"/>
      <c r="M94" s="19"/>
    </row>
    <row r="95" spans="2:13" s="11" customFormat="1" x14ac:dyDescent="0.2">
      <c r="B95" s="24">
        <v>1877.1</v>
      </c>
      <c r="C95" s="25">
        <v>3.31</v>
      </c>
      <c r="D95" s="40"/>
      <c r="E95" s="40"/>
      <c r="F95" s="12"/>
      <c r="G95" s="18"/>
      <c r="H95" s="12"/>
      <c r="I95" s="39"/>
      <c r="J95" s="39"/>
      <c r="K95" s="39"/>
      <c r="M95" s="19"/>
    </row>
    <row r="96" spans="2:13" s="11" customFormat="1" x14ac:dyDescent="0.2">
      <c r="B96" s="24">
        <v>1877.11</v>
      </c>
      <c r="C96" s="25">
        <v>3.26</v>
      </c>
      <c r="D96" s="40"/>
      <c r="E96" s="40"/>
      <c r="F96" s="12"/>
      <c r="G96" s="18"/>
      <c r="H96" s="12"/>
      <c r="I96" s="39"/>
      <c r="J96" s="39"/>
      <c r="K96" s="39"/>
      <c r="M96" s="19"/>
    </row>
    <row r="97" spans="2:13" s="11" customFormat="1" x14ac:dyDescent="0.2">
      <c r="B97" s="24">
        <v>1877.12</v>
      </c>
      <c r="C97" s="25">
        <v>3.25</v>
      </c>
      <c r="D97" s="40"/>
      <c r="E97" s="40"/>
      <c r="F97" s="12"/>
      <c r="G97" s="18"/>
      <c r="H97" s="12"/>
      <c r="I97" s="39"/>
      <c r="J97" s="39"/>
      <c r="K97" s="39"/>
      <c r="M97" s="19"/>
    </row>
    <row r="98" spans="2:13" s="11" customFormat="1" x14ac:dyDescent="0.2">
      <c r="B98" s="24">
        <v>1878.01</v>
      </c>
      <c r="C98" s="25">
        <v>3.25</v>
      </c>
      <c r="D98" s="40"/>
      <c r="E98" s="40"/>
      <c r="F98" s="12"/>
      <c r="G98" s="18"/>
      <c r="H98" s="12"/>
      <c r="I98" s="39"/>
      <c r="J98" s="39"/>
      <c r="K98" s="39"/>
      <c r="M98" s="19"/>
    </row>
    <row r="99" spans="2:13" s="11" customFormat="1" x14ac:dyDescent="0.2">
      <c r="B99" s="24">
        <v>1878.02</v>
      </c>
      <c r="C99" s="25">
        <v>3.18</v>
      </c>
      <c r="D99" s="40"/>
      <c r="E99" s="40"/>
      <c r="F99" s="12"/>
      <c r="G99" s="18"/>
      <c r="H99" s="12"/>
      <c r="I99" s="39"/>
      <c r="J99" s="39"/>
      <c r="K99" s="39"/>
      <c r="M99" s="19"/>
    </row>
    <row r="100" spans="2:13" s="11" customFormat="1" x14ac:dyDescent="0.2">
      <c r="B100" s="24">
        <v>1878.03</v>
      </c>
      <c r="C100" s="25">
        <v>3.24</v>
      </c>
      <c r="D100" s="40"/>
      <c r="E100" s="40"/>
      <c r="F100" s="12"/>
      <c r="G100" s="18"/>
      <c r="H100" s="12"/>
      <c r="I100" s="39"/>
      <c r="J100" s="39"/>
      <c r="K100" s="39"/>
      <c r="M100" s="19"/>
    </row>
    <row r="101" spans="2:13" s="11" customFormat="1" x14ac:dyDescent="0.2">
      <c r="B101" s="24">
        <v>1878.04</v>
      </c>
      <c r="C101" s="25">
        <v>3.33</v>
      </c>
      <c r="D101" s="40"/>
      <c r="E101" s="40"/>
      <c r="F101" s="12"/>
      <c r="G101" s="18"/>
      <c r="H101" s="12"/>
      <c r="I101" s="39"/>
      <c r="J101" s="39"/>
      <c r="K101" s="39"/>
      <c r="M101" s="19"/>
    </row>
    <row r="102" spans="2:13" s="11" customFormat="1" x14ac:dyDescent="0.2">
      <c r="B102" s="24">
        <v>1878.05</v>
      </c>
      <c r="C102" s="25">
        <v>3.34</v>
      </c>
      <c r="D102" s="40"/>
      <c r="E102" s="40"/>
      <c r="F102" s="12"/>
      <c r="G102" s="18"/>
      <c r="H102" s="12"/>
      <c r="I102" s="39"/>
      <c r="J102" s="39"/>
      <c r="K102" s="39"/>
      <c r="M102" s="19"/>
    </row>
    <row r="103" spans="2:13" s="11" customFormat="1" x14ac:dyDescent="0.2">
      <c r="B103" s="24">
        <v>1878.06</v>
      </c>
      <c r="C103" s="25">
        <v>3.41</v>
      </c>
      <c r="D103" s="40"/>
      <c r="E103" s="40"/>
      <c r="F103" s="12"/>
      <c r="G103" s="18"/>
      <c r="H103" s="12"/>
      <c r="I103" s="39"/>
      <c r="J103" s="39"/>
      <c r="K103" s="39"/>
      <c r="M103" s="19"/>
    </row>
    <row r="104" spans="2:13" s="11" customFormat="1" x14ac:dyDescent="0.2">
      <c r="B104" s="24">
        <v>1878.07</v>
      </c>
      <c r="C104" s="25">
        <v>3.48</v>
      </c>
      <c r="D104" s="40"/>
      <c r="E104" s="40"/>
      <c r="F104" s="12"/>
      <c r="G104" s="18"/>
      <c r="H104" s="12"/>
      <c r="I104" s="39"/>
      <c r="J104" s="39"/>
      <c r="K104" s="39"/>
      <c r="M104" s="19"/>
    </row>
    <row r="105" spans="2:13" s="11" customFormat="1" x14ac:dyDescent="0.2">
      <c r="B105" s="24">
        <v>1878.08</v>
      </c>
      <c r="C105" s="25">
        <v>3.45</v>
      </c>
      <c r="D105" s="40"/>
      <c r="E105" s="40"/>
      <c r="F105" s="12"/>
      <c r="G105" s="18"/>
      <c r="H105" s="12"/>
      <c r="I105" s="39"/>
      <c r="J105" s="39"/>
      <c r="K105" s="39"/>
      <c r="M105" s="19"/>
    </row>
    <row r="106" spans="2:13" s="11" customFormat="1" x14ac:dyDescent="0.2">
      <c r="B106" s="24">
        <v>1878.09</v>
      </c>
      <c r="C106" s="25">
        <v>3.52</v>
      </c>
      <c r="D106" s="40"/>
      <c r="E106" s="40"/>
      <c r="F106" s="12"/>
      <c r="G106" s="18"/>
      <c r="H106" s="12"/>
      <c r="I106" s="39"/>
      <c r="J106" s="39"/>
      <c r="K106" s="39"/>
      <c r="M106" s="19"/>
    </row>
    <row r="107" spans="2:13" s="11" customFormat="1" x14ac:dyDescent="0.2">
      <c r="B107" s="24">
        <v>1878.1</v>
      </c>
      <c r="C107" s="25">
        <v>3.48</v>
      </c>
      <c r="D107" s="40"/>
      <c r="E107" s="40"/>
      <c r="F107" s="12"/>
      <c r="G107" s="18"/>
      <c r="H107" s="12"/>
      <c r="I107" s="39"/>
      <c r="J107" s="39"/>
      <c r="K107" s="39"/>
      <c r="M107" s="19"/>
    </row>
    <row r="108" spans="2:13" s="11" customFormat="1" x14ac:dyDescent="0.2">
      <c r="B108" s="24">
        <v>1878.11</v>
      </c>
      <c r="C108" s="25">
        <v>3.47</v>
      </c>
      <c r="D108" s="40"/>
      <c r="E108" s="40"/>
      <c r="F108" s="12"/>
      <c r="G108" s="18"/>
      <c r="H108" s="12"/>
      <c r="I108" s="39"/>
      <c r="J108" s="39"/>
      <c r="K108" s="39"/>
      <c r="M108" s="19"/>
    </row>
    <row r="109" spans="2:13" s="11" customFormat="1" x14ac:dyDescent="0.2">
      <c r="B109" s="24">
        <v>1878.12</v>
      </c>
      <c r="C109" s="25">
        <v>3.45</v>
      </c>
      <c r="D109" s="40"/>
      <c r="E109" s="40"/>
      <c r="F109" s="12"/>
      <c r="G109" s="18"/>
      <c r="H109" s="12"/>
      <c r="I109" s="39"/>
      <c r="J109" s="39"/>
      <c r="K109" s="39"/>
      <c r="M109" s="19"/>
    </row>
    <row r="110" spans="2:13" s="11" customFormat="1" x14ac:dyDescent="0.2">
      <c r="B110" s="24">
        <v>1879.01</v>
      </c>
      <c r="C110" s="25">
        <v>3.58</v>
      </c>
      <c r="D110" s="40"/>
      <c r="E110" s="40"/>
      <c r="F110" s="12"/>
      <c r="G110" s="18"/>
      <c r="H110" s="12"/>
      <c r="I110" s="39"/>
      <c r="J110" s="39"/>
      <c r="K110" s="39"/>
      <c r="M110" s="19"/>
    </row>
    <row r="111" spans="2:13" s="11" customFormat="1" x14ac:dyDescent="0.2">
      <c r="B111" s="24">
        <v>1879.02</v>
      </c>
      <c r="C111" s="25">
        <v>3.71</v>
      </c>
      <c r="D111" s="40"/>
      <c r="E111" s="40"/>
      <c r="F111" s="12"/>
      <c r="G111" s="18"/>
      <c r="H111" s="12"/>
      <c r="I111" s="39"/>
      <c r="J111" s="39"/>
      <c r="K111" s="39"/>
      <c r="M111" s="19"/>
    </row>
    <row r="112" spans="2:13" s="11" customFormat="1" x14ac:dyDescent="0.2">
      <c r="B112" s="24">
        <v>1879.03</v>
      </c>
      <c r="C112" s="25">
        <v>3.65</v>
      </c>
      <c r="D112" s="40"/>
      <c r="E112" s="40"/>
      <c r="F112" s="12"/>
      <c r="G112" s="18"/>
      <c r="H112" s="12"/>
      <c r="I112" s="39"/>
      <c r="J112" s="39"/>
      <c r="K112" s="39"/>
      <c r="M112" s="19"/>
    </row>
    <row r="113" spans="2:13" s="11" customFormat="1" x14ac:dyDescent="0.2">
      <c r="B113" s="24">
        <v>1879.04</v>
      </c>
      <c r="C113" s="25">
        <v>3.77</v>
      </c>
      <c r="D113" s="40"/>
      <c r="E113" s="40"/>
      <c r="F113" s="12"/>
      <c r="G113" s="18"/>
      <c r="H113" s="12"/>
      <c r="I113" s="39"/>
      <c r="J113" s="39"/>
      <c r="K113" s="39"/>
      <c r="M113" s="19"/>
    </row>
    <row r="114" spans="2:13" s="11" customFormat="1" x14ac:dyDescent="0.2">
      <c r="B114" s="24">
        <v>1879.05</v>
      </c>
      <c r="C114" s="25">
        <v>3.94</v>
      </c>
      <c r="D114" s="40"/>
      <c r="E114" s="40"/>
      <c r="F114" s="12"/>
      <c r="G114" s="18"/>
      <c r="H114" s="12"/>
      <c r="I114" s="39"/>
      <c r="J114" s="39"/>
      <c r="K114" s="39"/>
      <c r="M114" s="19"/>
    </row>
    <row r="115" spans="2:13" s="11" customFormat="1" x14ac:dyDescent="0.2">
      <c r="B115" s="24">
        <v>1879.06</v>
      </c>
      <c r="C115" s="25">
        <v>3.96</v>
      </c>
      <c r="D115" s="40"/>
      <c r="E115" s="40"/>
      <c r="F115" s="12"/>
      <c r="G115" s="18"/>
      <c r="H115" s="12"/>
      <c r="I115" s="39"/>
      <c r="J115" s="39"/>
      <c r="K115" s="39"/>
      <c r="M115" s="19"/>
    </row>
    <row r="116" spans="2:13" s="11" customFormat="1" x14ac:dyDescent="0.2">
      <c r="B116" s="24">
        <v>1879.07</v>
      </c>
      <c r="C116" s="25">
        <v>4.04</v>
      </c>
      <c r="D116" s="40"/>
      <c r="E116" s="40"/>
      <c r="F116" s="12"/>
      <c r="G116" s="18"/>
      <c r="H116" s="12"/>
      <c r="I116" s="39"/>
      <c r="J116" s="39"/>
      <c r="K116" s="39"/>
      <c r="M116" s="19"/>
    </row>
    <row r="117" spans="2:13" s="11" customFormat="1" x14ac:dyDescent="0.2">
      <c r="B117" s="24">
        <v>1879.08</v>
      </c>
      <c r="C117" s="25">
        <v>4.07</v>
      </c>
      <c r="D117" s="40"/>
      <c r="E117" s="40"/>
      <c r="F117" s="12"/>
      <c r="G117" s="18"/>
      <c r="H117" s="12"/>
      <c r="I117" s="39"/>
      <c r="J117" s="39"/>
      <c r="K117" s="39"/>
      <c r="M117" s="19"/>
    </row>
    <row r="118" spans="2:13" s="11" customFormat="1" x14ac:dyDescent="0.2">
      <c r="B118" s="24">
        <v>1879.09</v>
      </c>
      <c r="C118" s="25">
        <v>4.22</v>
      </c>
      <c r="D118" s="40"/>
      <c r="E118" s="40"/>
      <c r="F118" s="12"/>
      <c r="G118" s="18"/>
      <c r="H118" s="12"/>
      <c r="I118" s="39"/>
      <c r="J118" s="39"/>
      <c r="K118" s="39"/>
      <c r="M118" s="19"/>
    </row>
    <row r="119" spans="2:13" s="11" customFormat="1" x14ac:dyDescent="0.2">
      <c r="B119" s="24">
        <v>1879.1</v>
      </c>
      <c r="C119" s="25">
        <v>4.68</v>
      </c>
      <c r="D119" s="40"/>
      <c r="E119" s="40"/>
      <c r="F119" s="12"/>
      <c r="G119" s="18"/>
      <c r="H119" s="12"/>
      <c r="I119" s="39"/>
      <c r="J119" s="39"/>
      <c r="K119" s="39"/>
      <c r="M119" s="19"/>
    </row>
    <row r="120" spans="2:13" s="11" customFormat="1" x14ac:dyDescent="0.2">
      <c r="B120" s="24">
        <v>1879.11</v>
      </c>
      <c r="C120" s="25">
        <v>4.93</v>
      </c>
      <c r="D120" s="40"/>
      <c r="E120" s="40"/>
      <c r="F120" s="12"/>
      <c r="G120" s="18"/>
      <c r="H120" s="12"/>
      <c r="I120" s="39"/>
      <c r="J120" s="39"/>
      <c r="K120" s="39"/>
      <c r="M120" s="19"/>
    </row>
    <row r="121" spans="2:13" s="11" customFormat="1" x14ac:dyDescent="0.2">
      <c r="B121" s="24">
        <v>1879.12</v>
      </c>
      <c r="C121" s="25">
        <v>4.92</v>
      </c>
      <c r="D121" s="40"/>
      <c r="E121" s="40"/>
      <c r="F121" s="12"/>
      <c r="G121" s="18"/>
      <c r="H121" s="12"/>
      <c r="I121" s="39"/>
      <c r="J121" s="39"/>
      <c r="K121" s="39"/>
      <c r="M121" s="19"/>
    </row>
    <row r="122" spans="2:13" s="11" customFormat="1" x14ac:dyDescent="0.2">
      <c r="B122" s="24">
        <v>1880.01</v>
      </c>
      <c r="C122" s="25">
        <v>5.1100000000000003</v>
      </c>
      <c r="D122" s="40"/>
      <c r="E122" s="40"/>
      <c r="F122" s="12"/>
      <c r="G122" s="18"/>
      <c r="H122" s="12"/>
      <c r="I122" s="39"/>
      <c r="J122" s="39"/>
      <c r="K122" s="39"/>
      <c r="M122" s="19"/>
    </row>
    <row r="123" spans="2:13" s="11" customFormat="1" x14ac:dyDescent="0.2">
      <c r="B123" s="24">
        <v>1880.02</v>
      </c>
      <c r="C123" s="25">
        <v>5.2</v>
      </c>
      <c r="D123" s="40"/>
      <c r="E123" s="40"/>
      <c r="F123" s="12"/>
      <c r="G123" s="18"/>
      <c r="H123" s="12"/>
      <c r="I123" s="39"/>
      <c r="J123" s="39"/>
      <c r="K123" s="39"/>
      <c r="M123" s="19"/>
    </row>
    <row r="124" spans="2:13" s="11" customFormat="1" x14ac:dyDescent="0.2">
      <c r="B124" s="24">
        <v>1880.03</v>
      </c>
      <c r="C124" s="25">
        <v>5.3</v>
      </c>
      <c r="D124" s="40"/>
      <c r="E124" s="40"/>
      <c r="F124" s="12"/>
      <c r="G124" s="18"/>
      <c r="H124" s="12"/>
      <c r="I124" s="39"/>
      <c r="J124" s="39"/>
      <c r="K124" s="39"/>
      <c r="M124" s="19"/>
    </row>
    <row r="125" spans="2:13" s="11" customFormat="1" x14ac:dyDescent="0.2">
      <c r="B125" s="24">
        <v>1880.04</v>
      </c>
      <c r="C125" s="25">
        <v>5.18</v>
      </c>
      <c r="D125" s="40"/>
      <c r="E125" s="40"/>
      <c r="F125" s="12"/>
      <c r="G125" s="18"/>
      <c r="H125" s="12"/>
      <c r="I125" s="39"/>
      <c r="J125" s="39"/>
      <c r="K125" s="39"/>
      <c r="M125" s="19"/>
    </row>
    <row r="126" spans="2:13" s="11" customFormat="1" x14ac:dyDescent="0.2">
      <c r="B126" s="24">
        <v>1880.05</v>
      </c>
      <c r="C126" s="25">
        <v>4.7699999999999996</v>
      </c>
      <c r="D126" s="40"/>
      <c r="E126" s="40"/>
      <c r="F126" s="12"/>
      <c r="G126" s="18"/>
      <c r="H126" s="12"/>
      <c r="I126" s="39"/>
      <c r="J126" s="39"/>
      <c r="K126" s="39"/>
      <c r="M126" s="19"/>
    </row>
    <row r="127" spans="2:13" s="11" customFormat="1" x14ac:dyDescent="0.2">
      <c r="B127" s="24">
        <v>1880.06</v>
      </c>
      <c r="C127" s="25">
        <v>4.79</v>
      </c>
      <c r="D127" s="40"/>
      <c r="E127" s="40"/>
      <c r="F127" s="12"/>
      <c r="G127" s="18"/>
      <c r="H127" s="12"/>
      <c r="I127" s="39"/>
      <c r="J127" s="39"/>
      <c r="K127" s="39"/>
      <c r="M127" s="19"/>
    </row>
    <row r="128" spans="2:13" s="11" customFormat="1" x14ac:dyDescent="0.2">
      <c r="B128" s="24">
        <v>1880.07</v>
      </c>
      <c r="C128" s="25">
        <v>5.01</v>
      </c>
      <c r="D128" s="40"/>
      <c r="E128" s="40"/>
      <c r="F128" s="12"/>
      <c r="G128" s="18"/>
      <c r="H128" s="12"/>
      <c r="I128" s="39"/>
      <c r="J128" s="39"/>
      <c r="K128" s="39"/>
      <c r="M128" s="19"/>
    </row>
    <row r="129" spans="2:13" s="11" customFormat="1" x14ac:dyDescent="0.2">
      <c r="B129" s="24">
        <v>1880.08</v>
      </c>
      <c r="C129" s="25">
        <v>5.19</v>
      </c>
      <c r="D129" s="40"/>
      <c r="E129" s="40"/>
      <c r="F129" s="12"/>
      <c r="G129" s="18"/>
      <c r="H129" s="12"/>
      <c r="I129" s="39"/>
      <c r="J129" s="39"/>
      <c r="K129" s="39"/>
      <c r="M129" s="19"/>
    </row>
    <row r="130" spans="2:13" s="11" customFormat="1" x14ac:dyDescent="0.2">
      <c r="B130" s="24">
        <v>1880.09</v>
      </c>
      <c r="C130" s="25">
        <v>5.18</v>
      </c>
      <c r="D130" s="40"/>
      <c r="E130" s="40"/>
      <c r="F130" s="12"/>
      <c r="G130" s="18"/>
      <c r="H130" s="12"/>
      <c r="I130" s="39"/>
      <c r="J130" s="39"/>
      <c r="K130" s="39"/>
      <c r="M130" s="19"/>
    </row>
    <row r="131" spans="2:13" s="11" customFormat="1" x14ac:dyDescent="0.2">
      <c r="B131" s="24">
        <v>1880.1</v>
      </c>
      <c r="C131" s="25">
        <v>5.33</v>
      </c>
      <c r="D131" s="40"/>
      <c r="E131" s="40"/>
      <c r="F131" s="12"/>
      <c r="G131" s="18"/>
      <c r="H131" s="12"/>
      <c r="I131" s="39"/>
      <c r="J131" s="39"/>
      <c r="K131" s="39"/>
      <c r="M131" s="19"/>
    </row>
    <row r="132" spans="2:13" s="11" customFormat="1" x14ac:dyDescent="0.2">
      <c r="B132" s="24">
        <v>1880.11</v>
      </c>
      <c r="C132" s="25">
        <v>5.61</v>
      </c>
      <c r="D132" s="40"/>
      <c r="E132" s="40"/>
      <c r="F132" s="12"/>
      <c r="G132" s="18"/>
      <c r="H132" s="12"/>
      <c r="I132" s="39"/>
      <c r="J132" s="39"/>
      <c r="K132" s="39"/>
      <c r="M132" s="19"/>
    </row>
    <row r="133" spans="2:13" s="11" customFormat="1" x14ac:dyDescent="0.2">
      <c r="B133" s="24">
        <v>1880.12</v>
      </c>
      <c r="C133" s="25">
        <v>5.84</v>
      </c>
      <c r="D133" s="40"/>
      <c r="E133" s="40"/>
      <c r="F133" s="12"/>
      <c r="G133" s="18"/>
      <c r="H133" s="12"/>
      <c r="I133" s="39"/>
      <c r="J133" s="39"/>
      <c r="K133" s="39"/>
      <c r="M133" s="19"/>
    </row>
    <row r="134" spans="2:13" s="11" customFormat="1" x14ac:dyDescent="0.2">
      <c r="B134" s="24">
        <v>1881.01</v>
      </c>
      <c r="C134" s="25">
        <v>6.19</v>
      </c>
      <c r="D134" s="40"/>
      <c r="E134" s="40"/>
      <c r="F134" s="12"/>
      <c r="G134" s="18"/>
      <c r="H134" s="12"/>
      <c r="I134" s="39"/>
      <c r="J134" s="39"/>
      <c r="K134" s="39"/>
      <c r="M134" s="19"/>
    </row>
    <row r="135" spans="2:13" s="11" customFormat="1" x14ac:dyDescent="0.2">
      <c r="B135" s="24">
        <v>1881.02</v>
      </c>
      <c r="C135" s="25">
        <v>6.17</v>
      </c>
      <c r="D135" s="40"/>
      <c r="E135" s="40"/>
      <c r="F135" s="12"/>
      <c r="G135" s="18"/>
      <c r="H135" s="12"/>
      <c r="I135" s="39"/>
      <c r="J135" s="39"/>
      <c r="K135" s="39"/>
      <c r="M135" s="19"/>
    </row>
    <row r="136" spans="2:13" s="11" customFormat="1" x14ac:dyDescent="0.2">
      <c r="B136" s="24">
        <v>1881.03</v>
      </c>
      <c r="C136" s="25">
        <v>6.24</v>
      </c>
      <c r="D136" s="40"/>
      <c r="E136" s="40"/>
      <c r="F136" s="12"/>
      <c r="G136" s="18"/>
      <c r="H136" s="12"/>
      <c r="I136" s="39"/>
      <c r="J136" s="39"/>
      <c r="K136" s="39"/>
      <c r="M136" s="19"/>
    </row>
    <row r="137" spans="2:13" s="11" customFormat="1" x14ac:dyDescent="0.2">
      <c r="B137" s="24">
        <v>1881.04</v>
      </c>
      <c r="C137" s="25">
        <v>6.22</v>
      </c>
      <c r="D137" s="40"/>
      <c r="E137" s="40"/>
      <c r="F137" s="12"/>
      <c r="G137" s="18"/>
      <c r="H137" s="12"/>
      <c r="I137" s="39"/>
      <c r="J137" s="39"/>
      <c r="K137" s="39"/>
      <c r="M137" s="19"/>
    </row>
    <row r="138" spans="2:13" s="11" customFormat="1" x14ac:dyDescent="0.2">
      <c r="B138" s="24">
        <v>1881.05</v>
      </c>
      <c r="C138" s="25">
        <v>6.5</v>
      </c>
      <c r="D138" s="40"/>
      <c r="E138" s="40"/>
      <c r="F138" s="12"/>
      <c r="G138" s="18"/>
      <c r="H138" s="12"/>
      <c r="I138" s="39"/>
      <c r="J138" s="39"/>
      <c r="K138" s="39"/>
      <c r="M138" s="19"/>
    </row>
    <row r="139" spans="2:13" s="11" customFormat="1" x14ac:dyDescent="0.2">
      <c r="B139" s="24">
        <v>1881.06</v>
      </c>
      <c r="C139" s="25">
        <v>6.58</v>
      </c>
      <c r="D139" s="40"/>
      <c r="E139" s="40"/>
      <c r="F139" s="12"/>
      <c r="G139" s="18"/>
      <c r="H139" s="12"/>
      <c r="I139" s="39"/>
      <c r="J139" s="39"/>
      <c r="K139" s="39"/>
      <c r="M139" s="19"/>
    </row>
    <row r="140" spans="2:13" s="11" customFormat="1" x14ac:dyDescent="0.2">
      <c r="B140" s="24">
        <v>1881.07</v>
      </c>
      <c r="C140" s="25">
        <v>6.35</v>
      </c>
      <c r="D140" s="40"/>
      <c r="E140" s="40"/>
      <c r="F140" s="12"/>
      <c r="G140" s="18"/>
      <c r="H140" s="12"/>
      <c r="I140" s="39"/>
      <c r="J140" s="39"/>
      <c r="K140" s="39"/>
      <c r="M140" s="19"/>
    </row>
    <row r="141" spans="2:13" s="11" customFormat="1" x14ac:dyDescent="0.2">
      <c r="B141" s="24">
        <v>1881.08</v>
      </c>
      <c r="C141" s="25">
        <v>6.2</v>
      </c>
      <c r="D141" s="40"/>
      <c r="E141" s="40"/>
      <c r="F141" s="12"/>
      <c r="G141" s="18"/>
      <c r="H141" s="12"/>
      <c r="I141" s="39"/>
      <c r="J141" s="39"/>
      <c r="K141" s="39"/>
      <c r="M141" s="19"/>
    </row>
    <row r="142" spans="2:13" s="11" customFormat="1" x14ac:dyDescent="0.2">
      <c r="B142" s="24">
        <v>1881.09</v>
      </c>
      <c r="C142" s="25">
        <v>6.25</v>
      </c>
      <c r="D142" s="40"/>
      <c r="E142" s="40"/>
      <c r="F142" s="12"/>
      <c r="G142" s="18"/>
      <c r="H142" s="12"/>
      <c r="I142" s="39"/>
      <c r="J142" s="39"/>
      <c r="K142" s="39"/>
      <c r="M142" s="19"/>
    </row>
    <row r="143" spans="2:13" s="11" customFormat="1" x14ac:dyDescent="0.2">
      <c r="B143" s="24">
        <v>1881.1</v>
      </c>
      <c r="C143" s="25">
        <v>6.15</v>
      </c>
      <c r="D143" s="40"/>
      <c r="E143" s="40"/>
      <c r="F143" s="12"/>
      <c r="G143" s="18"/>
      <c r="H143" s="12"/>
      <c r="I143" s="39"/>
      <c r="J143" s="39"/>
      <c r="K143" s="39"/>
      <c r="M143" s="19"/>
    </row>
    <row r="144" spans="2:13" s="11" customFormat="1" x14ac:dyDescent="0.2">
      <c r="B144" s="24">
        <v>1881.11</v>
      </c>
      <c r="C144" s="25">
        <v>6.19</v>
      </c>
      <c r="D144" s="40"/>
      <c r="E144" s="40"/>
      <c r="F144" s="12"/>
      <c r="G144" s="18"/>
      <c r="H144" s="12"/>
      <c r="I144" s="39"/>
      <c r="J144" s="39"/>
      <c r="K144" s="39"/>
      <c r="M144" s="19"/>
    </row>
    <row r="145" spans="2:13" s="11" customFormat="1" x14ac:dyDescent="0.2">
      <c r="B145" s="24">
        <v>1881.12</v>
      </c>
      <c r="C145" s="25">
        <v>6.01</v>
      </c>
      <c r="D145" s="40"/>
      <c r="E145" s="40"/>
      <c r="F145" s="12"/>
      <c r="G145" s="18"/>
      <c r="H145" s="12"/>
      <c r="I145" s="39"/>
      <c r="J145" s="39"/>
      <c r="K145" s="39"/>
      <c r="M145" s="19"/>
    </row>
    <row r="146" spans="2:13" s="11" customFormat="1" x14ac:dyDescent="0.2">
      <c r="B146" s="24">
        <v>1882.01</v>
      </c>
      <c r="C146" s="25">
        <v>5.92</v>
      </c>
      <c r="D146" s="40"/>
      <c r="E146" s="40"/>
      <c r="F146" s="12"/>
      <c r="G146" s="18"/>
      <c r="H146" s="12"/>
      <c r="I146" s="39"/>
      <c r="J146" s="39"/>
      <c r="K146" s="39"/>
      <c r="M146" s="19"/>
    </row>
    <row r="147" spans="2:13" s="11" customFormat="1" x14ac:dyDescent="0.2">
      <c r="B147" s="24">
        <v>1882.02</v>
      </c>
      <c r="C147" s="25">
        <v>5.79</v>
      </c>
      <c r="D147" s="40"/>
      <c r="E147" s="40"/>
      <c r="F147" s="12"/>
      <c r="G147" s="18"/>
      <c r="H147" s="12"/>
      <c r="I147" s="39"/>
      <c r="J147" s="39"/>
      <c r="K147" s="39"/>
      <c r="M147" s="19"/>
    </row>
    <row r="148" spans="2:13" s="11" customFormat="1" x14ac:dyDescent="0.2">
      <c r="B148" s="24">
        <v>1882.03</v>
      </c>
      <c r="C148" s="25">
        <v>5.78</v>
      </c>
      <c r="D148" s="40"/>
      <c r="E148" s="40"/>
      <c r="F148" s="12"/>
      <c r="G148" s="18"/>
      <c r="H148" s="12"/>
      <c r="I148" s="39"/>
      <c r="J148" s="39"/>
      <c r="K148" s="39"/>
      <c r="M148" s="19"/>
    </row>
    <row r="149" spans="2:13" s="11" customFormat="1" x14ac:dyDescent="0.2">
      <c r="B149" s="24">
        <v>1882.04</v>
      </c>
      <c r="C149" s="25">
        <v>5.78</v>
      </c>
      <c r="D149" s="40"/>
      <c r="E149" s="40"/>
      <c r="F149" s="12"/>
      <c r="G149" s="18"/>
      <c r="H149" s="12"/>
      <c r="I149" s="39"/>
      <c r="J149" s="39"/>
      <c r="K149" s="39"/>
      <c r="M149" s="19"/>
    </row>
    <row r="150" spans="2:13" s="11" customFormat="1" x14ac:dyDescent="0.2">
      <c r="B150" s="24">
        <v>1882.05</v>
      </c>
      <c r="C150" s="25">
        <v>5.71</v>
      </c>
      <c r="D150" s="40"/>
      <c r="E150" s="40"/>
      <c r="F150" s="12"/>
      <c r="G150" s="18"/>
      <c r="H150" s="12"/>
      <c r="I150" s="39"/>
      <c r="J150" s="39"/>
      <c r="K150" s="39"/>
      <c r="M150" s="19"/>
    </row>
    <row r="151" spans="2:13" s="11" customFormat="1" x14ac:dyDescent="0.2">
      <c r="B151" s="24">
        <v>1882.06</v>
      </c>
      <c r="C151" s="25">
        <v>5.68</v>
      </c>
      <c r="D151" s="40"/>
      <c r="E151" s="40"/>
      <c r="F151" s="12"/>
      <c r="G151" s="18"/>
      <c r="H151" s="12"/>
      <c r="I151" s="39"/>
      <c r="J151" s="39"/>
      <c r="K151" s="39"/>
      <c r="M151" s="19"/>
    </row>
    <row r="152" spans="2:13" s="11" customFormat="1" x14ac:dyDescent="0.2">
      <c r="B152" s="24">
        <v>1882.07</v>
      </c>
      <c r="C152" s="25">
        <v>6</v>
      </c>
      <c r="D152" s="40"/>
      <c r="E152" s="40"/>
      <c r="F152" s="12"/>
      <c r="G152" s="18"/>
      <c r="H152" s="12"/>
      <c r="I152" s="39"/>
      <c r="J152" s="39"/>
      <c r="K152" s="39"/>
      <c r="M152" s="19"/>
    </row>
    <row r="153" spans="2:13" s="11" customFormat="1" x14ac:dyDescent="0.2">
      <c r="B153" s="24">
        <v>1882.08</v>
      </c>
      <c r="C153" s="25">
        <v>6.18</v>
      </c>
      <c r="D153" s="40"/>
      <c r="E153" s="40"/>
      <c r="F153" s="12"/>
      <c r="G153" s="18"/>
      <c r="H153" s="12"/>
      <c r="I153" s="39"/>
      <c r="J153" s="39"/>
      <c r="K153" s="39"/>
      <c r="M153" s="19"/>
    </row>
    <row r="154" spans="2:13" s="11" customFormat="1" x14ac:dyDescent="0.2">
      <c r="B154" s="24">
        <v>1882.09</v>
      </c>
      <c r="C154" s="25">
        <v>6.24</v>
      </c>
      <c r="D154" s="40"/>
      <c r="E154" s="40"/>
      <c r="F154" s="12"/>
      <c r="G154" s="18"/>
      <c r="H154" s="12"/>
      <c r="I154" s="39"/>
      <c r="J154" s="39"/>
      <c r="K154" s="39"/>
      <c r="M154" s="19"/>
    </row>
    <row r="155" spans="2:13" s="11" customFormat="1" x14ac:dyDescent="0.2">
      <c r="B155" s="24">
        <v>1882.1</v>
      </c>
      <c r="C155" s="25">
        <v>6.07</v>
      </c>
      <c r="D155" s="40"/>
      <c r="E155" s="40"/>
      <c r="F155" s="12"/>
      <c r="G155" s="18"/>
      <c r="H155" s="12"/>
      <c r="I155" s="39"/>
      <c r="J155" s="39"/>
      <c r="K155" s="39"/>
      <c r="M155" s="19"/>
    </row>
    <row r="156" spans="2:13" s="11" customFormat="1" x14ac:dyDescent="0.2">
      <c r="B156" s="24">
        <v>1882.11</v>
      </c>
      <c r="C156" s="25">
        <v>5.81</v>
      </c>
      <c r="D156" s="40"/>
      <c r="E156" s="40"/>
      <c r="F156" s="12"/>
      <c r="G156" s="18"/>
      <c r="H156" s="12"/>
      <c r="I156" s="39"/>
      <c r="J156" s="39"/>
      <c r="K156" s="39"/>
      <c r="M156" s="19"/>
    </row>
    <row r="157" spans="2:13" s="11" customFormat="1" x14ac:dyDescent="0.2">
      <c r="B157" s="24">
        <v>1882.12</v>
      </c>
      <c r="C157" s="25">
        <v>5.84</v>
      </c>
      <c r="D157" s="40"/>
      <c r="E157" s="40"/>
      <c r="F157" s="12"/>
      <c r="G157" s="18"/>
      <c r="H157" s="12"/>
      <c r="I157" s="39"/>
      <c r="J157" s="39"/>
      <c r="K157" s="39"/>
      <c r="M157" s="19"/>
    </row>
    <row r="158" spans="2:13" s="11" customFormat="1" x14ac:dyDescent="0.2">
      <c r="B158" s="24">
        <v>1883.01</v>
      </c>
      <c r="C158" s="25">
        <v>5.81</v>
      </c>
      <c r="D158" s="40"/>
      <c r="E158" s="40"/>
      <c r="F158" s="12"/>
      <c r="G158" s="18"/>
      <c r="H158" s="12"/>
      <c r="I158" s="39"/>
      <c r="J158" s="39"/>
      <c r="K158" s="39"/>
      <c r="M158" s="19"/>
    </row>
    <row r="159" spans="2:13" s="11" customFormat="1" x14ac:dyDescent="0.2">
      <c r="B159" s="24">
        <v>1883.02</v>
      </c>
      <c r="C159" s="25">
        <v>5.68</v>
      </c>
      <c r="D159" s="40"/>
      <c r="E159" s="40"/>
      <c r="F159" s="12"/>
      <c r="G159" s="18"/>
      <c r="H159" s="12"/>
      <c r="I159" s="39"/>
      <c r="J159" s="39"/>
      <c r="K159" s="39"/>
      <c r="M159" s="19"/>
    </row>
    <row r="160" spans="2:13" s="11" customFormat="1" x14ac:dyDescent="0.2">
      <c r="B160" s="24">
        <v>1883.03</v>
      </c>
      <c r="C160" s="25">
        <v>5.75</v>
      </c>
      <c r="D160" s="40"/>
      <c r="E160" s="40"/>
      <c r="F160" s="12"/>
      <c r="G160" s="18"/>
      <c r="H160" s="12"/>
      <c r="I160" s="39"/>
      <c r="J160" s="39"/>
      <c r="K160" s="39"/>
      <c r="M160" s="19"/>
    </row>
    <row r="161" spans="2:13" s="11" customFormat="1" x14ac:dyDescent="0.2">
      <c r="B161" s="24">
        <v>1883.04</v>
      </c>
      <c r="C161" s="25">
        <v>5.87</v>
      </c>
      <c r="D161" s="40"/>
      <c r="E161" s="40"/>
      <c r="F161" s="12"/>
      <c r="G161" s="18"/>
      <c r="H161" s="12"/>
      <c r="I161" s="39"/>
      <c r="J161" s="39"/>
      <c r="K161" s="39"/>
      <c r="M161" s="19"/>
    </row>
    <row r="162" spans="2:13" s="11" customFormat="1" x14ac:dyDescent="0.2">
      <c r="B162" s="24">
        <v>1883.05</v>
      </c>
      <c r="C162" s="25">
        <v>5.77</v>
      </c>
      <c r="D162" s="40"/>
      <c r="E162" s="40"/>
      <c r="F162" s="12"/>
      <c r="G162" s="18"/>
      <c r="H162" s="12"/>
      <c r="I162" s="39"/>
      <c r="J162" s="39"/>
      <c r="K162" s="39"/>
      <c r="M162" s="19"/>
    </row>
    <row r="163" spans="2:13" s="11" customFormat="1" x14ac:dyDescent="0.2">
      <c r="B163" s="24">
        <v>1883.06</v>
      </c>
      <c r="C163" s="25">
        <v>5.82</v>
      </c>
      <c r="D163" s="40"/>
      <c r="E163" s="40"/>
      <c r="F163" s="12"/>
      <c r="G163" s="18"/>
      <c r="H163" s="12"/>
      <c r="I163" s="39"/>
      <c r="J163" s="39"/>
      <c r="K163" s="39"/>
      <c r="M163" s="19"/>
    </row>
    <row r="164" spans="2:13" s="11" customFormat="1" x14ac:dyDescent="0.2">
      <c r="B164" s="24">
        <v>1883.07</v>
      </c>
      <c r="C164" s="25">
        <v>5.73</v>
      </c>
      <c r="D164" s="40"/>
      <c r="E164" s="40"/>
      <c r="F164" s="12"/>
      <c r="G164" s="18"/>
      <c r="H164" s="12"/>
      <c r="I164" s="39"/>
      <c r="J164" s="39"/>
      <c r="K164" s="39"/>
      <c r="M164" s="19"/>
    </row>
    <row r="165" spans="2:13" s="11" customFormat="1" x14ac:dyDescent="0.2">
      <c r="B165" s="24">
        <v>1883.08</v>
      </c>
      <c r="C165" s="25">
        <v>5.47</v>
      </c>
      <c r="D165" s="40"/>
      <c r="E165" s="40"/>
      <c r="F165" s="12"/>
      <c r="G165" s="18"/>
      <c r="H165" s="12"/>
      <c r="I165" s="39"/>
      <c r="J165" s="39"/>
      <c r="K165" s="39"/>
      <c r="M165" s="19"/>
    </row>
    <row r="166" spans="2:13" s="11" customFormat="1" x14ac:dyDescent="0.2">
      <c r="B166" s="24">
        <v>1883.09</v>
      </c>
      <c r="C166" s="25">
        <v>5.53</v>
      </c>
      <c r="D166" s="40"/>
      <c r="E166" s="40"/>
      <c r="F166" s="12"/>
      <c r="G166" s="18"/>
      <c r="H166" s="12"/>
      <c r="I166" s="39"/>
      <c r="J166" s="39"/>
      <c r="K166" s="39"/>
      <c r="M166" s="19"/>
    </row>
    <row r="167" spans="2:13" s="11" customFormat="1" x14ac:dyDescent="0.2">
      <c r="B167" s="24">
        <v>1883.1</v>
      </c>
      <c r="C167" s="25">
        <v>5.38</v>
      </c>
      <c r="D167" s="40"/>
      <c r="E167" s="40"/>
      <c r="F167" s="12"/>
      <c r="G167" s="18"/>
      <c r="H167" s="12"/>
      <c r="I167" s="39"/>
      <c r="J167" s="39"/>
      <c r="K167" s="39"/>
      <c r="M167" s="19"/>
    </row>
    <row r="168" spans="2:13" s="11" customFormat="1" x14ac:dyDescent="0.2">
      <c r="B168" s="24">
        <v>1883.11</v>
      </c>
      <c r="C168" s="25">
        <v>5.46</v>
      </c>
      <c r="D168" s="40"/>
      <c r="E168" s="40"/>
      <c r="F168" s="12"/>
      <c r="G168" s="18"/>
      <c r="H168" s="12"/>
      <c r="I168" s="39"/>
      <c r="J168" s="39"/>
      <c r="K168" s="39"/>
      <c r="M168" s="19"/>
    </row>
    <row r="169" spans="2:13" s="11" customFormat="1" x14ac:dyDescent="0.2">
      <c r="B169" s="24">
        <v>1883.12</v>
      </c>
      <c r="C169" s="25">
        <v>5.34</v>
      </c>
      <c r="D169" s="40"/>
      <c r="E169" s="40"/>
      <c r="F169" s="12"/>
      <c r="G169" s="18"/>
      <c r="H169" s="12"/>
      <c r="I169" s="39"/>
      <c r="J169" s="39"/>
      <c r="K169" s="39"/>
      <c r="M169" s="19"/>
    </row>
    <row r="170" spans="2:13" s="11" customFormat="1" x14ac:dyDescent="0.2">
      <c r="B170" s="24">
        <v>1884.01</v>
      </c>
      <c r="C170" s="25">
        <v>5.18</v>
      </c>
      <c r="D170" s="40"/>
      <c r="E170" s="40"/>
      <c r="F170" s="12"/>
      <c r="G170" s="18"/>
      <c r="H170" s="12"/>
      <c r="I170" s="39"/>
      <c r="J170" s="39"/>
      <c r="K170" s="39"/>
      <c r="M170" s="19"/>
    </row>
    <row r="171" spans="2:13" s="11" customFormat="1" x14ac:dyDescent="0.2">
      <c r="B171" s="24">
        <v>1884.02</v>
      </c>
      <c r="C171" s="25">
        <v>5.32</v>
      </c>
      <c r="D171" s="40"/>
      <c r="E171" s="40"/>
      <c r="F171" s="12"/>
      <c r="G171" s="18"/>
      <c r="H171" s="12"/>
      <c r="I171" s="39"/>
      <c r="J171" s="39"/>
      <c r="K171" s="39"/>
      <c r="M171" s="19"/>
    </row>
    <row r="172" spans="2:13" s="11" customFormat="1" x14ac:dyDescent="0.2">
      <c r="B172" s="24">
        <v>1884.03</v>
      </c>
      <c r="C172" s="25">
        <v>5.3</v>
      </c>
      <c r="D172" s="40"/>
      <c r="E172" s="40"/>
      <c r="F172" s="12"/>
      <c r="G172" s="18"/>
      <c r="H172" s="12"/>
      <c r="I172" s="39"/>
      <c r="J172" s="39"/>
      <c r="K172" s="39"/>
      <c r="M172" s="19"/>
    </row>
    <row r="173" spans="2:13" s="11" customFormat="1" x14ac:dyDescent="0.2">
      <c r="B173" s="24">
        <v>1884.04</v>
      </c>
      <c r="C173" s="25">
        <v>5.0599999999999996</v>
      </c>
      <c r="D173" s="40"/>
      <c r="E173" s="40"/>
      <c r="F173" s="12"/>
      <c r="G173" s="18"/>
      <c r="H173" s="12"/>
      <c r="I173" s="39"/>
      <c r="J173" s="39"/>
      <c r="K173" s="39"/>
      <c r="M173" s="19"/>
    </row>
    <row r="174" spans="2:13" s="11" customFormat="1" x14ac:dyDescent="0.2">
      <c r="B174" s="24">
        <v>1884.05</v>
      </c>
      <c r="C174" s="25">
        <v>4.6500000000000004</v>
      </c>
      <c r="D174" s="40"/>
      <c r="E174" s="40"/>
      <c r="F174" s="12"/>
      <c r="G174" s="18"/>
      <c r="H174" s="12"/>
      <c r="I174" s="39"/>
      <c r="J174" s="39"/>
      <c r="K174" s="39"/>
      <c r="M174" s="19"/>
    </row>
    <row r="175" spans="2:13" s="11" customFormat="1" x14ac:dyDescent="0.2">
      <c r="B175" s="24">
        <v>1884.06</v>
      </c>
      <c r="C175" s="25">
        <v>4.46</v>
      </c>
      <c r="D175" s="40"/>
      <c r="E175" s="40"/>
      <c r="F175" s="12"/>
      <c r="G175" s="18"/>
      <c r="H175" s="12"/>
      <c r="I175" s="39"/>
      <c r="J175" s="39"/>
      <c r="K175" s="39"/>
      <c r="M175" s="19"/>
    </row>
    <row r="176" spans="2:13" s="11" customFormat="1" x14ac:dyDescent="0.2">
      <c r="B176" s="24">
        <v>1884.07</v>
      </c>
      <c r="C176" s="25">
        <v>4.46</v>
      </c>
      <c r="D176" s="40"/>
      <c r="E176" s="40"/>
      <c r="F176" s="12"/>
      <c r="G176" s="18"/>
      <c r="H176" s="12"/>
      <c r="I176" s="39"/>
      <c r="J176" s="39"/>
      <c r="K176" s="39"/>
      <c r="M176" s="19"/>
    </row>
    <row r="177" spans="2:13" s="11" customFormat="1" x14ac:dyDescent="0.2">
      <c r="B177" s="24">
        <v>1884.08</v>
      </c>
      <c r="C177" s="25">
        <v>4.74</v>
      </c>
      <c r="D177" s="40"/>
      <c r="E177" s="40"/>
      <c r="F177" s="12"/>
      <c r="G177" s="18"/>
      <c r="H177" s="12"/>
      <c r="I177" s="39"/>
      <c r="J177" s="39"/>
      <c r="K177" s="39"/>
      <c r="M177" s="19"/>
    </row>
    <row r="178" spans="2:13" s="11" customFormat="1" x14ac:dyDescent="0.2">
      <c r="B178" s="24">
        <v>1884.09</v>
      </c>
      <c r="C178" s="25">
        <v>4.59</v>
      </c>
      <c r="D178" s="40"/>
      <c r="E178" s="40"/>
      <c r="F178" s="12"/>
      <c r="G178" s="18"/>
      <c r="H178" s="12"/>
      <c r="I178" s="39"/>
      <c r="J178" s="39"/>
      <c r="K178" s="39"/>
      <c r="M178" s="19"/>
    </row>
    <row r="179" spans="2:13" s="11" customFormat="1" x14ac:dyDescent="0.2">
      <c r="B179" s="24">
        <v>1884.1</v>
      </c>
      <c r="C179" s="25">
        <v>4.4400000000000004</v>
      </c>
      <c r="D179" s="40"/>
      <c r="E179" s="40"/>
      <c r="F179" s="12"/>
      <c r="G179" s="18"/>
      <c r="H179" s="12"/>
      <c r="I179" s="39"/>
      <c r="J179" s="39"/>
      <c r="K179" s="39"/>
      <c r="M179" s="19"/>
    </row>
    <row r="180" spans="2:13" s="11" customFormat="1" x14ac:dyDescent="0.2">
      <c r="B180" s="24">
        <v>1884.11</v>
      </c>
      <c r="C180" s="25">
        <v>4.3499999999999996</v>
      </c>
      <c r="D180" s="40"/>
      <c r="E180" s="40"/>
      <c r="F180" s="12"/>
      <c r="G180" s="18"/>
      <c r="H180" s="12"/>
      <c r="I180" s="39"/>
      <c r="J180" s="39"/>
      <c r="K180" s="39"/>
      <c r="M180" s="19"/>
    </row>
    <row r="181" spans="2:13" s="11" customFormat="1" x14ac:dyDescent="0.2">
      <c r="B181" s="24">
        <v>1884.12</v>
      </c>
      <c r="C181" s="25">
        <v>4.34</v>
      </c>
      <c r="D181" s="40"/>
      <c r="E181" s="40"/>
      <c r="F181" s="12"/>
      <c r="G181" s="18"/>
      <c r="H181" s="12"/>
      <c r="I181" s="39"/>
      <c r="J181" s="39"/>
      <c r="K181" s="39"/>
      <c r="M181" s="19"/>
    </row>
    <row r="182" spans="2:13" s="11" customFormat="1" x14ac:dyDescent="0.2">
      <c r="B182" s="24">
        <v>1885.01</v>
      </c>
      <c r="C182" s="25">
        <v>4.24</v>
      </c>
      <c r="D182" s="40"/>
      <c r="E182" s="40"/>
      <c r="F182" s="12"/>
      <c r="G182" s="18"/>
      <c r="H182" s="12"/>
      <c r="I182" s="39"/>
      <c r="J182" s="39"/>
      <c r="K182" s="39"/>
      <c r="M182" s="19"/>
    </row>
    <row r="183" spans="2:13" s="11" customFormat="1" x14ac:dyDescent="0.2">
      <c r="B183" s="24">
        <v>1885.02</v>
      </c>
      <c r="C183" s="25">
        <v>4.37</v>
      </c>
      <c r="D183" s="40"/>
      <c r="E183" s="40"/>
      <c r="F183" s="12"/>
      <c r="G183" s="18"/>
      <c r="H183" s="12"/>
      <c r="I183" s="39"/>
      <c r="J183" s="39"/>
      <c r="K183" s="39"/>
      <c r="M183" s="19"/>
    </row>
    <row r="184" spans="2:13" s="11" customFormat="1" x14ac:dyDescent="0.2">
      <c r="B184" s="24">
        <v>1885.03</v>
      </c>
      <c r="C184" s="25">
        <v>4.38</v>
      </c>
      <c r="D184" s="40"/>
      <c r="E184" s="40"/>
      <c r="F184" s="12"/>
      <c r="G184" s="18"/>
      <c r="H184" s="12"/>
      <c r="I184" s="39"/>
      <c r="J184" s="39"/>
      <c r="K184" s="39"/>
      <c r="M184" s="19"/>
    </row>
    <row r="185" spans="2:13" s="11" customFormat="1" x14ac:dyDescent="0.2">
      <c r="B185" s="24">
        <v>1885.04</v>
      </c>
      <c r="C185" s="25">
        <v>4.37</v>
      </c>
      <c r="D185" s="40"/>
      <c r="E185" s="40"/>
      <c r="F185" s="12"/>
      <c r="G185" s="18"/>
      <c r="H185" s="12"/>
      <c r="I185" s="39"/>
      <c r="J185" s="39"/>
      <c r="K185" s="39"/>
      <c r="M185" s="19"/>
    </row>
    <row r="186" spans="2:13" s="11" customFormat="1" x14ac:dyDescent="0.2">
      <c r="B186" s="24">
        <v>1885.05</v>
      </c>
      <c r="C186" s="25">
        <v>4.32</v>
      </c>
      <c r="D186" s="40"/>
      <c r="E186" s="40"/>
      <c r="F186" s="12"/>
      <c r="G186" s="18"/>
      <c r="H186" s="12"/>
      <c r="I186" s="39"/>
      <c r="J186" s="39"/>
      <c r="K186" s="39"/>
      <c r="M186" s="19"/>
    </row>
    <row r="187" spans="2:13" s="11" customFormat="1" x14ac:dyDescent="0.2">
      <c r="B187" s="24">
        <v>1885.06</v>
      </c>
      <c r="C187" s="25">
        <v>4.3</v>
      </c>
      <c r="D187" s="40"/>
      <c r="E187" s="40"/>
      <c r="F187" s="12"/>
      <c r="G187" s="18"/>
      <c r="H187" s="12"/>
      <c r="I187" s="39"/>
      <c r="J187" s="39"/>
      <c r="K187" s="39"/>
      <c r="M187" s="19"/>
    </row>
    <row r="188" spans="2:13" s="11" customFormat="1" x14ac:dyDescent="0.2">
      <c r="B188" s="24">
        <v>1885.07</v>
      </c>
      <c r="C188" s="25">
        <v>4.46</v>
      </c>
      <c r="D188" s="40"/>
      <c r="E188" s="40"/>
      <c r="F188" s="12"/>
      <c r="G188" s="18"/>
      <c r="H188" s="12"/>
      <c r="I188" s="39"/>
      <c r="J188" s="39"/>
      <c r="K188" s="39"/>
      <c r="M188" s="19"/>
    </row>
    <row r="189" spans="2:13" s="11" customFormat="1" x14ac:dyDescent="0.2">
      <c r="B189" s="24">
        <v>1885.08</v>
      </c>
      <c r="C189" s="25">
        <v>4.71</v>
      </c>
      <c r="D189" s="40"/>
      <c r="E189" s="40"/>
      <c r="F189" s="12"/>
      <c r="G189" s="18"/>
      <c r="H189" s="12"/>
      <c r="I189" s="39"/>
      <c r="J189" s="39"/>
      <c r="K189" s="39"/>
      <c r="M189" s="19"/>
    </row>
    <row r="190" spans="2:13" s="11" customFormat="1" x14ac:dyDescent="0.2">
      <c r="B190" s="24">
        <v>1885.09</v>
      </c>
      <c r="C190" s="25">
        <v>4.6500000000000004</v>
      </c>
      <c r="D190" s="40"/>
      <c r="E190" s="40"/>
      <c r="F190" s="12"/>
      <c r="G190" s="18"/>
      <c r="H190" s="12"/>
      <c r="I190" s="39"/>
      <c r="J190" s="39"/>
      <c r="K190" s="39"/>
      <c r="M190" s="19"/>
    </row>
    <row r="191" spans="2:13" s="11" customFormat="1" x14ac:dyDescent="0.2">
      <c r="B191" s="24">
        <v>1885.1</v>
      </c>
      <c r="C191" s="25">
        <v>4.92</v>
      </c>
      <c r="D191" s="40"/>
      <c r="E191" s="40"/>
      <c r="F191" s="12"/>
      <c r="G191" s="18"/>
      <c r="H191" s="12"/>
      <c r="I191" s="39"/>
      <c r="J191" s="39"/>
      <c r="K191" s="39"/>
      <c r="M191" s="19"/>
    </row>
    <row r="192" spans="2:13" s="11" customFormat="1" x14ac:dyDescent="0.2">
      <c r="B192" s="24">
        <v>1885.11</v>
      </c>
      <c r="C192" s="25">
        <v>5.24</v>
      </c>
      <c r="D192" s="40"/>
      <c r="E192" s="40"/>
      <c r="F192" s="12"/>
      <c r="G192" s="18"/>
      <c r="H192" s="12"/>
      <c r="I192" s="39"/>
      <c r="J192" s="39"/>
      <c r="K192" s="39"/>
      <c r="M192" s="19"/>
    </row>
    <row r="193" spans="2:13" s="11" customFormat="1" x14ac:dyDescent="0.2">
      <c r="B193" s="24">
        <v>1885.12</v>
      </c>
      <c r="C193" s="25">
        <v>5.2</v>
      </c>
      <c r="D193" s="40"/>
      <c r="E193" s="40"/>
      <c r="F193" s="12"/>
      <c r="G193" s="18"/>
      <c r="H193" s="12"/>
      <c r="I193" s="39"/>
      <c r="J193" s="39"/>
      <c r="K193" s="39"/>
      <c r="M193" s="19"/>
    </row>
    <row r="194" spans="2:13" s="11" customFormat="1" x14ac:dyDescent="0.2">
      <c r="B194" s="24">
        <v>1886.01</v>
      </c>
      <c r="C194" s="25">
        <v>5.2</v>
      </c>
      <c r="D194" s="40"/>
      <c r="E194" s="40"/>
      <c r="F194" s="12"/>
      <c r="G194" s="18"/>
      <c r="H194" s="12"/>
      <c r="I194" s="39"/>
      <c r="J194" s="39"/>
      <c r="K194" s="39"/>
      <c r="M194" s="19"/>
    </row>
    <row r="195" spans="2:13" s="11" customFormat="1" x14ac:dyDescent="0.2">
      <c r="B195" s="24">
        <v>1886.02</v>
      </c>
      <c r="C195" s="25">
        <v>5.3</v>
      </c>
      <c r="D195" s="40"/>
      <c r="E195" s="40"/>
      <c r="F195" s="12"/>
      <c r="G195" s="18"/>
      <c r="H195" s="12"/>
      <c r="I195" s="39"/>
      <c r="J195" s="39"/>
      <c r="K195" s="39"/>
      <c r="M195" s="19"/>
    </row>
    <row r="196" spans="2:13" s="11" customFormat="1" x14ac:dyDescent="0.2">
      <c r="B196" s="24">
        <v>1886.03</v>
      </c>
      <c r="C196" s="25">
        <v>5.19</v>
      </c>
      <c r="D196" s="40"/>
      <c r="E196" s="40"/>
      <c r="F196" s="12"/>
      <c r="G196" s="18"/>
      <c r="H196" s="12"/>
      <c r="I196" s="39"/>
      <c r="J196" s="39"/>
      <c r="K196" s="39"/>
      <c r="M196" s="19"/>
    </row>
    <row r="197" spans="2:13" s="11" customFormat="1" x14ac:dyDescent="0.2">
      <c r="B197" s="24">
        <v>1886.04</v>
      </c>
      <c r="C197" s="25">
        <v>5.12</v>
      </c>
      <c r="D197" s="40"/>
      <c r="E197" s="40"/>
      <c r="F197" s="12"/>
      <c r="G197" s="18"/>
      <c r="H197" s="12"/>
      <c r="I197" s="39"/>
      <c r="J197" s="39"/>
      <c r="K197" s="39"/>
      <c r="M197" s="19"/>
    </row>
    <row r="198" spans="2:13" s="11" customFormat="1" x14ac:dyDescent="0.2">
      <c r="B198" s="24">
        <v>1886.05</v>
      </c>
      <c r="C198" s="25">
        <v>5.0199999999999996</v>
      </c>
      <c r="D198" s="40"/>
      <c r="E198" s="40"/>
      <c r="F198" s="12"/>
      <c r="G198" s="18"/>
      <c r="H198" s="12"/>
      <c r="I198" s="39"/>
      <c r="J198" s="39"/>
      <c r="K198" s="39"/>
      <c r="M198" s="19"/>
    </row>
    <row r="199" spans="2:13" s="11" customFormat="1" x14ac:dyDescent="0.2">
      <c r="B199" s="24">
        <v>1886.06</v>
      </c>
      <c r="C199" s="25">
        <v>5.25</v>
      </c>
      <c r="D199" s="40"/>
      <c r="E199" s="40"/>
      <c r="F199" s="12"/>
      <c r="G199" s="18"/>
      <c r="H199" s="12"/>
      <c r="I199" s="39"/>
      <c r="J199" s="39"/>
      <c r="K199" s="39"/>
      <c r="M199" s="19"/>
    </row>
    <row r="200" spans="2:13" s="11" customFormat="1" x14ac:dyDescent="0.2">
      <c r="B200" s="24">
        <v>1886.07</v>
      </c>
      <c r="C200" s="25">
        <v>5.33</v>
      </c>
      <c r="D200" s="40"/>
      <c r="E200" s="40"/>
      <c r="F200" s="12"/>
      <c r="G200" s="18"/>
      <c r="H200" s="12"/>
      <c r="I200" s="39"/>
      <c r="J200" s="39"/>
      <c r="K200" s="39"/>
      <c r="M200" s="19"/>
    </row>
    <row r="201" spans="2:13" s="11" customFormat="1" x14ac:dyDescent="0.2">
      <c r="B201" s="24">
        <v>1886.08</v>
      </c>
      <c r="C201" s="25">
        <v>5.37</v>
      </c>
      <c r="D201" s="40"/>
      <c r="E201" s="40"/>
      <c r="F201" s="12"/>
      <c r="G201" s="18"/>
      <c r="H201" s="12"/>
      <c r="I201" s="39"/>
      <c r="J201" s="39"/>
      <c r="K201" s="39"/>
      <c r="M201" s="19"/>
    </row>
    <row r="202" spans="2:13" s="11" customFormat="1" x14ac:dyDescent="0.2">
      <c r="B202" s="24">
        <v>1886.09</v>
      </c>
      <c r="C202" s="25">
        <v>5.51</v>
      </c>
      <c r="D202" s="40"/>
      <c r="E202" s="40"/>
      <c r="F202" s="12"/>
      <c r="G202" s="18"/>
      <c r="H202" s="12"/>
      <c r="I202" s="39"/>
      <c r="J202" s="39"/>
      <c r="K202" s="39"/>
      <c r="M202" s="19"/>
    </row>
    <row r="203" spans="2:13" s="11" customFormat="1" x14ac:dyDescent="0.2">
      <c r="B203" s="24">
        <v>1886.1</v>
      </c>
      <c r="C203" s="25">
        <v>5.65</v>
      </c>
      <c r="D203" s="40"/>
      <c r="E203" s="40"/>
      <c r="F203" s="12"/>
      <c r="G203" s="18"/>
      <c r="H203" s="12"/>
      <c r="I203" s="39"/>
      <c r="J203" s="39"/>
      <c r="K203" s="39"/>
      <c r="M203" s="19"/>
    </row>
    <row r="204" spans="2:13" s="11" customFormat="1" x14ac:dyDescent="0.2">
      <c r="B204" s="24">
        <v>1886.11</v>
      </c>
      <c r="C204" s="25">
        <v>5.79</v>
      </c>
      <c r="D204" s="40"/>
      <c r="E204" s="40"/>
      <c r="F204" s="12"/>
      <c r="G204" s="18"/>
      <c r="H204" s="12"/>
      <c r="I204" s="39"/>
      <c r="J204" s="39"/>
      <c r="K204" s="39"/>
      <c r="M204" s="19"/>
    </row>
    <row r="205" spans="2:13" s="11" customFormat="1" x14ac:dyDescent="0.2">
      <c r="B205" s="24">
        <v>1886.12</v>
      </c>
      <c r="C205" s="25">
        <v>5.64</v>
      </c>
      <c r="D205" s="40"/>
      <c r="E205" s="40"/>
      <c r="F205" s="12"/>
      <c r="G205" s="18"/>
      <c r="H205" s="12"/>
      <c r="I205" s="39"/>
      <c r="J205" s="39"/>
      <c r="K205" s="39"/>
      <c r="M205" s="19"/>
    </row>
    <row r="206" spans="2:13" s="11" customFormat="1" x14ac:dyDescent="0.2">
      <c r="B206" s="24">
        <v>1887.01</v>
      </c>
      <c r="C206" s="25">
        <v>5.58</v>
      </c>
      <c r="D206" s="40"/>
      <c r="E206" s="40"/>
      <c r="F206" s="12"/>
      <c r="G206" s="18"/>
      <c r="H206" s="12"/>
      <c r="I206" s="39"/>
      <c r="J206" s="39"/>
      <c r="K206" s="39"/>
      <c r="M206" s="19"/>
    </row>
    <row r="207" spans="2:13" s="11" customFormat="1" x14ac:dyDescent="0.2">
      <c r="B207" s="24">
        <v>1887.02</v>
      </c>
      <c r="C207" s="25">
        <v>5.54</v>
      </c>
      <c r="D207" s="40"/>
      <c r="E207" s="40"/>
      <c r="F207" s="12"/>
      <c r="G207" s="18"/>
      <c r="H207" s="12"/>
      <c r="I207" s="39"/>
      <c r="J207" s="39"/>
      <c r="K207" s="39"/>
      <c r="M207" s="19"/>
    </row>
    <row r="208" spans="2:13" s="11" customFormat="1" x14ac:dyDescent="0.2">
      <c r="B208" s="24">
        <v>1887.03</v>
      </c>
      <c r="C208" s="25">
        <v>5.67</v>
      </c>
      <c r="D208" s="40"/>
      <c r="E208" s="40"/>
      <c r="F208" s="12"/>
      <c r="G208" s="18"/>
      <c r="H208" s="12"/>
      <c r="I208" s="39"/>
      <c r="J208" s="39"/>
      <c r="K208" s="39"/>
      <c r="M208" s="19"/>
    </row>
    <row r="209" spans="2:13" s="11" customFormat="1" x14ac:dyDescent="0.2">
      <c r="B209" s="24">
        <v>1887.04</v>
      </c>
      <c r="C209" s="25">
        <v>5.8</v>
      </c>
      <c r="D209" s="40"/>
      <c r="E209" s="40"/>
      <c r="F209" s="12"/>
      <c r="G209" s="18"/>
      <c r="H209" s="12"/>
      <c r="I209" s="39"/>
      <c r="J209" s="39"/>
      <c r="K209" s="39"/>
      <c r="M209" s="19"/>
    </row>
    <row r="210" spans="2:13" s="11" customFormat="1" x14ac:dyDescent="0.2">
      <c r="B210" s="24">
        <v>1887.05</v>
      </c>
      <c r="C210" s="25">
        <v>5.9</v>
      </c>
      <c r="D210" s="40"/>
      <c r="E210" s="40"/>
      <c r="F210" s="12"/>
      <c r="G210" s="18"/>
      <c r="H210" s="12"/>
      <c r="I210" s="39"/>
      <c r="J210" s="39"/>
      <c r="K210" s="39"/>
      <c r="M210" s="19"/>
    </row>
    <row r="211" spans="2:13" s="11" customFormat="1" x14ac:dyDescent="0.2">
      <c r="B211" s="24">
        <v>1887.06</v>
      </c>
      <c r="C211" s="25">
        <v>5.73</v>
      </c>
      <c r="D211" s="40"/>
      <c r="E211" s="40"/>
      <c r="F211" s="12"/>
      <c r="G211" s="18"/>
      <c r="H211" s="12"/>
      <c r="I211" s="39"/>
      <c r="J211" s="39"/>
      <c r="K211" s="39"/>
      <c r="M211" s="19"/>
    </row>
    <row r="212" spans="2:13" s="11" customFormat="1" x14ac:dyDescent="0.2">
      <c r="B212" s="24">
        <v>1887.07</v>
      </c>
      <c r="C212" s="25">
        <v>5.59</v>
      </c>
      <c r="D212" s="40"/>
      <c r="E212" s="40"/>
      <c r="F212" s="12"/>
      <c r="G212" s="18"/>
      <c r="H212" s="12"/>
      <c r="I212" s="39"/>
      <c r="J212" s="39"/>
      <c r="K212" s="39"/>
      <c r="M212" s="19"/>
    </row>
    <row r="213" spans="2:13" s="11" customFormat="1" x14ac:dyDescent="0.2">
      <c r="B213" s="24">
        <v>1887.08</v>
      </c>
      <c r="C213" s="25">
        <v>5.45</v>
      </c>
      <c r="D213" s="40"/>
      <c r="E213" s="40"/>
      <c r="F213" s="12"/>
      <c r="G213" s="18"/>
      <c r="H213" s="12"/>
      <c r="I213" s="39"/>
      <c r="J213" s="39"/>
      <c r="K213" s="39"/>
      <c r="M213" s="19"/>
    </row>
    <row r="214" spans="2:13" s="11" customFormat="1" x14ac:dyDescent="0.2">
      <c r="B214" s="24">
        <v>1887.09</v>
      </c>
      <c r="C214" s="25">
        <v>5.38</v>
      </c>
      <c r="D214" s="40"/>
      <c r="E214" s="40"/>
      <c r="F214" s="12"/>
      <c r="G214" s="18"/>
      <c r="H214" s="12"/>
      <c r="I214" s="39"/>
      <c r="J214" s="39"/>
      <c r="K214" s="39"/>
      <c r="M214" s="19"/>
    </row>
    <row r="215" spans="2:13" s="11" customFormat="1" x14ac:dyDescent="0.2">
      <c r="B215" s="24">
        <v>1887.1</v>
      </c>
      <c r="C215" s="25">
        <v>5.2</v>
      </c>
      <c r="D215" s="40"/>
      <c r="E215" s="40"/>
      <c r="F215" s="12"/>
      <c r="G215" s="18"/>
      <c r="H215" s="12"/>
      <c r="I215" s="39"/>
      <c r="J215" s="39"/>
      <c r="K215" s="39"/>
      <c r="M215" s="19"/>
    </row>
    <row r="216" spans="2:13" s="11" customFormat="1" x14ac:dyDescent="0.2">
      <c r="B216" s="24">
        <v>1887.11</v>
      </c>
      <c r="C216" s="25">
        <v>5.3</v>
      </c>
      <c r="D216" s="40"/>
      <c r="E216" s="40"/>
      <c r="F216" s="12"/>
      <c r="G216" s="18"/>
      <c r="H216" s="12"/>
      <c r="I216" s="39"/>
      <c r="J216" s="39"/>
      <c r="K216" s="39"/>
      <c r="M216" s="19"/>
    </row>
    <row r="217" spans="2:13" s="11" customFormat="1" x14ac:dyDescent="0.2">
      <c r="B217" s="24">
        <v>1887.12</v>
      </c>
      <c r="C217" s="25">
        <v>5.27</v>
      </c>
      <c r="D217" s="40"/>
      <c r="E217" s="40"/>
      <c r="F217" s="12"/>
      <c r="G217" s="18"/>
      <c r="H217" s="12"/>
      <c r="I217" s="39"/>
      <c r="J217" s="39"/>
      <c r="K217" s="39"/>
      <c r="M217" s="19"/>
    </row>
    <row r="218" spans="2:13" s="11" customFormat="1" x14ac:dyDescent="0.2">
      <c r="B218" s="24">
        <v>1888.01</v>
      </c>
      <c r="C218" s="25">
        <v>5.31</v>
      </c>
      <c r="D218" s="40"/>
      <c r="E218" s="40"/>
      <c r="F218" s="12"/>
      <c r="G218" s="18"/>
      <c r="H218" s="12"/>
      <c r="I218" s="39"/>
      <c r="J218" s="39"/>
      <c r="K218" s="39"/>
      <c r="M218" s="19"/>
    </row>
    <row r="219" spans="2:13" s="11" customFormat="1" x14ac:dyDescent="0.2">
      <c r="B219" s="24">
        <v>1888.02</v>
      </c>
      <c r="C219" s="25">
        <v>5.28</v>
      </c>
      <c r="D219" s="40"/>
      <c r="E219" s="40"/>
      <c r="F219" s="12"/>
      <c r="G219" s="18"/>
      <c r="H219" s="12"/>
      <c r="I219" s="39"/>
      <c r="J219" s="39"/>
      <c r="K219" s="39"/>
      <c r="M219" s="19"/>
    </row>
    <row r="220" spans="2:13" s="11" customFormat="1" x14ac:dyDescent="0.2">
      <c r="B220" s="24">
        <v>1888.03</v>
      </c>
      <c r="C220" s="25">
        <v>5.08</v>
      </c>
      <c r="D220" s="40"/>
      <c r="E220" s="40"/>
      <c r="F220" s="12"/>
      <c r="G220" s="18"/>
      <c r="H220" s="12"/>
      <c r="I220" s="39"/>
      <c r="J220" s="39"/>
      <c r="K220" s="39"/>
      <c r="M220" s="19"/>
    </row>
    <row r="221" spans="2:13" s="11" customFormat="1" x14ac:dyDescent="0.2">
      <c r="B221" s="24">
        <v>1888.04</v>
      </c>
      <c r="C221" s="25">
        <v>5.0999999999999996</v>
      </c>
      <c r="D221" s="40"/>
      <c r="E221" s="40"/>
      <c r="F221" s="12"/>
      <c r="G221" s="18"/>
      <c r="H221" s="12"/>
      <c r="I221" s="39"/>
      <c r="J221" s="39"/>
      <c r="K221" s="39"/>
      <c r="M221" s="19"/>
    </row>
    <row r="222" spans="2:13" s="11" customFormat="1" x14ac:dyDescent="0.2">
      <c r="B222" s="24">
        <v>1888.05</v>
      </c>
      <c r="C222" s="25">
        <v>5.17</v>
      </c>
      <c r="D222" s="40"/>
      <c r="E222" s="40"/>
      <c r="F222" s="12"/>
      <c r="G222" s="18"/>
      <c r="H222" s="12"/>
      <c r="I222" s="39"/>
      <c r="J222" s="39"/>
      <c r="K222" s="39"/>
      <c r="M222" s="19"/>
    </row>
    <row r="223" spans="2:13" s="11" customFormat="1" x14ac:dyDescent="0.2">
      <c r="B223" s="24">
        <v>1888.06</v>
      </c>
      <c r="C223" s="25">
        <v>5.01</v>
      </c>
      <c r="D223" s="40"/>
      <c r="E223" s="40"/>
      <c r="F223" s="12"/>
      <c r="G223" s="18"/>
      <c r="H223" s="12"/>
      <c r="I223" s="39"/>
      <c r="J223" s="39"/>
      <c r="K223" s="39"/>
      <c r="M223" s="19"/>
    </row>
    <row r="224" spans="2:13" s="11" customFormat="1" x14ac:dyDescent="0.2">
      <c r="B224" s="24">
        <v>1888.07</v>
      </c>
      <c r="C224" s="25">
        <v>5.14</v>
      </c>
      <c r="D224" s="40"/>
      <c r="E224" s="40"/>
      <c r="F224" s="12"/>
      <c r="G224" s="18"/>
      <c r="H224" s="12"/>
      <c r="I224" s="39"/>
      <c r="J224" s="39"/>
      <c r="K224" s="39"/>
      <c r="M224" s="19"/>
    </row>
    <row r="225" spans="2:13" s="11" customFormat="1" x14ac:dyDescent="0.2">
      <c r="B225" s="24">
        <v>1888.08</v>
      </c>
      <c r="C225" s="25">
        <v>5.25</v>
      </c>
      <c r="D225" s="40"/>
      <c r="E225" s="40"/>
      <c r="F225" s="12"/>
      <c r="G225" s="18"/>
      <c r="H225" s="12"/>
      <c r="I225" s="39"/>
      <c r="J225" s="39"/>
      <c r="K225" s="39"/>
      <c r="M225" s="19"/>
    </row>
    <row r="226" spans="2:13" s="11" customFormat="1" x14ac:dyDescent="0.2">
      <c r="B226" s="24">
        <v>1888.09</v>
      </c>
      <c r="C226" s="25">
        <v>5.38</v>
      </c>
      <c r="D226" s="40"/>
      <c r="E226" s="40"/>
      <c r="F226" s="12"/>
      <c r="G226" s="18"/>
      <c r="H226" s="12"/>
      <c r="I226" s="39"/>
      <c r="J226" s="39"/>
      <c r="K226" s="39"/>
      <c r="M226" s="19"/>
    </row>
    <row r="227" spans="2:13" s="11" customFormat="1" x14ac:dyDescent="0.2">
      <c r="B227" s="24">
        <v>1888.1</v>
      </c>
      <c r="C227" s="25">
        <v>5.35</v>
      </c>
      <c r="D227" s="40"/>
      <c r="E227" s="40"/>
      <c r="F227" s="12"/>
      <c r="G227" s="18"/>
      <c r="H227" s="12"/>
      <c r="I227" s="39"/>
      <c r="J227" s="39"/>
      <c r="K227" s="39"/>
      <c r="M227" s="19"/>
    </row>
    <row r="228" spans="2:13" s="11" customFormat="1" x14ac:dyDescent="0.2">
      <c r="B228" s="24">
        <v>1888.11</v>
      </c>
      <c r="C228" s="25">
        <v>5.24</v>
      </c>
      <c r="D228" s="40"/>
      <c r="E228" s="40"/>
      <c r="F228" s="12"/>
      <c r="G228" s="18"/>
      <c r="H228" s="12"/>
      <c r="I228" s="39"/>
      <c r="J228" s="39"/>
      <c r="K228" s="39"/>
      <c r="M228" s="19"/>
    </row>
    <row r="229" spans="2:13" s="11" customFormat="1" x14ac:dyDescent="0.2">
      <c r="B229" s="24">
        <v>1888.12</v>
      </c>
      <c r="C229" s="25">
        <v>5.14</v>
      </c>
      <c r="D229" s="40"/>
      <c r="E229" s="40"/>
      <c r="F229" s="12"/>
      <c r="G229" s="18"/>
      <c r="H229" s="12"/>
      <c r="I229" s="39"/>
      <c r="J229" s="39"/>
      <c r="K229" s="39"/>
      <c r="M229" s="19"/>
    </row>
    <row r="230" spans="2:13" s="11" customFormat="1" x14ac:dyDescent="0.2">
      <c r="B230" s="24">
        <v>1889.01</v>
      </c>
      <c r="C230" s="25">
        <v>5.24</v>
      </c>
      <c r="D230" s="40"/>
      <c r="E230" s="40"/>
      <c r="F230" s="12"/>
      <c r="G230" s="18"/>
      <c r="H230" s="12"/>
      <c r="I230" s="39"/>
      <c r="J230" s="39"/>
      <c r="K230" s="39"/>
      <c r="M230" s="19"/>
    </row>
    <row r="231" spans="2:13" s="11" customFormat="1" x14ac:dyDescent="0.2">
      <c r="B231" s="24">
        <v>1889.02</v>
      </c>
      <c r="C231" s="25">
        <v>5.3</v>
      </c>
      <c r="D231" s="40"/>
      <c r="E231" s="40"/>
      <c r="F231" s="12"/>
      <c r="G231" s="18"/>
      <c r="H231" s="12"/>
      <c r="I231" s="39"/>
      <c r="J231" s="39"/>
      <c r="K231" s="39"/>
      <c r="M231" s="19"/>
    </row>
    <row r="232" spans="2:13" s="11" customFormat="1" x14ac:dyDescent="0.2">
      <c r="B232" s="24">
        <v>1889.03</v>
      </c>
      <c r="C232" s="25">
        <v>5.19</v>
      </c>
      <c r="D232" s="40"/>
      <c r="E232" s="40"/>
      <c r="F232" s="12"/>
      <c r="G232" s="18"/>
      <c r="H232" s="12"/>
      <c r="I232" s="39"/>
      <c r="J232" s="39"/>
      <c r="K232" s="39"/>
      <c r="M232" s="19"/>
    </row>
    <row r="233" spans="2:13" s="11" customFormat="1" x14ac:dyDescent="0.2">
      <c r="B233" s="24">
        <v>1889.04</v>
      </c>
      <c r="C233" s="25">
        <v>5.18</v>
      </c>
      <c r="D233" s="40"/>
      <c r="E233" s="40"/>
      <c r="F233" s="12"/>
      <c r="G233" s="18"/>
      <c r="H233" s="12"/>
      <c r="I233" s="39"/>
      <c r="J233" s="39"/>
      <c r="K233" s="39"/>
      <c r="M233" s="19"/>
    </row>
    <row r="234" spans="2:13" s="11" customFormat="1" x14ac:dyDescent="0.2">
      <c r="B234" s="24">
        <v>1889.05</v>
      </c>
      <c r="C234" s="25">
        <v>5.32</v>
      </c>
      <c r="D234" s="40"/>
      <c r="E234" s="40"/>
      <c r="F234" s="12"/>
      <c r="G234" s="18"/>
      <c r="H234" s="12"/>
      <c r="I234" s="39"/>
      <c r="J234" s="39"/>
      <c r="K234" s="39"/>
      <c r="M234" s="19"/>
    </row>
    <row r="235" spans="2:13" s="11" customFormat="1" x14ac:dyDescent="0.2">
      <c r="B235" s="24">
        <v>1889.06</v>
      </c>
      <c r="C235" s="25">
        <v>5.41</v>
      </c>
      <c r="D235" s="40"/>
      <c r="E235" s="40"/>
      <c r="F235" s="12"/>
      <c r="G235" s="18"/>
      <c r="H235" s="12"/>
      <c r="I235" s="39"/>
      <c r="J235" s="39"/>
      <c r="K235" s="39"/>
      <c r="M235" s="19"/>
    </row>
    <row r="236" spans="2:13" s="11" customFormat="1" x14ac:dyDescent="0.2">
      <c r="B236" s="24">
        <v>1889.07</v>
      </c>
      <c r="C236" s="25">
        <v>5.3</v>
      </c>
      <c r="D236" s="40"/>
      <c r="E236" s="40"/>
      <c r="F236" s="12"/>
      <c r="G236" s="18"/>
      <c r="H236" s="12"/>
      <c r="I236" s="39"/>
      <c r="J236" s="39"/>
      <c r="K236" s="39"/>
      <c r="M236" s="19"/>
    </row>
    <row r="237" spans="2:13" s="11" customFormat="1" x14ac:dyDescent="0.2">
      <c r="B237" s="24">
        <v>1889.08</v>
      </c>
      <c r="C237" s="25">
        <v>5.37</v>
      </c>
      <c r="D237" s="40"/>
      <c r="E237" s="40"/>
      <c r="F237" s="12"/>
      <c r="G237" s="18"/>
      <c r="H237" s="12"/>
      <c r="I237" s="39"/>
      <c r="J237" s="39"/>
      <c r="K237" s="39"/>
      <c r="M237" s="19"/>
    </row>
    <row r="238" spans="2:13" s="11" customFormat="1" x14ac:dyDescent="0.2">
      <c r="B238" s="24">
        <v>1889.09</v>
      </c>
      <c r="C238" s="25">
        <v>5.5</v>
      </c>
      <c r="D238" s="40"/>
      <c r="E238" s="40"/>
      <c r="F238" s="12"/>
      <c r="G238" s="18"/>
      <c r="H238" s="12"/>
      <c r="I238" s="39"/>
      <c r="J238" s="39"/>
      <c r="K238" s="39"/>
      <c r="M238" s="19"/>
    </row>
    <row r="239" spans="2:13" s="11" customFormat="1" x14ac:dyDescent="0.2">
      <c r="B239" s="24">
        <v>1889.1</v>
      </c>
      <c r="C239" s="25">
        <v>5.4</v>
      </c>
      <c r="D239" s="40"/>
      <c r="E239" s="40"/>
      <c r="F239" s="12"/>
      <c r="G239" s="18"/>
      <c r="H239" s="12"/>
      <c r="I239" s="39"/>
      <c r="J239" s="39"/>
      <c r="K239" s="39"/>
      <c r="M239" s="19"/>
    </row>
    <row r="240" spans="2:13" s="11" customFormat="1" x14ac:dyDescent="0.2">
      <c r="B240" s="24">
        <v>1889.11</v>
      </c>
      <c r="C240" s="25">
        <v>5.35</v>
      </c>
      <c r="D240" s="40"/>
      <c r="E240" s="40"/>
      <c r="F240" s="12"/>
      <c r="G240" s="18"/>
      <c r="H240" s="12"/>
      <c r="I240" s="39"/>
      <c r="J240" s="39"/>
      <c r="K240" s="39"/>
      <c r="M240" s="19"/>
    </row>
    <row r="241" spans="2:13" s="11" customFormat="1" x14ac:dyDescent="0.2">
      <c r="B241" s="24">
        <v>1889.12</v>
      </c>
      <c r="C241" s="25">
        <v>5.32</v>
      </c>
      <c r="D241" s="40"/>
      <c r="E241" s="40"/>
      <c r="F241" s="12"/>
      <c r="G241" s="18"/>
      <c r="H241" s="12"/>
      <c r="I241" s="39"/>
      <c r="J241" s="39"/>
      <c r="K241" s="39"/>
      <c r="M241" s="19"/>
    </row>
    <row r="242" spans="2:13" s="11" customFormat="1" x14ac:dyDescent="0.2">
      <c r="B242" s="24">
        <v>1890.01</v>
      </c>
      <c r="C242" s="25">
        <v>5.38</v>
      </c>
      <c r="D242" s="40"/>
      <c r="E242" s="40"/>
      <c r="F242" s="12"/>
      <c r="G242" s="18"/>
      <c r="H242" s="12"/>
      <c r="I242" s="39"/>
      <c r="J242" s="39"/>
      <c r="K242" s="39"/>
      <c r="M242" s="19"/>
    </row>
    <row r="243" spans="2:13" s="11" customFormat="1" x14ac:dyDescent="0.2">
      <c r="B243" s="24">
        <v>1890.02</v>
      </c>
      <c r="C243" s="25">
        <v>5.32</v>
      </c>
      <c r="D243" s="40"/>
      <c r="E243" s="40"/>
      <c r="F243" s="12"/>
      <c r="G243" s="18"/>
      <c r="H243" s="12"/>
      <c r="I243" s="39"/>
      <c r="J243" s="39"/>
      <c r="K243" s="39"/>
      <c r="M243" s="19"/>
    </row>
    <row r="244" spans="2:13" s="11" customFormat="1" x14ac:dyDescent="0.2">
      <c r="B244" s="24">
        <v>1890.03</v>
      </c>
      <c r="C244" s="25">
        <v>5.28</v>
      </c>
      <c r="D244" s="40"/>
      <c r="E244" s="40"/>
      <c r="F244" s="12"/>
      <c r="G244" s="18"/>
      <c r="H244" s="12"/>
      <c r="I244" s="39"/>
      <c r="J244" s="39"/>
      <c r="K244" s="39"/>
      <c r="M244" s="19"/>
    </row>
    <row r="245" spans="2:13" s="11" customFormat="1" x14ac:dyDescent="0.2">
      <c r="B245" s="24">
        <v>1890.04</v>
      </c>
      <c r="C245" s="25">
        <v>5.39</v>
      </c>
      <c r="D245" s="40"/>
      <c r="E245" s="40"/>
      <c r="F245" s="12"/>
      <c r="G245" s="18"/>
      <c r="H245" s="12"/>
      <c r="I245" s="39"/>
      <c r="J245" s="39"/>
      <c r="K245" s="39"/>
      <c r="M245" s="19"/>
    </row>
    <row r="246" spans="2:13" s="11" customFormat="1" x14ac:dyDescent="0.2">
      <c r="B246" s="24">
        <v>1890.05</v>
      </c>
      <c r="C246" s="25">
        <v>5.62</v>
      </c>
      <c r="D246" s="40"/>
      <c r="E246" s="40"/>
      <c r="F246" s="12"/>
      <c r="G246" s="18"/>
      <c r="H246" s="12"/>
      <c r="I246" s="39"/>
      <c r="J246" s="39"/>
      <c r="K246" s="39"/>
      <c r="M246" s="19"/>
    </row>
    <row r="247" spans="2:13" s="11" customFormat="1" x14ac:dyDescent="0.2">
      <c r="B247" s="24">
        <v>1890.06</v>
      </c>
      <c r="C247" s="25">
        <v>5.58</v>
      </c>
      <c r="D247" s="40"/>
      <c r="E247" s="40"/>
      <c r="F247" s="12"/>
      <c r="G247" s="18"/>
      <c r="H247" s="12"/>
      <c r="I247" s="39"/>
      <c r="J247" s="39"/>
      <c r="K247" s="39"/>
      <c r="M247" s="19"/>
    </row>
    <row r="248" spans="2:13" s="11" customFormat="1" x14ac:dyDescent="0.2">
      <c r="B248" s="24">
        <v>1890.07</v>
      </c>
      <c r="C248" s="25">
        <v>5.54</v>
      </c>
      <c r="D248" s="40"/>
      <c r="E248" s="40"/>
      <c r="F248" s="12"/>
      <c r="G248" s="18"/>
      <c r="H248" s="12"/>
      <c r="I248" s="39"/>
      <c r="J248" s="39"/>
      <c r="K248" s="39"/>
      <c r="M248" s="19"/>
    </row>
    <row r="249" spans="2:13" s="11" customFormat="1" x14ac:dyDescent="0.2">
      <c r="B249" s="24">
        <v>1890.08</v>
      </c>
      <c r="C249" s="25">
        <v>5.41</v>
      </c>
      <c r="D249" s="40"/>
      <c r="E249" s="40"/>
      <c r="F249" s="12"/>
      <c r="G249" s="18"/>
      <c r="H249" s="12"/>
      <c r="I249" s="39"/>
      <c r="J249" s="39"/>
      <c r="K249" s="39"/>
      <c r="M249" s="19"/>
    </row>
    <row r="250" spans="2:13" s="11" customFormat="1" x14ac:dyDescent="0.2">
      <c r="B250" s="24">
        <v>1890.09</v>
      </c>
      <c r="C250" s="25">
        <v>5.32</v>
      </c>
      <c r="D250" s="40"/>
      <c r="E250" s="40"/>
      <c r="F250" s="12"/>
      <c r="G250" s="18"/>
      <c r="H250" s="12"/>
      <c r="I250" s="39"/>
      <c r="J250" s="39"/>
      <c r="K250" s="39"/>
      <c r="M250" s="19"/>
    </row>
    <row r="251" spans="2:13" s="11" customFormat="1" x14ac:dyDescent="0.2">
      <c r="B251" s="24">
        <v>1890.1</v>
      </c>
      <c r="C251" s="25">
        <v>5.08</v>
      </c>
      <c r="D251" s="40"/>
      <c r="E251" s="40"/>
      <c r="F251" s="12"/>
      <c r="G251" s="18"/>
      <c r="H251" s="12"/>
      <c r="I251" s="39"/>
      <c r="J251" s="39"/>
      <c r="K251" s="39"/>
      <c r="M251" s="19"/>
    </row>
    <row r="252" spans="2:13" s="11" customFormat="1" x14ac:dyDescent="0.2">
      <c r="B252" s="24">
        <v>1890.11</v>
      </c>
      <c r="C252" s="25">
        <v>4.71</v>
      </c>
      <c r="D252" s="40"/>
      <c r="E252" s="40"/>
      <c r="F252" s="12"/>
      <c r="G252" s="18"/>
      <c r="H252" s="12"/>
      <c r="I252" s="39"/>
      <c r="J252" s="39"/>
      <c r="K252" s="39"/>
      <c r="M252" s="19"/>
    </row>
    <row r="253" spans="2:13" s="11" customFormat="1" x14ac:dyDescent="0.2">
      <c r="B253" s="24">
        <v>1890.12</v>
      </c>
      <c r="C253" s="25">
        <v>4.5999999999999996</v>
      </c>
      <c r="D253" s="40"/>
      <c r="E253" s="40"/>
      <c r="F253" s="12"/>
      <c r="G253" s="18"/>
      <c r="H253" s="12"/>
      <c r="I253" s="39"/>
      <c r="J253" s="39"/>
      <c r="K253" s="39"/>
      <c r="M253" s="19"/>
    </row>
    <row r="254" spans="2:13" s="11" customFormat="1" x14ac:dyDescent="0.2">
      <c r="B254" s="24">
        <v>1891.01</v>
      </c>
      <c r="C254" s="25">
        <v>4.84</v>
      </c>
      <c r="D254" s="40"/>
      <c r="E254" s="40"/>
      <c r="F254" s="12"/>
      <c r="G254" s="18"/>
      <c r="H254" s="12"/>
      <c r="I254" s="39"/>
      <c r="J254" s="39"/>
      <c r="K254" s="39"/>
      <c r="M254" s="19"/>
    </row>
    <row r="255" spans="2:13" s="11" customFormat="1" x14ac:dyDescent="0.2">
      <c r="B255" s="24">
        <v>1891.02</v>
      </c>
      <c r="C255" s="25">
        <v>4.9000000000000004</v>
      </c>
      <c r="D255" s="40"/>
      <c r="E255" s="40"/>
      <c r="F255" s="12"/>
      <c r="G255" s="18"/>
      <c r="H255" s="12"/>
      <c r="I255" s="39"/>
      <c r="J255" s="39"/>
      <c r="K255" s="39"/>
      <c r="M255" s="19"/>
    </row>
    <row r="256" spans="2:13" s="11" customFormat="1" x14ac:dyDescent="0.2">
      <c r="B256" s="24">
        <v>1891.03</v>
      </c>
      <c r="C256" s="25">
        <v>4.8099999999999996</v>
      </c>
      <c r="D256" s="40"/>
      <c r="E256" s="40"/>
      <c r="F256" s="12"/>
      <c r="G256" s="18"/>
      <c r="H256" s="12"/>
      <c r="I256" s="39"/>
      <c r="J256" s="39"/>
      <c r="K256" s="39"/>
      <c r="M256" s="19"/>
    </row>
    <row r="257" spans="2:13" s="11" customFormat="1" x14ac:dyDescent="0.2">
      <c r="B257" s="24">
        <v>1891.04</v>
      </c>
      <c r="C257" s="25">
        <v>4.97</v>
      </c>
      <c r="D257" s="40"/>
      <c r="E257" s="40"/>
      <c r="F257" s="12"/>
      <c r="G257" s="18"/>
      <c r="H257" s="12"/>
      <c r="I257" s="39"/>
      <c r="J257" s="39"/>
      <c r="K257" s="39"/>
      <c r="M257" s="19"/>
    </row>
    <row r="258" spans="2:13" s="11" customFormat="1" x14ac:dyDescent="0.2">
      <c r="B258" s="24">
        <v>1891.05</v>
      </c>
      <c r="C258" s="25">
        <v>4.95</v>
      </c>
      <c r="D258" s="40"/>
      <c r="E258" s="40"/>
      <c r="F258" s="12"/>
      <c r="G258" s="18"/>
      <c r="H258" s="12"/>
      <c r="I258" s="39"/>
      <c r="J258" s="39"/>
      <c r="K258" s="39"/>
      <c r="M258" s="19"/>
    </row>
    <row r="259" spans="2:13" s="11" customFormat="1" x14ac:dyDescent="0.2">
      <c r="B259" s="24">
        <v>1891.06</v>
      </c>
      <c r="C259" s="25">
        <v>4.8499999999999996</v>
      </c>
      <c r="D259" s="40"/>
      <c r="E259" s="40"/>
      <c r="F259" s="12"/>
      <c r="G259" s="18"/>
      <c r="H259" s="12"/>
      <c r="I259" s="39"/>
      <c r="J259" s="39"/>
      <c r="K259" s="39"/>
      <c r="M259" s="19"/>
    </row>
    <row r="260" spans="2:13" s="11" customFormat="1" x14ac:dyDescent="0.2">
      <c r="B260" s="24">
        <v>1891.07</v>
      </c>
      <c r="C260" s="25">
        <v>4.7699999999999996</v>
      </c>
      <c r="D260" s="40"/>
      <c r="E260" s="40"/>
      <c r="F260" s="12"/>
      <c r="G260" s="18"/>
      <c r="H260" s="12"/>
      <c r="I260" s="39"/>
      <c r="J260" s="39"/>
      <c r="K260" s="39"/>
      <c r="M260" s="19"/>
    </row>
    <row r="261" spans="2:13" s="11" customFormat="1" x14ac:dyDescent="0.2">
      <c r="B261" s="24">
        <v>1891.08</v>
      </c>
      <c r="C261" s="25">
        <v>4.93</v>
      </c>
      <c r="D261" s="40"/>
      <c r="E261" s="40"/>
      <c r="F261" s="12"/>
      <c r="G261" s="18"/>
      <c r="H261" s="12"/>
      <c r="I261" s="39"/>
      <c r="J261" s="39"/>
      <c r="K261" s="39"/>
      <c r="M261" s="19"/>
    </row>
    <row r="262" spans="2:13" s="11" customFormat="1" x14ac:dyDescent="0.2">
      <c r="B262" s="24">
        <v>1891.09</v>
      </c>
      <c r="C262" s="25">
        <v>5.33</v>
      </c>
      <c r="D262" s="40"/>
      <c r="E262" s="40"/>
      <c r="F262" s="12"/>
      <c r="G262" s="18"/>
      <c r="H262" s="12"/>
      <c r="I262" s="39"/>
      <c r="J262" s="39"/>
      <c r="K262" s="39"/>
      <c r="M262" s="19"/>
    </row>
    <row r="263" spans="2:13" s="11" customFormat="1" x14ac:dyDescent="0.2">
      <c r="B263" s="24">
        <v>1891.1</v>
      </c>
      <c r="C263" s="25">
        <v>5.33</v>
      </c>
      <c r="D263" s="40"/>
      <c r="E263" s="40"/>
      <c r="F263" s="12"/>
      <c r="G263" s="18"/>
      <c r="H263" s="12"/>
      <c r="I263" s="39"/>
      <c r="J263" s="39"/>
      <c r="K263" s="39"/>
      <c r="M263" s="19"/>
    </row>
    <row r="264" spans="2:13" s="11" customFormat="1" x14ac:dyDescent="0.2">
      <c r="B264" s="24">
        <v>1891.11</v>
      </c>
      <c r="C264" s="25">
        <v>5.25</v>
      </c>
      <c r="D264" s="40"/>
      <c r="E264" s="40"/>
      <c r="F264" s="12"/>
      <c r="G264" s="18"/>
      <c r="H264" s="12"/>
      <c r="I264" s="39"/>
      <c r="J264" s="39"/>
      <c r="K264" s="39"/>
      <c r="M264" s="19"/>
    </row>
    <row r="265" spans="2:13" s="11" customFormat="1" x14ac:dyDescent="0.2">
      <c r="B265" s="24">
        <v>1891.12</v>
      </c>
      <c r="C265" s="25">
        <v>5.41</v>
      </c>
      <c r="D265" s="40"/>
      <c r="E265" s="40"/>
      <c r="F265" s="12"/>
      <c r="G265" s="18"/>
      <c r="H265" s="12"/>
      <c r="I265" s="39"/>
      <c r="J265" s="39"/>
      <c r="K265" s="39"/>
      <c r="M265" s="19"/>
    </row>
    <row r="266" spans="2:13" s="11" customFormat="1" x14ac:dyDescent="0.2">
      <c r="B266" s="24">
        <v>1892.01</v>
      </c>
      <c r="C266" s="25">
        <v>5.51</v>
      </c>
      <c r="D266" s="40"/>
      <c r="E266" s="40"/>
      <c r="F266" s="12"/>
      <c r="G266" s="18"/>
      <c r="H266" s="12"/>
      <c r="I266" s="39"/>
      <c r="J266" s="39"/>
      <c r="K266" s="39"/>
      <c r="M266" s="19"/>
    </row>
    <row r="267" spans="2:13" s="11" customFormat="1" x14ac:dyDescent="0.2">
      <c r="B267" s="24">
        <v>1892.02</v>
      </c>
      <c r="C267" s="25">
        <v>5.52</v>
      </c>
      <c r="D267" s="40"/>
      <c r="E267" s="40"/>
      <c r="F267" s="12"/>
      <c r="G267" s="18"/>
      <c r="H267" s="12"/>
      <c r="I267" s="39"/>
      <c r="J267" s="39"/>
      <c r="K267" s="39"/>
      <c r="M267" s="19"/>
    </row>
    <row r="268" spans="2:13" s="11" customFormat="1" x14ac:dyDescent="0.2">
      <c r="B268" s="24">
        <v>1892.03</v>
      </c>
      <c r="C268" s="25">
        <v>5.58</v>
      </c>
      <c r="D268" s="40"/>
      <c r="E268" s="40"/>
      <c r="F268" s="12"/>
      <c r="G268" s="18"/>
      <c r="H268" s="12"/>
      <c r="I268" s="39"/>
      <c r="J268" s="39"/>
      <c r="K268" s="39"/>
      <c r="M268" s="19"/>
    </row>
    <row r="269" spans="2:13" s="11" customFormat="1" x14ac:dyDescent="0.2">
      <c r="B269" s="24">
        <v>1892.04</v>
      </c>
      <c r="C269" s="25">
        <v>5.57</v>
      </c>
      <c r="D269" s="40"/>
      <c r="E269" s="40"/>
      <c r="F269" s="12"/>
      <c r="G269" s="18"/>
      <c r="H269" s="12"/>
      <c r="I269" s="39"/>
      <c r="J269" s="39"/>
      <c r="K269" s="39"/>
      <c r="M269" s="19"/>
    </row>
    <row r="270" spans="2:13" s="11" customFormat="1" x14ac:dyDescent="0.2">
      <c r="B270" s="24">
        <v>1892.05</v>
      </c>
      <c r="C270" s="25">
        <v>5.57</v>
      </c>
      <c r="D270" s="40"/>
      <c r="E270" s="40"/>
      <c r="F270" s="12"/>
      <c r="G270" s="18"/>
      <c r="H270" s="12"/>
      <c r="I270" s="39"/>
      <c r="J270" s="39"/>
      <c r="K270" s="39"/>
      <c r="M270" s="19"/>
    </row>
    <row r="271" spans="2:13" s="11" customFormat="1" x14ac:dyDescent="0.2">
      <c r="B271" s="24">
        <v>1892.06</v>
      </c>
      <c r="C271" s="25">
        <v>5.54</v>
      </c>
      <c r="D271" s="40"/>
      <c r="E271" s="40"/>
      <c r="F271" s="12"/>
      <c r="G271" s="18"/>
      <c r="H271" s="12"/>
      <c r="I271" s="39"/>
      <c r="J271" s="39"/>
      <c r="K271" s="39"/>
      <c r="M271" s="19"/>
    </row>
    <row r="272" spans="2:13" s="11" customFormat="1" x14ac:dyDescent="0.2">
      <c r="B272" s="24">
        <v>1892.07</v>
      </c>
      <c r="C272" s="25">
        <v>5.54</v>
      </c>
      <c r="D272" s="40"/>
      <c r="E272" s="40"/>
      <c r="F272" s="12"/>
      <c r="G272" s="18"/>
      <c r="H272" s="12"/>
      <c r="I272" s="39"/>
      <c r="J272" s="39"/>
      <c r="K272" s="39"/>
      <c r="M272" s="19"/>
    </row>
    <row r="273" spans="2:13" s="11" customFormat="1" x14ac:dyDescent="0.2">
      <c r="B273" s="24">
        <v>1892.08</v>
      </c>
      <c r="C273" s="25">
        <v>5.62</v>
      </c>
      <c r="D273" s="40"/>
      <c r="E273" s="40"/>
      <c r="F273" s="12"/>
      <c r="G273" s="18"/>
      <c r="H273" s="12"/>
      <c r="I273" s="39"/>
      <c r="J273" s="39"/>
      <c r="K273" s="39"/>
      <c r="M273" s="19"/>
    </row>
    <row r="274" spans="2:13" s="11" customFormat="1" x14ac:dyDescent="0.2">
      <c r="B274" s="24">
        <v>1892.09</v>
      </c>
      <c r="C274" s="25">
        <v>5.48</v>
      </c>
      <c r="D274" s="40"/>
      <c r="E274" s="40"/>
      <c r="F274" s="12"/>
      <c r="G274" s="18"/>
      <c r="H274" s="12"/>
      <c r="I274" s="39"/>
      <c r="J274" s="39"/>
      <c r="K274" s="39"/>
      <c r="M274" s="19"/>
    </row>
    <row r="275" spans="2:13" s="11" customFormat="1" x14ac:dyDescent="0.2">
      <c r="B275" s="24">
        <v>1892.1</v>
      </c>
      <c r="C275" s="25">
        <v>5.59</v>
      </c>
      <c r="D275" s="40"/>
      <c r="E275" s="40"/>
      <c r="F275" s="12"/>
      <c r="G275" s="18"/>
      <c r="H275" s="12"/>
      <c r="I275" s="39"/>
      <c r="J275" s="39"/>
      <c r="K275" s="39"/>
      <c r="M275" s="19"/>
    </row>
    <row r="276" spans="2:13" s="11" customFormat="1" x14ac:dyDescent="0.2">
      <c r="B276" s="24">
        <v>1892.11</v>
      </c>
      <c r="C276" s="25">
        <v>5.57</v>
      </c>
      <c r="D276" s="40"/>
      <c r="E276" s="40"/>
      <c r="F276" s="12"/>
      <c r="G276" s="18"/>
      <c r="H276" s="12"/>
      <c r="I276" s="39"/>
      <c r="J276" s="39"/>
      <c r="K276" s="39"/>
      <c r="M276" s="19"/>
    </row>
    <row r="277" spans="2:13" s="11" customFormat="1" x14ac:dyDescent="0.2">
      <c r="B277" s="24">
        <v>1892.12</v>
      </c>
      <c r="C277" s="25">
        <v>5.51</v>
      </c>
      <c r="D277" s="40"/>
      <c r="E277" s="40"/>
      <c r="F277" s="12"/>
      <c r="G277" s="18"/>
      <c r="H277" s="12"/>
      <c r="I277" s="39"/>
      <c r="J277" s="39"/>
      <c r="K277" s="39"/>
      <c r="M277" s="19"/>
    </row>
    <row r="278" spans="2:13" s="11" customFormat="1" x14ac:dyDescent="0.2">
      <c r="B278" s="24">
        <v>1893.01</v>
      </c>
      <c r="C278" s="25">
        <v>5.61</v>
      </c>
      <c r="D278" s="40"/>
      <c r="E278" s="40"/>
      <c r="F278" s="12"/>
      <c r="G278" s="18"/>
      <c r="H278" s="12"/>
      <c r="I278" s="39"/>
      <c r="J278" s="39"/>
      <c r="K278" s="39"/>
      <c r="M278" s="19"/>
    </row>
    <row r="279" spans="2:13" s="11" customFormat="1" x14ac:dyDescent="0.2">
      <c r="B279" s="24">
        <v>1893.02</v>
      </c>
      <c r="C279" s="25">
        <v>5.51</v>
      </c>
      <c r="D279" s="40"/>
      <c r="E279" s="40"/>
      <c r="F279" s="12"/>
      <c r="G279" s="18"/>
      <c r="H279" s="12"/>
      <c r="I279" s="39"/>
      <c r="J279" s="39"/>
      <c r="K279" s="39"/>
      <c r="M279" s="19"/>
    </row>
    <row r="280" spans="2:13" s="11" customFormat="1" x14ac:dyDescent="0.2">
      <c r="B280" s="24">
        <v>1893.03</v>
      </c>
      <c r="C280" s="25">
        <v>5.31</v>
      </c>
      <c r="D280" s="40"/>
      <c r="E280" s="40"/>
      <c r="F280" s="12"/>
      <c r="G280" s="18"/>
      <c r="H280" s="12"/>
      <c r="I280" s="39"/>
      <c r="J280" s="39"/>
      <c r="K280" s="39"/>
      <c r="M280" s="19"/>
    </row>
    <row r="281" spans="2:13" s="11" customFormat="1" x14ac:dyDescent="0.2">
      <c r="B281" s="24">
        <v>1893.04</v>
      </c>
      <c r="C281" s="25">
        <v>5.31</v>
      </c>
      <c r="D281" s="40"/>
      <c r="E281" s="40"/>
      <c r="F281" s="12"/>
      <c r="G281" s="18"/>
      <c r="H281" s="12"/>
      <c r="I281" s="39"/>
      <c r="J281" s="39"/>
      <c r="K281" s="39"/>
      <c r="M281" s="19"/>
    </row>
    <row r="282" spans="2:13" s="11" customFormat="1" x14ac:dyDescent="0.2">
      <c r="B282" s="24">
        <v>1893.05</v>
      </c>
      <c r="C282" s="25">
        <v>4.84</v>
      </c>
      <c r="D282" s="40"/>
      <c r="E282" s="40"/>
      <c r="F282" s="12"/>
      <c r="G282" s="18"/>
      <c r="H282" s="12"/>
      <c r="I282" s="39"/>
      <c r="J282" s="39"/>
      <c r="K282" s="39"/>
      <c r="M282" s="19"/>
    </row>
    <row r="283" spans="2:13" s="11" customFormat="1" x14ac:dyDescent="0.2">
      <c r="B283" s="24">
        <v>1893.06</v>
      </c>
      <c r="C283" s="25">
        <v>4.6100000000000003</v>
      </c>
      <c r="D283" s="40"/>
      <c r="E283" s="40"/>
      <c r="F283" s="12"/>
      <c r="G283" s="18"/>
      <c r="H283" s="12"/>
      <c r="I283" s="39"/>
      <c r="J283" s="39"/>
      <c r="K283" s="39"/>
      <c r="M283" s="19"/>
    </row>
    <row r="284" spans="2:13" s="11" customFormat="1" x14ac:dyDescent="0.2">
      <c r="B284" s="24">
        <v>1893.07</v>
      </c>
      <c r="C284" s="25">
        <v>4.18</v>
      </c>
      <c r="D284" s="40"/>
      <c r="E284" s="40"/>
      <c r="F284" s="12"/>
      <c r="G284" s="18"/>
      <c r="H284" s="12"/>
      <c r="I284" s="39"/>
      <c r="J284" s="39"/>
      <c r="K284" s="39"/>
      <c r="M284" s="19"/>
    </row>
    <row r="285" spans="2:13" s="11" customFormat="1" x14ac:dyDescent="0.2">
      <c r="B285" s="24">
        <v>1893.08</v>
      </c>
      <c r="C285" s="25">
        <v>4.08</v>
      </c>
      <c r="D285" s="40"/>
      <c r="E285" s="40"/>
      <c r="F285" s="12"/>
      <c r="G285" s="18"/>
      <c r="H285" s="12"/>
      <c r="I285" s="39"/>
      <c r="J285" s="39"/>
      <c r="K285" s="39"/>
      <c r="M285" s="19"/>
    </row>
    <row r="286" spans="2:13" s="11" customFormat="1" x14ac:dyDescent="0.2">
      <c r="B286" s="24">
        <v>1893.09</v>
      </c>
      <c r="C286" s="25">
        <v>4.37</v>
      </c>
      <c r="D286" s="40"/>
      <c r="E286" s="40"/>
      <c r="F286" s="12"/>
      <c r="G286" s="18"/>
      <c r="H286" s="12"/>
      <c r="I286" s="39"/>
      <c r="J286" s="39"/>
      <c r="K286" s="39"/>
      <c r="M286" s="19"/>
    </row>
    <row r="287" spans="2:13" s="11" customFormat="1" x14ac:dyDescent="0.2">
      <c r="B287" s="24">
        <v>1893.1</v>
      </c>
      <c r="C287" s="25">
        <v>4.5</v>
      </c>
      <c r="D287" s="40"/>
      <c r="E287" s="40"/>
      <c r="F287" s="12"/>
      <c r="G287" s="18"/>
      <c r="H287" s="12"/>
      <c r="I287" s="39"/>
      <c r="J287" s="39"/>
      <c r="K287" s="39"/>
      <c r="M287" s="19"/>
    </row>
    <row r="288" spans="2:13" s="11" customFormat="1" x14ac:dyDescent="0.2">
      <c r="B288" s="24">
        <v>1893.11</v>
      </c>
      <c r="C288" s="25">
        <v>4.57</v>
      </c>
      <c r="D288" s="40"/>
      <c r="E288" s="40"/>
      <c r="F288" s="12"/>
      <c r="G288" s="18"/>
      <c r="H288" s="12"/>
      <c r="I288" s="39"/>
      <c r="J288" s="39"/>
      <c r="K288" s="39"/>
      <c r="M288" s="19"/>
    </row>
    <row r="289" spans="2:13" s="11" customFormat="1" x14ac:dyDescent="0.2">
      <c r="B289" s="24">
        <v>1893.12</v>
      </c>
      <c r="C289" s="25">
        <v>4.41</v>
      </c>
      <c r="D289" s="40"/>
      <c r="E289" s="40"/>
      <c r="F289" s="12"/>
      <c r="G289" s="18"/>
      <c r="H289" s="12"/>
      <c r="I289" s="39"/>
      <c r="J289" s="39"/>
      <c r="K289" s="39"/>
      <c r="M289" s="19"/>
    </row>
    <row r="290" spans="2:13" s="11" customFormat="1" x14ac:dyDescent="0.2">
      <c r="B290" s="24">
        <v>1894.01</v>
      </c>
      <c r="C290" s="25">
        <v>4.32</v>
      </c>
      <c r="D290" s="40"/>
      <c r="E290" s="40"/>
      <c r="F290" s="12"/>
      <c r="G290" s="18"/>
      <c r="H290" s="12"/>
      <c r="I290" s="39"/>
      <c r="J290" s="39"/>
      <c r="K290" s="39"/>
      <c r="M290" s="19"/>
    </row>
    <row r="291" spans="2:13" s="11" customFormat="1" x14ac:dyDescent="0.2">
      <c r="B291" s="24">
        <v>1894.02</v>
      </c>
      <c r="C291" s="25">
        <v>4.38</v>
      </c>
      <c r="D291" s="40"/>
      <c r="E291" s="40"/>
      <c r="F291" s="12"/>
      <c r="G291" s="18"/>
      <c r="H291" s="12"/>
      <c r="I291" s="39"/>
      <c r="J291" s="39"/>
      <c r="K291" s="39"/>
      <c r="M291" s="19"/>
    </row>
    <row r="292" spans="2:13" s="11" customFormat="1" x14ac:dyDescent="0.2">
      <c r="B292" s="24">
        <v>1894.03</v>
      </c>
      <c r="C292" s="25">
        <v>4.51</v>
      </c>
      <c r="D292" s="40"/>
      <c r="E292" s="40"/>
      <c r="F292" s="12"/>
      <c r="G292" s="18"/>
      <c r="H292" s="12"/>
      <c r="I292" s="39"/>
      <c r="J292" s="39"/>
      <c r="K292" s="39"/>
      <c r="M292" s="19"/>
    </row>
    <row r="293" spans="2:13" s="11" customFormat="1" x14ac:dyDescent="0.2">
      <c r="B293" s="24">
        <v>1894.04</v>
      </c>
      <c r="C293" s="25">
        <v>4.57</v>
      </c>
      <c r="D293" s="40"/>
      <c r="E293" s="40"/>
      <c r="F293" s="12"/>
      <c r="G293" s="18"/>
      <c r="H293" s="12"/>
      <c r="I293" s="39"/>
      <c r="J293" s="39"/>
      <c r="K293" s="39"/>
      <c r="M293" s="19"/>
    </row>
    <row r="294" spans="2:13" s="11" customFormat="1" x14ac:dyDescent="0.2">
      <c r="B294" s="24">
        <v>1894.05</v>
      </c>
      <c r="C294" s="25">
        <v>4.4000000000000004</v>
      </c>
      <c r="D294" s="40"/>
      <c r="E294" s="40"/>
      <c r="F294" s="12"/>
      <c r="G294" s="18"/>
      <c r="H294" s="12"/>
      <c r="I294" s="39"/>
      <c r="J294" s="39"/>
      <c r="K294" s="39"/>
      <c r="M294" s="19"/>
    </row>
    <row r="295" spans="2:13" s="11" customFormat="1" x14ac:dyDescent="0.2">
      <c r="B295" s="24">
        <v>1894.06</v>
      </c>
      <c r="C295" s="25">
        <v>4.34</v>
      </c>
      <c r="D295" s="40"/>
      <c r="E295" s="40"/>
      <c r="F295" s="12"/>
      <c r="G295" s="18"/>
      <c r="H295" s="12"/>
      <c r="I295" s="39"/>
      <c r="J295" s="39"/>
      <c r="K295" s="39"/>
      <c r="M295" s="19"/>
    </row>
    <row r="296" spans="2:13" s="11" customFormat="1" x14ac:dyDescent="0.2">
      <c r="B296" s="24">
        <v>1894.07</v>
      </c>
      <c r="C296" s="25">
        <v>4.25</v>
      </c>
      <c r="D296" s="40"/>
      <c r="E296" s="40"/>
      <c r="F296" s="12"/>
      <c r="G296" s="18"/>
      <c r="H296" s="12"/>
      <c r="I296" s="39"/>
      <c r="J296" s="39"/>
      <c r="K296" s="39"/>
      <c r="M296" s="19"/>
    </row>
    <row r="297" spans="2:13" s="11" customFormat="1" x14ac:dyDescent="0.2">
      <c r="B297" s="24">
        <v>1894.08</v>
      </c>
      <c r="C297" s="25">
        <v>4.41</v>
      </c>
      <c r="D297" s="40"/>
      <c r="E297" s="40"/>
      <c r="F297" s="12"/>
      <c r="G297" s="18"/>
      <c r="H297" s="12"/>
      <c r="I297" s="39"/>
      <c r="J297" s="39"/>
      <c r="K297" s="39"/>
      <c r="M297" s="19"/>
    </row>
    <row r="298" spans="2:13" s="11" customFormat="1" x14ac:dyDescent="0.2">
      <c r="B298" s="24">
        <v>1894.09</v>
      </c>
      <c r="C298" s="25">
        <v>4.4800000000000004</v>
      </c>
      <c r="D298" s="40"/>
      <c r="E298" s="40"/>
      <c r="F298" s="12"/>
      <c r="G298" s="18"/>
      <c r="H298" s="12"/>
      <c r="I298" s="39"/>
      <c r="J298" s="39"/>
      <c r="K298" s="39"/>
      <c r="M298" s="19"/>
    </row>
    <row r="299" spans="2:13" s="11" customFormat="1" x14ac:dyDescent="0.2">
      <c r="B299" s="24">
        <v>1894.1</v>
      </c>
      <c r="C299" s="25">
        <v>4.34</v>
      </c>
      <c r="D299" s="40"/>
      <c r="E299" s="40"/>
      <c r="F299" s="12"/>
      <c r="G299" s="18"/>
      <c r="H299" s="12"/>
      <c r="I299" s="39"/>
      <c r="J299" s="39"/>
      <c r="K299" s="39"/>
      <c r="M299" s="19"/>
    </row>
    <row r="300" spans="2:13" s="11" customFormat="1" x14ac:dyDescent="0.2">
      <c r="B300" s="24">
        <v>1894.11</v>
      </c>
      <c r="C300" s="25">
        <v>4.34</v>
      </c>
      <c r="D300" s="40"/>
      <c r="E300" s="40"/>
      <c r="F300" s="12"/>
      <c r="G300" s="18"/>
      <c r="H300" s="12"/>
      <c r="I300" s="39"/>
      <c r="J300" s="39"/>
      <c r="K300" s="39"/>
      <c r="M300" s="19"/>
    </row>
    <row r="301" spans="2:13" s="11" customFormat="1" x14ac:dyDescent="0.2">
      <c r="B301" s="24">
        <v>1894.12</v>
      </c>
      <c r="C301" s="25">
        <v>4.3</v>
      </c>
      <c r="D301" s="40"/>
      <c r="E301" s="40"/>
      <c r="F301" s="12"/>
      <c r="G301" s="18"/>
      <c r="H301" s="12"/>
      <c r="I301" s="39"/>
      <c r="J301" s="39"/>
      <c r="K301" s="39"/>
      <c r="M301" s="19"/>
    </row>
    <row r="302" spans="2:13" s="11" customFormat="1" x14ac:dyDescent="0.2">
      <c r="B302" s="24">
        <v>1895.01</v>
      </c>
      <c r="C302" s="25">
        <v>4.25</v>
      </c>
      <c r="D302" s="40"/>
      <c r="E302" s="40"/>
      <c r="F302" s="12"/>
      <c r="G302" s="18"/>
      <c r="H302" s="12"/>
      <c r="I302" s="39"/>
      <c r="J302" s="39"/>
      <c r="K302" s="39"/>
      <c r="M302" s="19"/>
    </row>
    <row r="303" spans="2:13" s="11" customFormat="1" x14ac:dyDescent="0.2">
      <c r="B303" s="24">
        <v>1895.02</v>
      </c>
      <c r="C303" s="25">
        <v>4.1900000000000004</v>
      </c>
      <c r="D303" s="40"/>
      <c r="E303" s="40"/>
      <c r="F303" s="12"/>
      <c r="G303" s="18"/>
      <c r="H303" s="12"/>
      <c r="I303" s="39"/>
      <c r="J303" s="39"/>
      <c r="K303" s="39"/>
      <c r="M303" s="19"/>
    </row>
    <row r="304" spans="2:13" s="11" customFormat="1" x14ac:dyDescent="0.2">
      <c r="B304" s="24">
        <v>1895.03</v>
      </c>
      <c r="C304" s="25">
        <v>4.1900000000000004</v>
      </c>
      <c r="D304" s="40"/>
      <c r="E304" s="40"/>
      <c r="F304" s="12"/>
      <c r="G304" s="18"/>
      <c r="H304" s="12"/>
      <c r="I304" s="39"/>
      <c r="J304" s="39"/>
      <c r="K304" s="39"/>
      <c r="M304" s="19"/>
    </row>
    <row r="305" spans="2:13" s="11" customFormat="1" x14ac:dyDescent="0.2">
      <c r="B305" s="24">
        <v>1895.04</v>
      </c>
      <c r="C305" s="25">
        <v>4.37</v>
      </c>
      <c r="D305" s="40"/>
      <c r="E305" s="40"/>
      <c r="F305" s="12"/>
      <c r="G305" s="18"/>
      <c r="H305" s="12"/>
      <c r="I305" s="39"/>
      <c r="J305" s="39"/>
      <c r="K305" s="39"/>
      <c r="M305" s="19"/>
    </row>
    <row r="306" spans="2:13" s="11" customFormat="1" x14ac:dyDescent="0.2">
      <c r="B306" s="24">
        <v>1895.05</v>
      </c>
      <c r="C306" s="25">
        <v>4.6100000000000003</v>
      </c>
      <c r="D306" s="40"/>
      <c r="E306" s="40"/>
      <c r="F306" s="12"/>
      <c r="G306" s="18"/>
      <c r="H306" s="12"/>
      <c r="I306" s="39"/>
      <c r="J306" s="39"/>
      <c r="K306" s="39"/>
      <c r="M306" s="19"/>
    </row>
    <row r="307" spans="2:13" s="11" customFormat="1" x14ac:dyDescent="0.2">
      <c r="B307" s="24">
        <v>1895.06</v>
      </c>
      <c r="C307" s="25">
        <v>4.7</v>
      </c>
      <c r="D307" s="40"/>
      <c r="E307" s="40"/>
      <c r="F307" s="12"/>
      <c r="G307" s="18"/>
      <c r="H307" s="12"/>
      <c r="I307" s="39"/>
      <c r="J307" s="39"/>
      <c r="K307" s="39"/>
      <c r="M307" s="19"/>
    </row>
    <row r="308" spans="2:13" s="11" customFormat="1" x14ac:dyDescent="0.2">
      <c r="B308" s="24">
        <v>1895.07</v>
      </c>
      <c r="C308" s="25">
        <v>4.72</v>
      </c>
      <c r="D308" s="40"/>
      <c r="E308" s="40"/>
      <c r="F308" s="12"/>
      <c r="G308" s="18"/>
      <c r="H308" s="12"/>
      <c r="I308" s="39"/>
      <c r="J308" s="39"/>
      <c r="K308" s="39"/>
      <c r="M308" s="19"/>
    </row>
    <row r="309" spans="2:13" s="11" customFormat="1" x14ac:dyDescent="0.2">
      <c r="B309" s="24">
        <v>1895.08</v>
      </c>
      <c r="C309" s="25">
        <v>4.79</v>
      </c>
      <c r="D309" s="40"/>
      <c r="E309" s="40"/>
      <c r="F309" s="12"/>
      <c r="G309" s="18"/>
      <c r="H309" s="12"/>
      <c r="I309" s="39"/>
      <c r="J309" s="39"/>
      <c r="K309" s="39"/>
      <c r="M309" s="19"/>
    </row>
    <row r="310" spans="2:13" s="11" customFormat="1" x14ac:dyDescent="0.2">
      <c r="B310" s="24">
        <v>1895.09</v>
      </c>
      <c r="C310" s="25">
        <v>4.82</v>
      </c>
      <c r="D310" s="40"/>
      <c r="E310" s="40"/>
      <c r="F310" s="12"/>
      <c r="G310" s="18"/>
      <c r="H310" s="12"/>
      <c r="I310" s="39"/>
      <c r="J310" s="39"/>
      <c r="K310" s="39"/>
      <c r="M310" s="19"/>
    </row>
    <row r="311" spans="2:13" s="11" customFormat="1" x14ac:dyDescent="0.2">
      <c r="B311" s="24">
        <v>1895.1</v>
      </c>
      <c r="C311" s="25">
        <v>4.75</v>
      </c>
      <c r="D311" s="40"/>
      <c r="E311" s="40"/>
      <c r="F311" s="12"/>
      <c r="G311" s="18"/>
      <c r="H311" s="12"/>
      <c r="I311" s="39"/>
      <c r="J311" s="39"/>
      <c r="K311" s="39"/>
      <c r="M311" s="19"/>
    </row>
    <row r="312" spans="2:13" s="11" customFormat="1" x14ac:dyDescent="0.2">
      <c r="B312" s="24">
        <v>1895.11</v>
      </c>
      <c r="C312" s="25">
        <v>4.59</v>
      </c>
      <c r="D312" s="40"/>
      <c r="E312" s="40"/>
      <c r="F312" s="12"/>
      <c r="G312" s="18"/>
      <c r="H312" s="12"/>
      <c r="I312" s="39"/>
      <c r="J312" s="39"/>
      <c r="K312" s="39"/>
      <c r="M312" s="19"/>
    </row>
    <row r="313" spans="2:13" s="11" customFormat="1" x14ac:dyDescent="0.2">
      <c r="B313" s="24">
        <v>1895.12</v>
      </c>
      <c r="C313" s="25">
        <v>4.32</v>
      </c>
      <c r="D313" s="40"/>
      <c r="E313" s="40"/>
      <c r="F313" s="12"/>
      <c r="G313" s="18"/>
      <c r="H313" s="12"/>
      <c r="I313" s="39"/>
      <c r="J313" s="39"/>
      <c r="K313" s="39"/>
      <c r="M313" s="19"/>
    </row>
    <row r="314" spans="2:13" s="11" customFormat="1" x14ac:dyDescent="0.2">
      <c r="B314" s="24">
        <v>1896.01</v>
      </c>
      <c r="C314" s="25">
        <v>4.2699999999999996</v>
      </c>
      <c r="D314" s="40"/>
      <c r="E314" s="40"/>
      <c r="F314" s="12"/>
      <c r="G314" s="18"/>
      <c r="H314" s="12"/>
      <c r="I314" s="39"/>
      <c r="J314" s="39"/>
      <c r="K314" s="39"/>
      <c r="M314" s="19"/>
    </row>
    <row r="315" spans="2:13" s="11" customFormat="1" x14ac:dyDescent="0.2">
      <c r="B315" s="24">
        <v>1896.02</v>
      </c>
      <c r="C315" s="25">
        <v>4.45</v>
      </c>
      <c r="D315" s="40"/>
      <c r="E315" s="40"/>
      <c r="F315" s="12"/>
      <c r="G315" s="18"/>
      <c r="H315" s="12"/>
      <c r="I315" s="39"/>
      <c r="J315" s="39"/>
      <c r="K315" s="39"/>
      <c r="M315" s="19"/>
    </row>
    <row r="316" spans="2:13" s="11" customFormat="1" x14ac:dyDescent="0.2">
      <c r="B316" s="24">
        <v>1896.03</v>
      </c>
      <c r="C316" s="25">
        <v>4.38</v>
      </c>
      <c r="D316" s="40"/>
      <c r="E316" s="40"/>
      <c r="F316" s="12"/>
      <c r="G316" s="18"/>
      <c r="H316" s="12"/>
      <c r="I316" s="39"/>
      <c r="J316" s="39"/>
      <c r="K316" s="39"/>
      <c r="M316" s="19"/>
    </row>
    <row r="317" spans="2:13" s="11" customFormat="1" x14ac:dyDescent="0.2">
      <c r="B317" s="24">
        <v>1896.04</v>
      </c>
      <c r="C317" s="25">
        <v>4.42</v>
      </c>
      <c r="D317" s="40"/>
      <c r="E317" s="40"/>
      <c r="F317" s="12"/>
      <c r="G317" s="18"/>
      <c r="H317" s="12"/>
      <c r="I317" s="39"/>
      <c r="J317" s="39"/>
      <c r="K317" s="39"/>
      <c r="M317" s="19"/>
    </row>
    <row r="318" spans="2:13" s="11" customFormat="1" x14ac:dyDescent="0.2">
      <c r="B318" s="24">
        <v>1896.05</v>
      </c>
      <c r="C318" s="25">
        <v>4.4000000000000004</v>
      </c>
      <c r="D318" s="40"/>
      <c r="E318" s="40"/>
      <c r="F318" s="12"/>
      <c r="G318" s="18"/>
      <c r="H318" s="12"/>
      <c r="I318" s="39"/>
      <c r="J318" s="39"/>
      <c r="K318" s="39"/>
      <c r="M318" s="19"/>
    </row>
    <row r="319" spans="2:13" s="11" customFormat="1" x14ac:dyDescent="0.2">
      <c r="B319" s="24">
        <v>1896.06</v>
      </c>
      <c r="C319" s="25">
        <v>4.32</v>
      </c>
      <c r="D319" s="40"/>
      <c r="E319" s="40"/>
      <c r="F319" s="12"/>
      <c r="G319" s="18"/>
      <c r="H319" s="12"/>
      <c r="I319" s="39"/>
      <c r="J319" s="39"/>
      <c r="K319" s="39"/>
      <c r="M319" s="19"/>
    </row>
    <row r="320" spans="2:13" s="11" customFormat="1" x14ac:dyDescent="0.2">
      <c r="B320" s="24">
        <v>1896.07</v>
      </c>
      <c r="C320" s="25">
        <v>4.04</v>
      </c>
      <c r="D320" s="40"/>
      <c r="E320" s="40"/>
      <c r="F320" s="12"/>
      <c r="G320" s="18"/>
      <c r="H320" s="12"/>
      <c r="I320" s="39"/>
      <c r="J320" s="39"/>
      <c r="K320" s="39"/>
      <c r="M320" s="19"/>
    </row>
    <row r="321" spans="2:13" s="11" customFormat="1" x14ac:dyDescent="0.2">
      <c r="B321" s="24">
        <v>1896.08</v>
      </c>
      <c r="C321" s="25">
        <v>3.81</v>
      </c>
      <c r="D321" s="40"/>
      <c r="E321" s="40"/>
      <c r="F321" s="12"/>
      <c r="G321" s="18"/>
      <c r="H321" s="12"/>
      <c r="I321" s="39"/>
      <c r="J321" s="39"/>
      <c r="K321" s="39"/>
      <c r="M321" s="19"/>
    </row>
    <row r="322" spans="2:13" s="11" customFormat="1" x14ac:dyDescent="0.2">
      <c r="B322" s="24">
        <v>1896.09</v>
      </c>
      <c r="C322" s="25">
        <v>4.01</v>
      </c>
      <c r="D322" s="40"/>
      <c r="E322" s="40"/>
      <c r="F322" s="12"/>
      <c r="G322" s="18"/>
      <c r="H322" s="12"/>
      <c r="I322" s="39"/>
      <c r="J322" s="39"/>
      <c r="K322" s="39"/>
      <c r="M322" s="19"/>
    </row>
    <row r="323" spans="2:13" s="11" customFormat="1" x14ac:dyDescent="0.2">
      <c r="B323" s="24">
        <v>1896.1</v>
      </c>
      <c r="C323" s="25">
        <v>4.0999999999999996</v>
      </c>
      <c r="D323" s="40"/>
      <c r="E323" s="40"/>
      <c r="F323" s="12"/>
      <c r="G323" s="18"/>
      <c r="H323" s="12"/>
      <c r="I323" s="39"/>
      <c r="J323" s="39"/>
      <c r="K323" s="39"/>
      <c r="M323" s="19"/>
    </row>
    <row r="324" spans="2:13" s="11" customFormat="1" x14ac:dyDescent="0.2">
      <c r="B324" s="24">
        <v>1896.11</v>
      </c>
      <c r="C324" s="25">
        <v>4.38</v>
      </c>
      <c r="D324" s="40"/>
      <c r="E324" s="40"/>
      <c r="F324" s="12"/>
      <c r="G324" s="18"/>
      <c r="H324" s="12"/>
      <c r="I324" s="39"/>
      <c r="J324" s="39"/>
      <c r="K324" s="39"/>
      <c r="M324" s="19"/>
    </row>
    <row r="325" spans="2:13" s="11" customFormat="1" x14ac:dyDescent="0.2">
      <c r="B325" s="24">
        <v>1896.12</v>
      </c>
      <c r="C325" s="25">
        <v>4.22</v>
      </c>
      <c r="D325" s="40"/>
      <c r="E325" s="40"/>
      <c r="F325" s="12"/>
      <c r="G325" s="18"/>
      <c r="H325" s="12"/>
      <c r="I325" s="39"/>
      <c r="J325" s="39"/>
      <c r="K325" s="39"/>
      <c r="M325" s="19"/>
    </row>
    <row r="326" spans="2:13" s="11" customFormat="1" x14ac:dyDescent="0.2">
      <c r="B326" s="24">
        <v>1897.01</v>
      </c>
      <c r="C326" s="25">
        <v>4.22</v>
      </c>
      <c r="D326" s="40"/>
      <c r="E326" s="40"/>
      <c r="F326" s="12"/>
      <c r="G326" s="18"/>
      <c r="H326" s="12"/>
      <c r="I326" s="39"/>
      <c r="J326" s="39"/>
      <c r="K326" s="39"/>
      <c r="M326" s="19"/>
    </row>
    <row r="327" spans="2:13" s="11" customFormat="1" x14ac:dyDescent="0.2">
      <c r="B327" s="24">
        <v>1897.02</v>
      </c>
      <c r="C327" s="25">
        <v>4.18</v>
      </c>
      <c r="D327" s="40"/>
      <c r="E327" s="40"/>
      <c r="F327" s="12"/>
      <c r="G327" s="18"/>
      <c r="H327" s="12"/>
      <c r="I327" s="39"/>
      <c r="J327" s="39"/>
      <c r="K327" s="39"/>
      <c r="M327" s="19"/>
    </row>
    <row r="328" spans="2:13" s="11" customFormat="1" x14ac:dyDescent="0.2">
      <c r="B328" s="24">
        <v>1897.03</v>
      </c>
      <c r="C328" s="25">
        <v>4.1900000000000004</v>
      </c>
      <c r="D328" s="40"/>
      <c r="E328" s="40"/>
      <c r="F328" s="12"/>
      <c r="G328" s="18"/>
      <c r="H328" s="12"/>
      <c r="I328" s="39"/>
      <c r="J328" s="39"/>
      <c r="K328" s="39"/>
      <c r="M328" s="19"/>
    </row>
    <row r="329" spans="2:13" s="11" customFormat="1" x14ac:dyDescent="0.2">
      <c r="B329" s="24">
        <v>1897.04</v>
      </c>
      <c r="C329" s="25">
        <v>4.0599999999999996</v>
      </c>
      <c r="D329" s="40"/>
      <c r="E329" s="40"/>
      <c r="F329" s="12"/>
      <c r="G329" s="18"/>
      <c r="H329" s="12"/>
      <c r="I329" s="39"/>
      <c r="J329" s="39"/>
      <c r="K329" s="39"/>
      <c r="M329" s="19"/>
    </row>
    <row r="330" spans="2:13" s="11" customFormat="1" x14ac:dyDescent="0.2">
      <c r="B330" s="24">
        <v>1897.05</v>
      </c>
      <c r="C330" s="25">
        <v>4.08</v>
      </c>
      <c r="D330" s="40"/>
      <c r="E330" s="40"/>
      <c r="F330" s="12"/>
      <c r="G330" s="18"/>
      <c r="H330" s="12"/>
      <c r="I330" s="39"/>
      <c r="J330" s="39"/>
      <c r="K330" s="39"/>
      <c r="M330" s="19"/>
    </row>
    <row r="331" spans="2:13" s="11" customFormat="1" x14ac:dyDescent="0.2">
      <c r="B331" s="24">
        <v>1897.06</v>
      </c>
      <c r="C331" s="25">
        <v>4.2699999999999996</v>
      </c>
      <c r="D331" s="40"/>
      <c r="E331" s="40"/>
      <c r="F331" s="12"/>
      <c r="G331" s="18"/>
      <c r="H331" s="12"/>
      <c r="I331" s="39"/>
      <c r="J331" s="39"/>
      <c r="K331" s="39"/>
      <c r="M331" s="19"/>
    </row>
    <row r="332" spans="2:13" s="11" customFormat="1" x14ac:dyDescent="0.2">
      <c r="B332" s="24">
        <v>1897.07</v>
      </c>
      <c r="C332" s="25">
        <v>4.46</v>
      </c>
      <c r="D332" s="40"/>
      <c r="E332" s="40"/>
      <c r="F332" s="12"/>
      <c r="G332" s="18"/>
      <c r="H332" s="12"/>
      <c r="I332" s="39"/>
      <c r="J332" s="39"/>
      <c r="K332" s="39"/>
      <c r="M332" s="19"/>
    </row>
    <row r="333" spans="2:13" s="11" customFormat="1" x14ac:dyDescent="0.2">
      <c r="B333" s="24">
        <v>1897.08</v>
      </c>
      <c r="C333" s="25">
        <v>4.75</v>
      </c>
      <c r="D333" s="40"/>
      <c r="E333" s="40"/>
      <c r="F333" s="12"/>
      <c r="G333" s="18"/>
      <c r="H333" s="12"/>
      <c r="I333" s="39"/>
      <c r="J333" s="39"/>
      <c r="K333" s="39"/>
      <c r="M333" s="19"/>
    </row>
    <row r="334" spans="2:13" s="11" customFormat="1" x14ac:dyDescent="0.2">
      <c r="B334" s="24">
        <v>1897.09</v>
      </c>
      <c r="C334" s="25">
        <v>4.9800000000000004</v>
      </c>
      <c r="D334" s="40"/>
      <c r="E334" s="40"/>
      <c r="F334" s="12"/>
      <c r="G334" s="18"/>
      <c r="H334" s="12"/>
      <c r="I334" s="39"/>
      <c r="J334" s="39"/>
      <c r="K334" s="39"/>
      <c r="M334" s="19"/>
    </row>
    <row r="335" spans="2:13" s="11" customFormat="1" x14ac:dyDescent="0.2">
      <c r="B335" s="24">
        <v>1897.1</v>
      </c>
      <c r="C335" s="25">
        <v>4.82</v>
      </c>
      <c r="D335" s="40"/>
      <c r="E335" s="40"/>
      <c r="F335" s="12"/>
      <c r="G335" s="18"/>
      <c r="H335" s="12"/>
      <c r="I335" s="39"/>
      <c r="J335" s="39"/>
      <c r="K335" s="39"/>
      <c r="M335" s="19"/>
    </row>
    <row r="336" spans="2:13" s="11" customFormat="1" x14ac:dyDescent="0.2">
      <c r="B336" s="24">
        <v>1897.11</v>
      </c>
      <c r="C336" s="25">
        <v>4.6500000000000004</v>
      </c>
      <c r="D336" s="40"/>
      <c r="E336" s="40"/>
      <c r="F336" s="12"/>
      <c r="G336" s="18"/>
      <c r="H336" s="12"/>
      <c r="I336" s="39"/>
      <c r="J336" s="39"/>
      <c r="K336" s="39"/>
      <c r="M336" s="19"/>
    </row>
    <row r="337" spans="2:13" s="11" customFormat="1" x14ac:dyDescent="0.2">
      <c r="B337" s="24">
        <v>1897.12</v>
      </c>
      <c r="C337" s="25">
        <v>4.75</v>
      </c>
      <c r="D337" s="40"/>
      <c r="E337" s="40"/>
      <c r="F337" s="12"/>
      <c r="G337" s="18"/>
      <c r="H337" s="12"/>
      <c r="I337" s="39"/>
      <c r="J337" s="39"/>
      <c r="K337" s="39"/>
      <c r="M337" s="19"/>
    </row>
    <row r="338" spans="2:13" s="11" customFormat="1" x14ac:dyDescent="0.2">
      <c r="B338" s="24">
        <v>1898.01</v>
      </c>
      <c r="C338" s="25">
        <v>4.88</v>
      </c>
      <c r="D338" s="40"/>
      <c r="E338" s="40"/>
      <c r="F338" s="12"/>
      <c r="G338" s="18"/>
      <c r="H338" s="12"/>
      <c r="I338" s="39"/>
      <c r="J338" s="39"/>
      <c r="K338" s="39"/>
      <c r="M338" s="19"/>
    </row>
    <row r="339" spans="2:13" s="11" customFormat="1" x14ac:dyDescent="0.2">
      <c r="B339" s="24">
        <v>1898.02</v>
      </c>
      <c r="C339" s="25">
        <v>4.87</v>
      </c>
      <c r="D339" s="40"/>
      <c r="E339" s="40"/>
      <c r="F339" s="12"/>
      <c r="G339" s="18"/>
      <c r="H339" s="12"/>
      <c r="I339" s="39"/>
      <c r="J339" s="39"/>
      <c r="K339" s="39"/>
      <c r="M339" s="19"/>
    </row>
    <row r="340" spans="2:13" s="11" customFormat="1" x14ac:dyDescent="0.2">
      <c r="B340" s="24">
        <v>1898.03</v>
      </c>
      <c r="C340" s="25">
        <v>4.6500000000000004</v>
      </c>
      <c r="D340" s="40"/>
      <c r="E340" s="40"/>
      <c r="F340" s="12"/>
      <c r="G340" s="18"/>
      <c r="H340" s="12"/>
      <c r="I340" s="39"/>
      <c r="J340" s="39"/>
      <c r="K340" s="39"/>
      <c r="M340" s="19"/>
    </row>
    <row r="341" spans="2:13" s="11" customFormat="1" x14ac:dyDescent="0.2">
      <c r="B341" s="24">
        <v>1898.04</v>
      </c>
      <c r="C341" s="25">
        <v>4.57</v>
      </c>
      <c r="D341" s="40"/>
      <c r="E341" s="40"/>
      <c r="F341" s="12"/>
      <c r="G341" s="18"/>
      <c r="H341" s="12"/>
      <c r="I341" s="39"/>
      <c r="J341" s="39"/>
      <c r="K341" s="39"/>
      <c r="M341" s="19"/>
    </row>
    <row r="342" spans="2:13" s="11" customFormat="1" x14ac:dyDescent="0.2">
      <c r="B342" s="24">
        <v>1898.05</v>
      </c>
      <c r="C342" s="25">
        <v>4.87</v>
      </c>
      <c r="D342" s="40"/>
      <c r="E342" s="40"/>
      <c r="F342" s="12"/>
      <c r="G342" s="18"/>
      <c r="H342" s="12"/>
      <c r="I342" s="39"/>
      <c r="J342" s="39"/>
      <c r="K342" s="39"/>
      <c r="M342" s="19"/>
    </row>
    <row r="343" spans="2:13" s="11" customFormat="1" x14ac:dyDescent="0.2">
      <c r="B343" s="24">
        <v>1898.06</v>
      </c>
      <c r="C343" s="25">
        <v>5.0599999999999996</v>
      </c>
      <c r="D343" s="40"/>
      <c r="E343" s="40"/>
      <c r="F343" s="12"/>
      <c r="G343" s="18"/>
      <c r="H343" s="12"/>
      <c r="I343" s="39"/>
      <c r="J343" s="39"/>
      <c r="K343" s="39"/>
      <c r="M343" s="19"/>
    </row>
    <row r="344" spans="2:13" s="11" customFormat="1" x14ac:dyDescent="0.2">
      <c r="B344" s="24">
        <v>1898.07</v>
      </c>
      <c r="C344" s="25">
        <v>5.08</v>
      </c>
      <c r="D344" s="40"/>
      <c r="E344" s="40"/>
      <c r="F344" s="12"/>
      <c r="G344" s="18"/>
      <c r="H344" s="12"/>
      <c r="I344" s="39"/>
      <c r="J344" s="39"/>
      <c r="K344" s="39"/>
      <c r="M344" s="19"/>
    </row>
    <row r="345" spans="2:13" s="11" customFormat="1" x14ac:dyDescent="0.2">
      <c r="B345" s="24">
        <v>1898.08</v>
      </c>
      <c r="C345" s="25">
        <v>5.27</v>
      </c>
      <c r="D345" s="40"/>
      <c r="E345" s="40"/>
      <c r="F345" s="12"/>
      <c r="G345" s="18"/>
      <c r="H345" s="12"/>
      <c r="I345" s="39"/>
      <c r="J345" s="39"/>
      <c r="K345" s="39"/>
      <c r="M345" s="19"/>
    </row>
    <row r="346" spans="2:13" s="11" customFormat="1" x14ac:dyDescent="0.2">
      <c r="B346" s="24">
        <v>1898.09</v>
      </c>
      <c r="C346" s="25">
        <v>5.26</v>
      </c>
      <c r="D346" s="40"/>
      <c r="E346" s="40"/>
      <c r="F346" s="12"/>
      <c r="G346" s="18"/>
      <c r="H346" s="12"/>
      <c r="I346" s="39"/>
      <c r="J346" s="39"/>
      <c r="K346" s="39"/>
      <c r="M346" s="19"/>
    </row>
    <row r="347" spans="2:13" s="11" customFormat="1" x14ac:dyDescent="0.2">
      <c r="B347" s="24">
        <v>1898.1</v>
      </c>
      <c r="C347" s="25">
        <v>5.15</v>
      </c>
      <c r="D347" s="40"/>
      <c r="E347" s="40"/>
      <c r="F347" s="12"/>
      <c r="G347" s="18"/>
      <c r="H347" s="12"/>
      <c r="I347" s="39"/>
      <c r="J347" s="39"/>
      <c r="K347" s="39"/>
      <c r="M347" s="19"/>
    </row>
    <row r="348" spans="2:13" s="11" customFormat="1" x14ac:dyDescent="0.2">
      <c r="B348" s="24">
        <v>1898.11</v>
      </c>
      <c r="C348" s="25">
        <v>5.32</v>
      </c>
      <c r="D348" s="40"/>
      <c r="E348" s="40"/>
      <c r="F348" s="12"/>
      <c r="G348" s="18"/>
      <c r="H348" s="12"/>
      <c r="I348" s="39"/>
      <c r="J348" s="39"/>
      <c r="K348" s="39"/>
      <c r="M348" s="19"/>
    </row>
    <row r="349" spans="2:13" s="11" customFormat="1" x14ac:dyDescent="0.2">
      <c r="B349" s="24">
        <v>1898.12</v>
      </c>
      <c r="C349" s="25">
        <v>5.65</v>
      </c>
      <c r="D349" s="40"/>
      <c r="E349" s="40"/>
      <c r="F349" s="12"/>
      <c r="G349" s="18"/>
      <c r="H349" s="12"/>
      <c r="I349" s="39"/>
      <c r="J349" s="39"/>
      <c r="K349" s="39"/>
      <c r="M349" s="19"/>
    </row>
    <row r="350" spans="2:13" s="11" customFormat="1" x14ac:dyDescent="0.2">
      <c r="B350" s="24">
        <v>1899.01</v>
      </c>
      <c r="C350" s="25">
        <v>6.08</v>
      </c>
      <c r="D350" s="40"/>
      <c r="E350" s="40"/>
      <c r="F350" s="12"/>
      <c r="G350" s="18"/>
      <c r="H350" s="12"/>
      <c r="I350" s="39"/>
      <c r="J350" s="39"/>
      <c r="K350" s="39"/>
      <c r="M350" s="19"/>
    </row>
    <row r="351" spans="2:13" s="11" customFormat="1" x14ac:dyDescent="0.2">
      <c r="B351" s="24">
        <v>1899.02</v>
      </c>
      <c r="C351" s="25">
        <v>6.31</v>
      </c>
      <c r="D351" s="40"/>
      <c r="E351" s="40"/>
      <c r="F351" s="12"/>
      <c r="G351" s="18"/>
      <c r="H351" s="12"/>
      <c r="I351" s="39"/>
      <c r="J351" s="39"/>
      <c r="K351" s="39"/>
      <c r="M351" s="19"/>
    </row>
    <row r="352" spans="2:13" s="11" customFormat="1" x14ac:dyDescent="0.2">
      <c r="B352" s="24">
        <v>1899.03</v>
      </c>
      <c r="C352" s="25">
        <v>6.4</v>
      </c>
      <c r="D352" s="40"/>
      <c r="E352" s="40"/>
      <c r="F352" s="12"/>
      <c r="G352" s="18"/>
      <c r="H352" s="12"/>
      <c r="I352" s="39"/>
      <c r="J352" s="39"/>
      <c r="K352" s="39"/>
      <c r="M352" s="19"/>
    </row>
    <row r="353" spans="2:13" s="11" customFormat="1" x14ac:dyDescent="0.2">
      <c r="B353" s="24">
        <v>1899.04</v>
      </c>
      <c r="C353" s="25">
        <v>6.48</v>
      </c>
      <c r="D353" s="40"/>
      <c r="E353" s="40"/>
      <c r="F353" s="12"/>
      <c r="G353" s="18"/>
      <c r="H353" s="12"/>
      <c r="I353" s="39"/>
      <c r="J353" s="39"/>
      <c r="K353" s="39"/>
      <c r="M353" s="19"/>
    </row>
    <row r="354" spans="2:13" s="11" customFormat="1" x14ac:dyDescent="0.2">
      <c r="B354" s="24">
        <v>1899.05</v>
      </c>
      <c r="C354" s="25">
        <v>6.21</v>
      </c>
      <c r="D354" s="40"/>
      <c r="E354" s="40"/>
      <c r="F354" s="12"/>
      <c r="G354" s="18"/>
      <c r="H354" s="12"/>
      <c r="I354" s="39"/>
      <c r="J354" s="39"/>
      <c r="K354" s="39"/>
      <c r="M354" s="19"/>
    </row>
    <row r="355" spans="2:13" s="11" customFormat="1" x14ac:dyDescent="0.2">
      <c r="B355" s="24">
        <v>1899.06</v>
      </c>
      <c r="C355" s="25">
        <v>6.07</v>
      </c>
      <c r="D355" s="40"/>
      <c r="E355" s="40"/>
      <c r="F355" s="12"/>
      <c r="G355" s="18"/>
      <c r="H355" s="12"/>
      <c r="I355" s="39"/>
      <c r="J355" s="39"/>
      <c r="K355" s="39"/>
      <c r="M355" s="19"/>
    </row>
    <row r="356" spans="2:13" s="11" customFormat="1" x14ac:dyDescent="0.2">
      <c r="B356" s="24">
        <v>1899.07</v>
      </c>
      <c r="C356" s="25">
        <v>6.28</v>
      </c>
      <c r="D356" s="40"/>
      <c r="E356" s="40"/>
      <c r="F356" s="12"/>
      <c r="G356" s="18"/>
      <c r="H356" s="12"/>
      <c r="I356" s="39"/>
      <c r="J356" s="39"/>
      <c r="K356" s="39"/>
      <c r="M356" s="19"/>
    </row>
    <row r="357" spans="2:13" s="11" customFormat="1" x14ac:dyDescent="0.2">
      <c r="B357" s="24">
        <v>1899.08</v>
      </c>
      <c r="C357" s="25">
        <v>6.44</v>
      </c>
      <c r="D357" s="40"/>
      <c r="E357" s="40"/>
      <c r="F357" s="12"/>
      <c r="G357" s="18"/>
      <c r="H357" s="12"/>
      <c r="I357" s="39"/>
      <c r="J357" s="39"/>
      <c r="K357" s="39"/>
      <c r="M357" s="19"/>
    </row>
    <row r="358" spans="2:13" s="11" customFormat="1" x14ac:dyDescent="0.2">
      <c r="B358" s="24">
        <v>1899.09</v>
      </c>
      <c r="C358" s="25">
        <v>6.37</v>
      </c>
      <c r="D358" s="40"/>
      <c r="E358" s="40"/>
      <c r="F358" s="12"/>
      <c r="G358" s="18"/>
      <c r="H358" s="12"/>
      <c r="I358" s="39"/>
      <c r="J358" s="39"/>
      <c r="K358" s="39"/>
      <c r="M358" s="19"/>
    </row>
    <row r="359" spans="2:13" s="11" customFormat="1" x14ac:dyDescent="0.2">
      <c r="B359" s="24">
        <v>1899.1</v>
      </c>
      <c r="C359" s="25">
        <v>6.34</v>
      </c>
      <c r="D359" s="40"/>
      <c r="E359" s="40"/>
      <c r="F359" s="12"/>
      <c r="G359" s="18"/>
      <c r="H359" s="12"/>
      <c r="I359" s="39"/>
      <c r="J359" s="39"/>
      <c r="K359" s="39"/>
      <c r="M359" s="19"/>
    </row>
    <row r="360" spans="2:13" s="11" customFormat="1" x14ac:dyDescent="0.2">
      <c r="B360" s="24">
        <v>1899.11</v>
      </c>
      <c r="C360" s="25">
        <v>6.46</v>
      </c>
      <c r="D360" s="40"/>
      <c r="E360" s="40"/>
      <c r="F360" s="12"/>
      <c r="G360" s="18"/>
      <c r="H360" s="12"/>
      <c r="I360" s="39"/>
      <c r="J360" s="39"/>
      <c r="K360" s="39"/>
      <c r="M360" s="19"/>
    </row>
    <row r="361" spans="2:13" s="11" customFormat="1" x14ac:dyDescent="0.2">
      <c r="B361" s="24">
        <v>1899.12</v>
      </c>
      <c r="C361" s="25">
        <v>6.02</v>
      </c>
      <c r="D361" s="40"/>
      <c r="E361" s="40"/>
      <c r="F361" s="12"/>
      <c r="G361" s="18"/>
      <c r="H361" s="12"/>
      <c r="I361" s="39"/>
      <c r="J361" s="39"/>
      <c r="K361" s="39"/>
      <c r="M361" s="19"/>
    </row>
    <row r="362" spans="2:13" s="11" customFormat="1" x14ac:dyDescent="0.2">
      <c r="B362" s="24">
        <v>1900.01</v>
      </c>
      <c r="C362" s="25">
        <v>6.1</v>
      </c>
      <c r="D362" s="40"/>
      <c r="E362" s="40"/>
      <c r="F362" s="12"/>
      <c r="G362" s="18"/>
      <c r="H362" s="12"/>
      <c r="I362" s="39"/>
      <c r="J362" s="39"/>
      <c r="K362" s="39"/>
      <c r="M362" s="19"/>
    </row>
    <row r="363" spans="2:13" s="11" customFormat="1" x14ac:dyDescent="0.2">
      <c r="B363" s="24">
        <v>1900.02</v>
      </c>
      <c r="C363" s="25">
        <v>6.21</v>
      </c>
      <c r="D363" s="40"/>
      <c r="E363" s="40"/>
      <c r="F363" s="12"/>
      <c r="G363" s="18"/>
      <c r="H363" s="12"/>
      <c r="I363" s="39"/>
      <c r="J363" s="39"/>
      <c r="K363" s="39"/>
      <c r="M363" s="19"/>
    </row>
    <row r="364" spans="2:13" s="11" customFormat="1" x14ac:dyDescent="0.2">
      <c r="B364" s="24">
        <v>1900.03</v>
      </c>
      <c r="C364" s="25">
        <v>6.26</v>
      </c>
      <c r="D364" s="40"/>
      <c r="E364" s="40"/>
      <c r="F364" s="12"/>
      <c r="G364" s="18"/>
      <c r="H364" s="12"/>
      <c r="I364" s="39"/>
      <c r="J364" s="39"/>
      <c r="K364" s="39"/>
      <c r="M364" s="19"/>
    </row>
    <row r="365" spans="2:13" s="11" customFormat="1" x14ac:dyDescent="0.2">
      <c r="B365" s="24">
        <v>1900.04</v>
      </c>
      <c r="C365" s="25">
        <v>6.34</v>
      </c>
      <c r="D365" s="40"/>
      <c r="E365" s="40"/>
      <c r="F365" s="12"/>
      <c r="G365" s="18"/>
      <c r="H365" s="12"/>
      <c r="I365" s="39"/>
      <c r="J365" s="39"/>
      <c r="K365" s="39"/>
      <c r="M365" s="19"/>
    </row>
    <row r="366" spans="2:13" s="11" customFormat="1" x14ac:dyDescent="0.2">
      <c r="B366" s="24">
        <v>1900.05</v>
      </c>
      <c r="C366" s="25">
        <v>6.04</v>
      </c>
      <c r="D366" s="40"/>
      <c r="E366" s="40"/>
      <c r="F366" s="12"/>
      <c r="G366" s="18"/>
      <c r="H366" s="12"/>
      <c r="I366" s="39"/>
      <c r="J366" s="39"/>
      <c r="K366" s="39"/>
      <c r="M366" s="19"/>
    </row>
    <row r="367" spans="2:13" s="11" customFormat="1" x14ac:dyDescent="0.2">
      <c r="B367" s="24">
        <v>1900.06</v>
      </c>
      <c r="C367" s="25">
        <v>5.86</v>
      </c>
      <c r="D367" s="40"/>
      <c r="E367" s="40"/>
      <c r="F367" s="12"/>
      <c r="G367" s="18"/>
      <c r="H367" s="12"/>
      <c r="I367" s="39"/>
      <c r="J367" s="39"/>
      <c r="K367" s="39"/>
      <c r="M367" s="19"/>
    </row>
    <row r="368" spans="2:13" s="11" customFormat="1" x14ac:dyDescent="0.2">
      <c r="B368" s="24">
        <v>1900.07</v>
      </c>
      <c r="C368" s="25">
        <v>5.86</v>
      </c>
      <c r="D368" s="40"/>
      <c r="E368" s="40"/>
      <c r="F368" s="12"/>
      <c r="G368" s="18"/>
      <c r="H368" s="12"/>
      <c r="I368" s="39"/>
      <c r="J368" s="39"/>
      <c r="K368" s="39"/>
      <c r="M368" s="19"/>
    </row>
    <row r="369" spans="2:13" s="11" customFormat="1" x14ac:dyDescent="0.2">
      <c r="B369" s="24">
        <v>1900.08</v>
      </c>
      <c r="C369" s="25">
        <v>5.94</v>
      </c>
      <c r="D369" s="40"/>
      <c r="E369" s="40"/>
      <c r="F369" s="12"/>
      <c r="G369" s="18"/>
      <c r="H369" s="12"/>
      <c r="I369" s="39"/>
      <c r="J369" s="39"/>
      <c r="K369" s="39"/>
      <c r="M369" s="19"/>
    </row>
    <row r="370" spans="2:13" s="11" customFormat="1" x14ac:dyDescent="0.2">
      <c r="B370" s="24">
        <v>1900.09</v>
      </c>
      <c r="C370" s="25">
        <v>5.8</v>
      </c>
      <c r="D370" s="40"/>
      <c r="E370" s="40"/>
      <c r="F370" s="12"/>
      <c r="G370" s="18"/>
      <c r="H370" s="12"/>
      <c r="I370" s="39"/>
      <c r="J370" s="39"/>
      <c r="K370" s="39"/>
      <c r="M370" s="19"/>
    </row>
    <row r="371" spans="2:13" s="11" customFormat="1" x14ac:dyDescent="0.2">
      <c r="B371" s="24">
        <v>1900.1</v>
      </c>
      <c r="C371" s="25">
        <v>6.01</v>
      </c>
      <c r="D371" s="40"/>
      <c r="E371" s="40"/>
      <c r="F371" s="12"/>
      <c r="G371" s="18"/>
      <c r="H371" s="12"/>
      <c r="I371" s="39"/>
      <c r="J371" s="39"/>
      <c r="K371" s="39"/>
      <c r="M371" s="19"/>
    </row>
    <row r="372" spans="2:13" s="11" customFormat="1" x14ac:dyDescent="0.2">
      <c r="B372" s="24">
        <v>1900.11</v>
      </c>
      <c r="C372" s="25">
        <v>6.48</v>
      </c>
      <c r="D372" s="40"/>
      <c r="E372" s="40"/>
      <c r="F372" s="12"/>
      <c r="G372" s="18"/>
      <c r="H372" s="12"/>
      <c r="I372" s="39"/>
      <c r="J372" s="39"/>
      <c r="K372" s="39"/>
      <c r="M372" s="19"/>
    </row>
    <row r="373" spans="2:13" s="11" customFormat="1" x14ac:dyDescent="0.2">
      <c r="B373" s="24">
        <v>1900.12</v>
      </c>
      <c r="C373" s="25">
        <v>6.87</v>
      </c>
      <c r="D373" s="40"/>
      <c r="E373" s="40"/>
      <c r="F373" s="12"/>
      <c r="G373" s="18"/>
      <c r="H373" s="12"/>
      <c r="I373" s="39"/>
      <c r="J373" s="39"/>
      <c r="K373" s="39"/>
      <c r="M373" s="19"/>
    </row>
    <row r="374" spans="2:13" s="11" customFormat="1" x14ac:dyDescent="0.2">
      <c r="B374" s="24">
        <v>1901.01</v>
      </c>
      <c r="C374" s="25">
        <v>7.07</v>
      </c>
      <c r="D374" s="40"/>
      <c r="E374" s="40"/>
      <c r="F374" s="12"/>
      <c r="G374" s="18"/>
      <c r="H374" s="12"/>
      <c r="I374" s="39"/>
      <c r="J374" s="39"/>
      <c r="K374" s="39"/>
      <c r="M374" s="19"/>
    </row>
    <row r="375" spans="2:13" s="11" customFormat="1" x14ac:dyDescent="0.2">
      <c r="B375" s="24">
        <v>1901.02</v>
      </c>
      <c r="C375" s="25">
        <v>7.25</v>
      </c>
      <c r="D375" s="40"/>
      <c r="E375" s="40"/>
      <c r="F375" s="12"/>
      <c r="G375" s="18"/>
      <c r="H375" s="12"/>
      <c r="I375" s="39"/>
      <c r="J375" s="39"/>
      <c r="K375" s="39"/>
      <c r="M375" s="19"/>
    </row>
    <row r="376" spans="2:13" s="11" customFormat="1" x14ac:dyDescent="0.2">
      <c r="B376" s="24">
        <v>1901.03</v>
      </c>
      <c r="C376" s="25">
        <v>7.51</v>
      </c>
      <c r="D376" s="40"/>
      <c r="E376" s="40"/>
      <c r="F376" s="12"/>
      <c r="G376" s="18"/>
      <c r="H376" s="12"/>
      <c r="I376" s="39"/>
      <c r="J376" s="39"/>
      <c r="K376" s="39"/>
      <c r="M376" s="19"/>
    </row>
    <row r="377" spans="2:13" s="11" customFormat="1" x14ac:dyDescent="0.2">
      <c r="B377" s="24">
        <v>1901.04</v>
      </c>
      <c r="C377" s="25">
        <v>8.14</v>
      </c>
      <c r="D377" s="40"/>
      <c r="E377" s="40"/>
      <c r="F377" s="12"/>
      <c r="G377" s="18"/>
      <c r="H377" s="12"/>
      <c r="I377" s="39"/>
      <c r="J377" s="39"/>
      <c r="K377" s="39"/>
      <c r="M377" s="19"/>
    </row>
    <row r="378" spans="2:13" s="11" customFormat="1" x14ac:dyDescent="0.2">
      <c r="B378" s="24">
        <v>1901.05</v>
      </c>
      <c r="C378" s="25">
        <v>7.73</v>
      </c>
      <c r="D378" s="40"/>
      <c r="E378" s="40"/>
      <c r="F378" s="12"/>
      <c r="G378" s="18"/>
      <c r="H378" s="12"/>
      <c r="I378" s="39"/>
      <c r="J378" s="39"/>
      <c r="K378" s="39"/>
      <c r="M378" s="19"/>
    </row>
    <row r="379" spans="2:13" s="11" customFormat="1" x14ac:dyDescent="0.2">
      <c r="B379" s="24">
        <v>1901.06</v>
      </c>
      <c r="C379" s="25">
        <v>8.5</v>
      </c>
      <c r="D379" s="40"/>
      <c r="E379" s="40"/>
      <c r="F379" s="12"/>
      <c r="G379" s="18"/>
      <c r="H379" s="12"/>
      <c r="I379" s="39"/>
      <c r="J379" s="39"/>
      <c r="K379" s="39"/>
      <c r="M379" s="19"/>
    </row>
    <row r="380" spans="2:13" s="11" customFormat="1" x14ac:dyDescent="0.2">
      <c r="B380" s="24">
        <v>1901.07</v>
      </c>
      <c r="C380" s="25">
        <v>7.93</v>
      </c>
      <c r="D380" s="40"/>
      <c r="E380" s="40"/>
      <c r="F380" s="12"/>
      <c r="G380" s="18"/>
      <c r="H380" s="12"/>
      <c r="I380" s="39"/>
      <c r="J380" s="39"/>
      <c r="K380" s="39"/>
      <c r="M380" s="19"/>
    </row>
    <row r="381" spans="2:13" s="11" customFormat="1" x14ac:dyDescent="0.2">
      <c r="B381" s="24">
        <v>1901.08</v>
      </c>
      <c r="C381" s="25">
        <v>8.0399999999999991</v>
      </c>
      <c r="D381" s="40"/>
      <c r="E381" s="40"/>
      <c r="F381" s="12"/>
      <c r="G381" s="18"/>
      <c r="H381" s="12"/>
      <c r="I381" s="39"/>
      <c r="J381" s="39"/>
      <c r="K381" s="39"/>
      <c r="M381" s="19"/>
    </row>
    <row r="382" spans="2:13" s="11" customFormat="1" x14ac:dyDescent="0.2">
      <c r="B382" s="24">
        <v>1901.09</v>
      </c>
      <c r="C382" s="25">
        <v>8</v>
      </c>
      <c r="D382" s="40"/>
      <c r="E382" s="40"/>
      <c r="F382" s="12"/>
      <c r="G382" s="18"/>
      <c r="H382" s="12"/>
      <c r="I382" s="39"/>
      <c r="J382" s="39"/>
      <c r="K382" s="39"/>
      <c r="M382" s="19"/>
    </row>
    <row r="383" spans="2:13" s="11" customFormat="1" x14ac:dyDescent="0.2">
      <c r="B383" s="24">
        <v>1901.1</v>
      </c>
      <c r="C383" s="25">
        <v>7.91</v>
      </c>
      <c r="D383" s="40"/>
      <c r="E383" s="40"/>
      <c r="F383" s="12"/>
      <c r="G383" s="18"/>
      <c r="H383" s="12"/>
      <c r="I383" s="39"/>
      <c r="J383" s="39"/>
      <c r="K383" s="39"/>
      <c r="M383" s="19"/>
    </row>
    <row r="384" spans="2:13" s="11" customFormat="1" x14ac:dyDescent="0.2">
      <c r="B384" s="24">
        <v>1901.11</v>
      </c>
      <c r="C384" s="25">
        <v>8.08</v>
      </c>
      <c r="D384" s="40"/>
      <c r="E384" s="40"/>
      <c r="F384" s="12"/>
      <c r="G384" s="18"/>
      <c r="H384" s="12"/>
      <c r="I384" s="39"/>
      <c r="J384" s="39"/>
      <c r="K384" s="39"/>
      <c r="M384" s="19"/>
    </row>
    <row r="385" spans="2:13" s="11" customFormat="1" x14ac:dyDescent="0.2">
      <c r="B385" s="24">
        <v>1901.12</v>
      </c>
      <c r="C385" s="25">
        <v>7.95</v>
      </c>
      <c r="D385" s="40"/>
      <c r="E385" s="40"/>
      <c r="F385" s="12"/>
      <c r="G385" s="18"/>
      <c r="H385" s="12"/>
      <c r="I385" s="39"/>
      <c r="J385" s="39"/>
      <c r="K385" s="39"/>
      <c r="M385" s="19"/>
    </row>
    <row r="386" spans="2:13" s="11" customFormat="1" x14ac:dyDescent="0.2">
      <c r="B386" s="24">
        <v>1902.01</v>
      </c>
      <c r="C386" s="25">
        <v>8.1199999999999992</v>
      </c>
      <c r="D386" s="40"/>
      <c r="E386" s="40"/>
      <c r="F386" s="12"/>
      <c r="G386" s="18"/>
      <c r="H386" s="12"/>
      <c r="I386" s="39"/>
      <c r="J386" s="39"/>
      <c r="K386" s="39"/>
      <c r="M386" s="19"/>
    </row>
    <row r="387" spans="2:13" s="11" customFormat="1" x14ac:dyDescent="0.2">
      <c r="B387" s="24">
        <v>1902.02</v>
      </c>
      <c r="C387" s="25">
        <v>8.19</v>
      </c>
      <c r="D387" s="40"/>
      <c r="E387" s="40"/>
      <c r="F387" s="12"/>
      <c r="G387" s="18"/>
      <c r="H387" s="12"/>
      <c r="I387" s="39"/>
      <c r="J387" s="39"/>
      <c r="K387" s="39"/>
      <c r="M387" s="19"/>
    </row>
    <row r="388" spans="2:13" s="11" customFormat="1" x14ac:dyDescent="0.2">
      <c r="B388" s="24">
        <v>1902.03</v>
      </c>
      <c r="C388" s="25">
        <v>8.1999999999999993</v>
      </c>
      <c r="D388" s="40"/>
      <c r="E388" s="40"/>
      <c r="F388" s="12"/>
      <c r="G388" s="18"/>
      <c r="H388" s="12"/>
      <c r="I388" s="39"/>
      <c r="J388" s="39"/>
      <c r="K388" s="39"/>
      <c r="M388" s="19"/>
    </row>
    <row r="389" spans="2:13" s="11" customFormat="1" x14ac:dyDescent="0.2">
      <c r="B389" s="24">
        <v>1902.04</v>
      </c>
      <c r="C389" s="25">
        <v>8.48</v>
      </c>
      <c r="D389" s="40"/>
      <c r="E389" s="40"/>
      <c r="F389" s="12"/>
      <c r="G389" s="18"/>
      <c r="H389" s="12"/>
      <c r="I389" s="39"/>
      <c r="J389" s="39"/>
      <c r="K389" s="39"/>
      <c r="M389" s="19"/>
    </row>
    <row r="390" spans="2:13" s="11" customFormat="1" x14ac:dyDescent="0.2">
      <c r="B390" s="24">
        <v>1902.05</v>
      </c>
      <c r="C390" s="25">
        <v>8.4600000000000009</v>
      </c>
      <c r="D390" s="40"/>
      <c r="E390" s="40"/>
      <c r="F390" s="12"/>
      <c r="G390" s="18"/>
      <c r="H390" s="12"/>
      <c r="I390" s="39"/>
      <c r="J390" s="39"/>
      <c r="K390" s="39"/>
      <c r="M390" s="19"/>
    </row>
    <row r="391" spans="2:13" s="11" customFormat="1" x14ac:dyDescent="0.2">
      <c r="B391" s="24">
        <v>1902.06</v>
      </c>
      <c r="C391" s="25">
        <v>8.41</v>
      </c>
      <c r="D391" s="40"/>
      <c r="E391" s="40"/>
      <c r="F391" s="12"/>
      <c r="G391" s="18"/>
      <c r="H391" s="12"/>
      <c r="I391" s="39"/>
      <c r="J391" s="39"/>
      <c r="K391" s="39"/>
      <c r="M391" s="19"/>
    </row>
    <row r="392" spans="2:13" s="11" customFormat="1" x14ac:dyDescent="0.2">
      <c r="B392" s="24">
        <v>1902.07</v>
      </c>
      <c r="C392" s="25">
        <v>8.6</v>
      </c>
      <c r="D392" s="40"/>
      <c r="E392" s="40"/>
      <c r="F392" s="12"/>
      <c r="G392" s="18"/>
      <c r="H392" s="12"/>
      <c r="I392" s="39"/>
      <c r="J392" s="39"/>
      <c r="K392" s="39"/>
      <c r="M392" s="19"/>
    </row>
    <row r="393" spans="2:13" s="11" customFormat="1" x14ac:dyDescent="0.2">
      <c r="B393" s="24">
        <v>1902.08</v>
      </c>
      <c r="C393" s="25">
        <v>8.83</v>
      </c>
      <c r="D393" s="40"/>
      <c r="E393" s="40"/>
      <c r="F393" s="12"/>
      <c r="G393" s="18"/>
      <c r="H393" s="12"/>
      <c r="I393" s="39"/>
      <c r="J393" s="39"/>
      <c r="K393" s="39"/>
      <c r="M393" s="19"/>
    </row>
    <row r="394" spans="2:13" s="11" customFormat="1" x14ac:dyDescent="0.2">
      <c r="B394" s="24">
        <v>1902.09</v>
      </c>
      <c r="C394" s="25">
        <v>8.85</v>
      </c>
      <c r="D394" s="40"/>
      <c r="E394" s="40"/>
      <c r="F394" s="12"/>
      <c r="G394" s="18"/>
      <c r="H394" s="12"/>
      <c r="I394" s="39"/>
      <c r="J394" s="39"/>
      <c r="K394" s="39"/>
      <c r="M394" s="19"/>
    </row>
    <row r="395" spans="2:13" s="11" customFormat="1" x14ac:dyDescent="0.2">
      <c r="B395" s="24">
        <v>1902.1</v>
      </c>
      <c r="C395" s="25">
        <v>8.57</v>
      </c>
      <c r="D395" s="40"/>
      <c r="E395" s="40"/>
      <c r="F395" s="12"/>
      <c r="G395" s="18"/>
      <c r="H395" s="12"/>
      <c r="I395" s="39"/>
      <c r="J395" s="39"/>
      <c r="K395" s="39"/>
      <c r="M395" s="19"/>
    </row>
    <row r="396" spans="2:13" s="11" customFormat="1" x14ac:dyDescent="0.2">
      <c r="B396" s="24">
        <v>1902.11</v>
      </c>
      <c r="C396" s="25">
        <v>8.24</v>
      </c>
      <c r="D396" s="40"/>
      <c r="E396" s="40"/>
      <c r="F396" s="12"/>
      <c r="G396" s="18"/>
      <c r="H396" s="12"/>
      <c r="I396" s="39"/>
      <c r="J396" s="39"/>
      <c r="K396" s="39"/>
      <c r="M396" s="19"/>
    </row>
    <row r="397" spans="2:13" s="11" customFormat="1" x14ac:dyDescent="0.2">
      <c r="B397" s="24">
        <v>1902.12</v>
      </c>
      <c r="C397" s="25">
        <v>8.0500000000000007</v>
      </c>
      <c r="D397" s="40"/>
      <c r="E397" s="40"/>
      <c r="F397" s="12"/>
      <c r="G397" s="18"/>
      <c r="H397" s="12"/>
      <c r="I397" s="39"/>
      <c r="J397" s="39"/>
      <c r="K397" s="39"/>
      <c r="M397" s="19"/>
    </row>
    <row r="398" spans="2:13" s="11" customFormat="1" x14ac:dyDescent="0.2">
      <c r="B398" s="24">
        <v>1903.01</v>
      </c>
      <c r="C398" s="25">
        <v>8.4600000000000009</v>
      </c>
      <c r="D398" s="40"/>
      <c r="E398" s="40"/>
      <c r="F398" s="12"/>
      <c r="G398" s="18"/>
      <c r="H398" s="12"/>
      <c r="I398" s="39"/>
      <c r="J398" s="39"/>
      <c r="K398" s="39"/>
      <c r="M398" s="19"/>
    </row>
    <row r="399" spans="2:13" s="11" customFormat="1" x14ac:dyDescent="0.2">
      <c r="B399" s="24">
        <v>1903.02</v>
      </c>
      <c r="C399" s="25">
        <v>8.41</v>
      </c>
      <c r="D399" s="40"/>
      <c r="E399" s="40"/>
      <c r="F399" s="12"/>
      <c r="G399" s="18"/>
      <c r="H399" s="12"/>
      <c r="I399" s="39"/>
      <c r="J399" s="39"/>
      <c r="K399" s="39"/>
      <c r="M399" s="19"/>
    </row>
    <row r="400" spans="2:13" s="11" customFormat="1" x14ac:dyDescent="0.2">
      <c r="B400" s="24">
        <v>1903.03</v>
      </c>
      <c r="C400" s="25">
        <v>8.08</v>
      </c>
      <c r="D400" s="40"/>
      <c r="E400" s="40"/>
      <c r="F400" s="12"/>
      <c r="G400" s="18"/>
      <c r="H400" s="12"/>
      <c r="I400" s="39"/>
      <c r="J400" s="39"/>
      <c r="K400" s="39"/>
      <c r="M400" s="19"/>
    </row>
    <row r="401" spans="2:13" s="11" customFormat="1" x14ac:dyDescent="0.2">
      <c r="B401" s="24">
        <v>1903.04</v>
      </c>
      <c r="C401" s="25">
        <v>7.75</v>
      </c>
      <c r="D401" s="40"/>
      <c r="E401" s="40"/>
      <c r="F401" s="12"/>
      <c r="G401" s="18"/>
      <c r="H401" s="12"/>
      <c r="I401" s="39"/>
      <c r="J401" s="39"/>
      <c r="K401" s="39"/>
      <c r="M401" s="19"/>
    </row>
    <row r="402" spans="2:13" s="11" customFormat="1" x14ac:dyDescent="0.2">
      <c r="B402" s="24">
        <v>1903.05</v>
      </c>
      <c r="C402" s="25">
        <v>7.6</v>
      </c>
      <c r="D402" s="40"/>
      <c r="E402" s="40"/>
      <c r="F402" s="12"/>
      <c r="G402" s="18"/>
      <c r="H402" s="12"/>
      <c r="I402" s="39"/>
      <c r="J402" s="39"/>
      <c r="K402" s="39"/>
      <c r="M402" s="19"/>
    </row>
    <row r="403" spans="2:13" s="11" customFormat="1" x14ac:dyDescent="0.2">
      <c r="B403" s="24">
        <v>1903.06</v>
      </c>
      <c r="C403" s="25">
        <v>7.18</v>
      </c>
      <c r="D403" s="40"/>
      <c r="E403" s="40"/>
      <c r="F403" s="12"/>
      <c r="G403" s="18"/>
      <c r="H403" s="12"/>
      <c r="I403" s="39"/>
      <c r="J403" s="39"/>
      <c r="K403" s="39"/>
      <c r="M403" s="19"/>
    </row>
    <row r="404" spans="2:13" s="11" customFormat="1" x14ac:dyDescent="0.2">
      <c r="B404" s="24">
        <v>1903.07</v>
      </c>
      <c r="C404" s="25">
        <v>6.85</v>
      </c>
      <c r="D404" s="40"/>
      <c r="E404" s="40"/>
      <c r="F404" s="12"/>
      <c r="G404" s="18"/>
      <c r="H404" s="12"/>
      <c r="I404" s="39"/>
      <c r="J404" s="39"/>
      <c r="K404" s="39"/>
      <c r="M404" s="19"/>
    </row>
    <row r="405" spans="2:13" s="11" customFormat="1" x14ac:dyDescent="0.2">
      <c r="B405" s="24">
        <v>1903.08</v>
      </c>
      <c r="C405" s="25">
        <v>6.63</v>
      </c>
      <c r="D405" s="40"/>
      <c r="E405" s="40"/>
      <c r="F405" s="12"/>
      <c r="G405" s="18"/>
      <c r="H405" s="12"/>
      <c r="I405" s="39"/>
      <c r="J405" s="39"/>
      <c r="K405" s="39"/>
      <c r="M405" s="19"/>
    </row>
    <row r="406" spans="2:13" s="11" customFormat="1" x14ac:dyDescent="0.2">
      <c r="B406" s="24">
        <v>1903.09</v>
      </c>
      <c r="C406" s="25">
        <v>6.47</v>
      </c>
      <c r="D406" s="40"/>
      <c r="E406" s="40"/>
      <c r="F406" s="12"/>
      <c r="G406" s="18"/>
      <c r="H406" s="12"/>
      <c r="I406" s="39"/>
      <c r="J406" s="39"/>
      <c r="K406" s="39"/>
      <c r="M406" s="19"/>
    </row>
    <row r="407" spans="2:13" s="11" customFormat="1" x14ac:dyDescent="0.2">
      <c r="B407" s="24">
        <v>1903.1</v>
      </c>
      <c r="C407" s="25">
        <v>6.26</v>
      </c>
      <c r="D407" s="40"/>
      <c r="E407" s="40"/>
      <c r="F407" s="12"/>
      <c r="G407" s="18"/>
      <c r="H407" s="12"/>
      <c r="I407" s="39"/>
      <c r="J407" s="39"/>
      <c r="K407" s="39"/>
      <c r="M407" s="19"/>
    </row>
    <row r="408" spans="2:13" s="11" customFormat="1" x14ac:dyDescent="0.2">
      <c r="B408" s="24">
        <v>1903.11</v>
      </c>
      <c r="C408" s="25">
        <v>6.28</v>
      </c>
      <c r="D408" s="40"/>
      <c r="E408" s="40"/>
      <c r="F408" s="12"/>
      <c r="G408" s="18"/>
      <c r="H408" s="12"/>
      <c r="I408" s="39"/>
      <c r="J408" s="39"/>
      <c r="K408" s="39"/>
      <c r="M408" s="19"/>
    </row>
    <row r="409" spans="2:13" s="11" customFormat="1" x14ac:dyDescent="0.2">
      <c r="B409" s="24">
        <v>1903.12</v>
      </c>
      <c r="C409" s="25">
        <v>6.57</v>
      </c>
      <c r="D409" s="40"/>
      <c r="E409" s="40"/>
      <c r="F409" s="12"/>
      <c r="G409" s="18"/>
      <c r="H409" s="12"/>
      <c r="I409" s="39"/>
      <c r="J409" s="39"/>
      <c r="K409" s="39"/>
      <c r="M409" s="19"/>
    </row>
    <row r="410" spans="2:13" s="11" customFormat="1" x14ac:dyDescent="0.2">
      <c r="B410" s="24">
        <v>1904.01</v>
      </c>
      <c r="C410" s="25">
        <v>6.68</v>
      </c>
      <c r="D410" s="40"/>
      <c r="E410" s="40"/>
      <c r="F410" s="12"/>
      <c r="G410" s="18"/>
      <c r="H410" s="12"/>
      <c r="I410" s="39"/>
      <c r="J410" s="39"/>
      <c r="K410" s="39"/>
      <c r="M410" s="19"/>
    </row>
    <row r="411" spans="2:13" s="11" customFormat="1" x14ac:dyDescent="0.2">
      <c r="B411" s="24">
        <v>1904.02</v>
      </c>
      <c r="C411" s="25">
        <v>6.5</v>
      </c>
      <c r="D411" s="40"/>
      <c r="E411" s="40"/>
      <c r="F411" s="12"/>
      <c r="G411" s="18"/>
      <c r="H411" s="12"/>
      <c r="I411" s="39"/>
      <c r="J411" s="39"/>
      <c r="K411" s="39"/>
      <c r="M411" s="19"/>
    </row>
    <row r="412" spans="2:13" s="11" customFormat="1" x14ac:dyDescent="0.2">
      <c r="B412" s="24">
        <v>1904.03</v>
      </c>
      <c r="C412" s="25">
        <v>6.48</v>
      </c>
      <c r="D412" s="40"/>
      <c r="E412" s="40"/>
      <c r="F412" s="12"/>
      <c r="G412" s="18"/>
      <c r="H412" s="12"/>
      <c r="I412" s="39"/>
      <c r="J412" s="39"/>
      <c r="K412" s="39"/>
      <c r="M412" s="19"/>
    </row>
    <row r="413" spans="2:13" s="11" customFormat="1" x14ac:dyDescent="0.2">
      <c r="B413" s="24">
        <v>1904.04</v>
      </c>
      <c r="C413" s="25">
        <v>6.64</v>
      </c>
      <c r="D413" s="40"/>
      <c r="E413" s="40"/>
      <c r="F413" s="12"/>
      <c r="G413" s="18"/>
      <c r="H413" s="12"/>
      <c r="I413" s="39"/>
      <c r="J413" s="39"/>
      <c r="K413" s="39"/>
      <c r="M413" s="19"/>
    </row>
    <row r="414" spans="2:13" s="11" customFormat="1" x14ac:dyDescent="0.2">
      <c r="B414" s="24">
        <v>1904.05</v>
      </c>
      <c r="C414" s="25">
        <v>6.5</v>
      </c>
      <c r="D414" s="40"/>
      <c r="E414" s="40"/>
      <c r="F414" s="12"/>
      <c r="G414" s="18"/>
      <c r="H414" s="12"/>
      <c r="I414" s="39"/>
      <c r="J414" s="39"/>
      <c r="K414" s="39"/>
      <c r="M414" s="19"/>
    </row>
    <row r="415" spans="2:13" s="11" customFormat="1" x14ac:dyDescent="0.2">
      <c r="B415" s="24">
        <v>1904.06</v>
      </c>
      <c r="C415" s="25">
        <v>6.51</v>
      </c>
      <c r="D415" s="40"/>
      <c r="E415" s="40"/>
      <c r="F415" s="12"/>
      <c r="G415" s="18"/>
      <c r="H415" s="12"/>
      <c r="I415" s="39"/>
      <c r="J415" s="39"/>
      <c r="K415" s="39"/>
      <c r="M415" s="19"/>
    </row>
    <row r="416" spans="2:13" s="11" customFormat="1" x14ac:dyDescent="0.2">
      <c r="B416" s="24">
        <v>1904.07</v>
      </c>
      <c r="C416" s="25">
        <v>6.78</v>
      </c>
      <c r="D416" s="40"/>
      <c r="E416" s="40"/>
      <c r="F416" s="12"/>
      <c r="G416" s="18"/>
      <c r="H416" s="12"/>
      <c r="I416" s="39"/>
      <c r="J416" s="39"/>
      <c r="K416" s="39"/>
      <c r="M416" s="19"/>
    </row>
    <row r="417" spans="2:13" s="11" customFormat="1" x14ac:dyDescent="0.2">
      <c r="B417" s="24">
        <v>1904.08</v>
      </c>
      <c r="C417" s="25">
        <v>7.01</v>
      </c>
      <c r="D417" s="40"/>
      <c r="E417" s="40"/>
      <c r="F417" s="12"/>
      <c r="G417" s="18"/>
      <c r="H417" s="12"/>
      <c r="I417" s="39"/>
      <c r="J417" s="39"/>
      <c r="K417" s="39"/>
      <c r="M417" s="19"/>
    </row>
    <row r="418" spans="2:13" s="11" customFormat="1" x14ac:dyDescent="0.2">
      <c r="B418" s="24">
        <v>1904.09</v>
      </c>
      <c r="C418" s="25">
        <v>7.32</v>
      </c>
      <c r="D418" s="40"/>
      <c r="E418" s="40"/>
      <c r="F418" s="12"/>
      <c r="G418" s="18"/>
      <c r="H418" s="12"/>
      <c r="I418" s="39"/>
      <c r="J418" s="39"/>
      <c r="K418" s="39"/>
      <c r="M418" s="19"/>
    </row>
    <row r="419" spans="2:13" s="11" customFormat="1" x14ac:dyDescent="0.2">
      <c r="B419" s="24">
        <v>1904.1</v>
      </c>
      <c r="C419" s="25">
        <v>7.75</v>
      </c>
      <c r="D419" s="40"/>
      <c r="E419" s="40"/>
      <c r="F419" s="12"/>
      <c r="G419" s="18"/>
      <c r="H419" s="12"/>
      <c r="I419" s="39"/>
      <c r="J419" s="39"/>
      <c r="K419" s="39"/>
      <c r="M419" s="19"/>
    </row>
    <row r="420" spans="2:13" s="11" customFormat="1" x14ac:dyDescent="0.2">
      <c r="B420" s="24">
        <v>1904.11</v>
      </c>
      <c r="C420" s="25">
        <v>8.17</v>
      </c>
      <c r="D420" s="40"/>
      <c r="E420" s="40"/>
      <c r="F420" s="12"/>
      <c r="G420" s="18"/>
      <c r="H420" s="12"/>
      <c r="I420" s="39"/>
      <c r="J420" s="39"/>
      <c r="K420" s="39"/>
      <c r="M420" s="19"/>
    </row>
    <row r="421" spans="2:13" s="11" customFormat="1" x14ac:dyDescent="0.2">
      <c r="B421" s="24">
        <v>1904.12</v>
      </c>
      <c r="C421" s="25">
        <v>8.25</v>
      </c>
      <c r="D421" s="40"/>
      <c r="E421" s="40"/>
      <c r="F421" s="12"/>
      <c r="G421" s="18"/>
      <c r="H421" s="12"/>
      <c r="I421" s="39"/>
      <c r="J421" s="39"/>
      <c r="K421" s="39"/>
      <c r="M421" s="19"/>
    </row>
    <row r="422" spans="2:13" s="11" customFormat="1" x14ac:dyDescent="0.2">
      <c r="B422" s="24">
        <v>1905.01</v>
      </c>
      <c r="C422" s="25">
        <v>8.43</v>
      </c>
      <c r="D422" s="40"/>
      <c r="E422" s="40"/>
      <c r="F422" s="12"/>
      <c r="G422" s="18"/>
      <c r="H422" s="12"/>
      <c r="I422" s="39"/>
      <c r="J422" s="39"/>
      <c r="K422" s="39"/>
      <c r="M422" s="19"/>
    </row>
    <row r="423" spans="2:13" s="11" customFormat="1" x14ac:dyDescent="0.2">
      <c r="B423" s="24">
        <v>1905.02</v>
      </c>
      <c r="C423" s="25">
        <v>8.8000000000000007</v>
      </c>
      <c r="D423" s="40"/>
      <c r="E423" s="40"/>
      <c r="F423" s="12"/>
      <c r="G423" s="18"/>
      <c r="H423" s="12"/>
      <c r="I423" s="39"/>
      <c r="J423" s="39"/>
      <c r="K423" s="39"/>
      <c r="M423" s="19"/>
    </row>
    <row r="424" spans="2:13" s="11" customFormat="1" x14ac:dyDescent="0.2">
      <c r="B424" s="24">
        <v>1905.03</v>
      </c>
      <c r="C424" s="25">
        <v>9.0500000000000007</v>
      </c>
      <c r="D424" s="40"/>
      <c r="E424" s="40"/>
      <c r="F424" s="12"/>
      <c r="G424" s="18"/>
      <c r="H424" s="12"/>
      <c r="I424" s="39"/>
      <c r="J424" s="39"/>
      <c r="K424" s="39"/>
      <c r="M424" s="19"/>
    </row>
    <row r="425" spans="2:13" s="11" customFormat="1" x14ac:dyDescent="0.2">
      <c r="B425" s="24">
        <v>1905.04</v>
      </c>
      <c r="C425" s="25">
        <v>8.94</v>
      </c>
      <c r="D425" s="40"/>
      <c r="E425" s="40"/>
      <c r="F425" s="12"/>
      <c r="G425" s="18"/>
      <c r="H425" s="12"/>
      <c r="I425" s="39"/>
      <c r="J425" s="39"/>
      <c r="K425" s="39"/>
      <c r="M425" s="19"/>
    </row>
    <row r="426" spans="2:13" s="11" customFormat="1" x14ac:dyDescent="0.2">
      <c r="B426" s="24">
        <v>1905.05</v>
      </c>
      <c r="C426" s="25">
        <v>8.5</v>
      </c>
      <c r="D426" s="40"/>
      <c r="E426" s="40"/>
      <c r="F426" s="12"/>
      <c r="G426" s="18"/>
      <c r="H426" s="12"/>
      <c r="I426" s="39"/>
      <c r="J426" s="39"/>
      <c r="K426" s="39"/>
      <c r="M426" s="19"/>
    </row>
    <row r="427" spans="2:13" s="11" customFormat="1" x14ac:dyDescent="0.2">
      <c r="B427" s="24">
        <v>1905.06</v>
      </c>
      <c r="C427" s="25">
        <v>8.6</v>
      </c>
      <c r="D427" s="40"/>
      <c r="E427" s="40"/>
      <c r="F427" s="12"/>
      <c r="G427" s="18"/>
      <c r="H427" s="12"/>
      <c r="I427" s="39"/>
      <c r="J427" s="39"/>
      <c r="K427" s="39"/>
      <c r="M427" s="19"/>
    </row>
    <row r="428" spans="2:13" s="11" customFormat="1" x14ac:dyDescent="0.2">
      <c r="B428" s="24">
        <v>1905.07</v>
      </c>
      <c r="C428" s="25">
        <v>8.8699999999999992</v>
      </c>
      <c r="D428" s="40"/>
      <c r="E428" s="40"/>
      <c r="F428" s="12"/>
      <c r="G428" s="18"/>
      <c r="H428" s="12"/>
      <c r="I428" s="39"/>
      <c r="J428" s="39"/>
      <c r="K428" s="39"/>
      <c r="M428" s="19"/>
    </row>
    <row r="429" spans="2:13" s="11" customFormat="1" x14ac:dyDescent="0.2">
      <c r="B429" s="24">
        <v>1905.08</v>
      </c>
      <c r="C429" s="25">
        <v>9.1999999999999993</v>
      </c>
      <c r="D429" s="40"/>
      <c r="E429" s="40"/>
      <c r="F429" s="12"/>
      <c r="G429" s="18"/>
      <c r="H429" s="12"/>
      <c r="I429" s="39"/>
      <c r="J429" s="39"/>
      <c r="K429" s="39"/>
      <c r="M429" s="19"/>
    </row>
    <row r="430" spans="2:13" s="11" customFormat="1" x14ac:dyDescent="0.2">
      <c r="B430" s="24">
        <v>1905.09</v>
      </c>
      <c r="C430" s="25">
        <v>9.23</v>
      </c>
      <c r="D430" s="40"/>
      <c r="E430" s="40"/>
      <c r="F430" s="12"/>
      <c r="G430" s="18"/>
      <c r="H430" s="12"/>
      <c r="I430" s="39"/>
      <c r="J430" s="39"/>
      <c r="K430" s="39"/>
      <c r="M430" s="19"/>
    </row>
    <row r="431" spans="2:13" s="11" customFormat="1" x14ac:dyDescent="0.2">
      <c r="B431" s="24">
        <v>1905.1</v>
      </c>
      <c r="C431" s="25">
        <v>9.36</v>
      </c>
      <c r="D431" s="40"/>
      <c r="E431" s="40"/>
      <c r="F431" s="12"/>
      <c r="G431" s="18"/>
      <c r="H431" s="12"/>
      <c r="I431" s="39"/>
      <c r="J431" s="39"/>
      <c r="K431" s="39"/>
      <c r="M431" s="19"/>
    </row>
    <row r="432" spans="2:13" s="11" customFormat="1" x14ac:dyDescent="0.2">
      <c r="B432" s="24">
        <v>1905.11</v>
      </c>
      <c r="C432" s="25">
        <v>9.31</v>
      </c>
      <c r="D432" s="40"/>
      <c r="E432" s="40"/>
      <c r="F432" s="12"/>
      <c r="G432" s="18"/>
      <c r="H432" s="12"/>
      <c r="I432" s="39"/>
      <c r="J432" s="39"/>
      <c r="K432" s="39"/>
      <c r="M432" s="19"/>
    </row>
    <row r="433" spans="2:13" s="11" customFormat="1" x14ac:dyDescent="0.2">
      <c r="B433" s="24">
        <v>1905.12</v>
      </c>
      <c r="C433" s="25">
        <v>9.5399999999999991</v>
      </c>
      <c r="D433" s="40"/>
      <c r="E433" s="40"/>
      <c r="F433" s="12"/>
      <c r="G433" s="18"/>
      <c r="H433" s="12"/>
      <c r="I433" s="39"/>
      <c r="J433" s="39"/>
      <c r="K433" s="39"/>
      <c r="M433" s="19"/>
    </row>
    <row r="434" spans="2:13" s="11" customFormat="1" x14ac:dyDescent="0.2">
      <c r="B434" s="24">
        <v>1906.01</v>
      </c>
      <c r="C434" s="25">
        <v>9.8699999999999992</v>
      </c>
      <c r="D434" s="40"/>
      <c r="E434" s="40"/>
      <c r="F434" s="12"/>
      <c r="G434" s="18"/>
      <c r="H434" s="12"/>
      <c r="I434" s="39"/>
      <c r="J434" s="39"/>
      <c r="K434" s="39"/>
      <c r="M434" s="19"/>
    </row>
    <row r="435" spans="2:13" s="11" customFormat="1" x14ac:dyDescent="0.2">
      <c r="B435" s="24">
        <v>1906.02</v>
      </c>
      <c r="C435" s="25">
        <v>9.8000000000000007</v>
      </c>
      <c r="D435" s="40"/>
      <c r="E435" s="40"/>
      <c r="F435" s="12"/>
      <c r="G435" s="18"/>
      <c r="H435" s="12"/>
      <c r="I435" s="39"/>
      <c r="J435" s="39"/>
      <c r="K435" s="39"/>
      <c r="M435" s="19"/>
    </row>
    <row r="436" spans="2:13" s="11" customFormat="1" x14ac:dyDescent="0.2">
      <c r="B436" s="24">
        <v>1906.03</v>
      </c>
      <c r="C436" s="25">
        <v>9.56</v>
      </c>
      <c r="D436" s="40"/>
      <c r="E436" s="40"/>
      <c r="F436" s="12"/>
      <c r="G436" s="18"/>
      <c r="H436" s="12"/>
      <c r="I436" s="39"/>
      <c r="J436" s="39"/>
      <c r="K436" s="39"/>
      <c r="M436" s="19"/>
    </row>
    <row r="437" spans="2:13" s="11" customFormat="1" x14ac:dyDescent="0.2">
      <c r="B437" s="24">
        <v>1906.04</v>
      </c>
      <c r="C437" s="25">
        <v>9.43</v>
      </c>
      <c r="D437" s="40"/>
      <c r="E437" s="40"/>
      <c r="F437" s="12"/>
      <c r="G437" s="18"/>
      <c r="H437" s="12"/>
      <c r="I437" s="39"/>
      <c r="J437" s="39"/>
      <c r="K437" s="39"/>
      <c r="M437" s="19"/>
    </row>
    <row r="438" spans="2:13" s="11" customFormat="1" x14ac:dyDescent="0.2">
      <c r="B438" s="24">
        <v>1906.05</v>
      </c>
      <c r="C438" s="25">
        <v>9.18</v>
      </c>
      <c r="D438" s="40"/>
      <c r="E438" s="40"/>
      <c r="F438" s="12"/>
      <c r="G438" s="18"/>
      <c r="H438" s="12"/>
      <c r="I438" s="39"/>
      <c r="J438" s="39"/>
      <c r="K438" s="39"/>
      <c r="M438" s="19"/>
    </row>
    <row r="439" spans="2:13" s="11" customFormat="1" x14ac:dyDescent="0.2">
      <c r="B439" s="24">
        <v>1906.06</v>
      </c>
      <c r="C439" s="25">
        <v>9.3000000000000007</v>
      </c>
      <c r="D439" s="40"/>
      <c r="E439" s="40"/>
      <c r="F439" s="12"/>
      <c r="G439" s="18"/>
      <c r="H439" s="12"/>
      <c r="I439" s="39"/>
      <c r="J439" s="39"/>
      <c r="K439" s="39"/>
      <c r="M439" s="19"/>
    </row>
    <row r="440" spans="2:13" s="11" customFormat="1" x14ac:dyDescent="0.2">
      <c r="B440" s="24">
        <v>1906.07</v>
      </c>
      <c r="C440" s="25">
        <v>9.06</v>
      </c>
      <c r="D440" s="40"/>
      <c r="E440" s="40"/>
      <c r="F440" s="12"/>
      <c r="G440" s="18"/>
      <c r="H440" s="12"/>
      <c r="I440" s="39"/>
      <c r="J440" s="39"/>
      <c r="K440" s="39"/>
      <c r="M440" s="19"/>
    </row>
    <row r="441" spans="2:13" s="11" customFormat="1" x14ac:dyDescent="0.2">
      <c r="B441" s="24">
        <v>1906.08</v>
      </c>
      <c r="C441" s="25">
        <v>9.73</v>
      </c>
      <c r="D441" s="40"/>
      <c r="E441" s="40"/>
      <c r="F441" s="12"/>
      <c r="G441" s="18"/>
      <c r="H441" s="12"/>
      <c r="I441" s="39"/>
      <c r="J441" s="39"/>
      <c r="K441" s="39"/>
      <c r="M441" s="19"/>
    </row>
    <row r="442" spans="2:13" s="11" customFormat="1" x14ac:dyDescent="0.2">
      <c r="B442" s="24">
        <v>1906.09</v>
      </c>
      <c r="C442" s="25">
        <v>10.029999999999999</v>
      </c>
      <c r="D442" s="40"/>
      <c r="E442" s="40"/>
      <c r="F442" s="12"/>
      <c r="G442" s="18"/>
      <c r="H442" s="12"/>
      <c r="I442" s="39"/>
      <c r="J442" s="39"/>
      <c r="K442" s="39"/>
      <c r="M442" s="19"/>
    </row>
    <row r="443" spans="2:13" s="11" customFormat="1" x14ac:dyDescent="0.2">
      <c r="B443" s="24">
        <v>1906.1</v>
      </c>
      <c r="C443" s="25">
        <v>9.73</v>
      </c>
      <c r="D443" s="40"/>
      <c r="E443" s="40"/>
      <c r="F443" s="12"/>
      <c r="G443" s="18"/>
      <c r="H443" s="12"/>
      <c r="I443" s="39"/>
      <c r="J443" s="39"/>
      <c r="K443" s="39"/>
      <c r="M443" s="19"/>
    </row>
    <row r="444" spans="2:13" s="11" customFormat="1" x14ac:dyDescent="0.2">
      <c r="B444" s="24">
        <v>1906.11</v>
      </c>
      <c r="C444" s="25">
        <v>9.93</v>
      </c>
      <c r="D444" s="40"/>
      <c r="E444" s="40"/>
      <c r="F444" s="12"/>
      <c r="G444" s="18"/>
      <c r="H444" s="12"/>
      <c r="I444" s="39"/>
      <c r="J444" s="39"/>
      <c r="K444" s="39"/>
      <c r="M444" s="19"/>
    </row>
    <row r="445" spans="2:13" s="11" customFormat="1" x14ac:dyDescent="0.2">
      <c r="B445" s="24">
        <v>1906.12</v>
      </c>
      <c r="C445" s="25">
        <v>9.84</v>
      </c>
      <c r="D445" s="40"/>
      <c r="E445" s="40"/>
      <c r="F445" s="12"/>
      <c r="G445" s="18"/>
      <c r="H445" s="12"/>
      <c r="I445" s="39"/>
      <c r="J445" s="39"/>
      <c r="K445" s="39"/>
      <c r="M445" s="19"/>
    </row>
    <row r="446" spans="2:13" s="11" customFormat="1" x14ac:dyDescent="0.2">
      <c r="B446" s="24">
        <v>1907.01</v>
      </c>
      <c r="C446" s="25">
        <v>9.56</v>
      </c>
      <c r="D446" s="40"/>
      <c r="E446" s="40"/>
      <c r="F446" s="12"/>
      <c r="G446" s="18"/>
      <c r="H446" s="12"/>
      <c r="I446" s="39"/>
      <c r="J446" s="39"/>
      <c r="K446" s="39"/>
      <c r="M446" s="19"/>
    </row>
    <row r="447" spans="2:13" s="11" customFormat="1" x14ac:dyDescent="0.2">
      <c r="B447" s="24">
        <v>1907.02</v>
      </c>
      <c r="C447" s="25">
        <v>9.26</v>
      </c>
      <c r="D447" s="40"/>
      <c r="E447" s="40"/>
      <c r="F447" s="12"/>
      <c r="G447" s="18"/>
      <c r="H447" s="12"/>
      <c r="I447" s="39"/>
      <c r="J447" s="39"/>
      <c r="K447" s="39"/>
      <c r="M447" s="19"/>
    </row>
    <row r="448" spans="2:13" s="11" customFormat="1" x14ac:dyDescent="0.2">
      <c r="B448" s="24">
        <v>1907.03</v>
      </c>
      <c r="C448" s="25">
        <v>8.35</v>
      </c>
      <c r="D448" s="40"/>
      <c r="E448" s="40"/>
      <c r="F448" s="12"/>
      <c r="G448" s="18"/>
      <c r="H448" s="12"/>
      <c r="I448" s="39"/>
      <c r="J448" s="39"/>
      <c r="K448" s="39"/>
      <c r="M448" s="19"/>
    </row>
    <row r="449" spans="2:13" s="11" customFormat="1" x14ac:dyDescent="0.2">
      <c r="B449" s="24">
        <v>1907.04</v>
      </c>
      <c r="C449" s="25">
        <v>8.39</v>
      </c>
      <c r="D449" s="40"/>
      <c r="E449" s="40"/>
      <c r="F449" s="12"/>
      <c r="G449" s="18"/>
      <c r="H449" s="12"/>
      <c r="I449" s="39"/>
      <c r="J449" s="39"/>
      <c r="K449" s="39"/>
      <c r="M449" s="19"/>
    </row>
    <row r="450" spans="2:13" s="11" customFormat="1" x14ac:dyDescent="0.2">
      <c r="B450" s="24">
        <v>1907.05</v>
      </c>
      <c r="C450" s="25">
        <v>8.1</v>
      </c>
      <c r="D450" s="40"/>
      <c r="E450" s="40"/>
      <c r="F450" s="12"/>
      <c r="G450" s="18"/>
      <c r="H450" s="12"/>
      <c r="I450" s="39"/>
      <c r="J450" s="39"/>
      <c r="K450" s="39"/>
      <c r="M450" s="19"/>
    </row>
    <row r="451" spans="2:13" s="11" customFormat="1" x14ac:dyDescent="0.2">
      <c r="B451" s="24">
        <v>1907.06</v>
      </c>
      <c r="C451" s="25">
        <v>7.84</v>
      </c>
      <c r="D451" s="40"/>
      <c r="E451" s="40"/>
      <c r="F451" s="12"/>
      <c r="G451" s="18"/>
      <c r="H451" s="12"/>
      <c r="I451" s="39"/>
      <c r="J451" s="39"/>
      <c r="K451" s="39"/>
      <c r="M451" s="19"/>
    </row>
    <row r="452" spans="2:13" s="11" customFormat="1" x14ac:dyDescent="0.2">
      <c r="B452" s="24">
        <v>1907.07</v>
      </c>
      <c r="C452" s="25">
        <v>8.14</v>
      </c>
      <c r="D452" s="40"/>
      <c r="E452" s="40"/>
      <c r="F452" s="12"/>
      <c r="G452" s="18"/>
      <c r="H452" s="12"/>
      <c r="I452" s="39"/>
      <c r="J452" s="39"/>
      <c r="K452" s="39"/>
      <c r="M452" s="19"/>
    </row>
    <row r="453" spans="2:13" s="11" customFormat="1" x14ac:dyDescent="0.2">
      <c r="B453" s="24">
        <v>1907.08</v>
      </c>
      <c r="C453" s="25">
        <v>7.53</v>
      </c>
      <c r="D453" s="40"/>
      <c r="E453" s="40"/>
      <c r="F453" s="12"/>
      <c r="G453" s="18"/>
      <c r="H453" s="12"/>
      <c r="I453" s="39"/>
      <c r="J453" s="39"/>
      <c r="K453" s="39"/>
      <c r="M453" s="19"/>
    </row>
    <row r="454" spans="2:13" s="11" customFormat="1" x14ac:dyDescent="0.2">
      <c r="B454" s="24">
        <v>1907.09</v>
      </c>
      <c r="C454" s="25">
        <v>7.45</v>
      </c>
      <c r="D454" s="40"/>
      <c r="E454" s="40"/>
      <c r="F454" s="12"/>
      <c r="G454" s="18"/>
      <c r="H454" s="12"/>
      <c r="I454" s="39"/>
      <c r="J454" s="39"/>
      <c r="K454" s="39"/>
      <c r="M454" s="19"/>
    </row>
    <row r="455" spans="2:13" s="11" customFormat="1" x14ac:dyDescent="0.2">
      <c r="B455" s="24">
        <v>1907.1</v>
      </c>
      <c r="C455" s="25">
        <v>6.64</v>
      </c>
      <c r="D455" s="40"/>
      <c r="E455" s="40"/>
      <c r="F455" s="12"/>
      <c r="G455" s="18"/>
      <c r="H455" s="12"/>
      <c r="I455" s="39"/>
      <c r="J455" s="39"/>
      <c r="K455" s="39"/>
      <c r="M455" s="19"/>
    </row>
    <row r="456" spans="2:13" s="11" customFormat="1" x14ac:dyDescent="0.2">
      <c r="B456" s="24">
        <v>1907.11</v>
      </c>
      <c r="C456" s="25">
        <v>6.25</v>
      </c>
      <c r="D456" s="40"/>
      <c r="E456" s="40"/>
      <c r="F456" s="12"/>
      <c r="G456" s="18"/>
      <c r="H456" s="12"/>
      <c r="I456" s="39"/>
      <c r="J456" s="39"/>
      <c r="K456" s="39"/>
      <c r="M456" s="19"/>
    </row>
    <row r="457" spans="2:13" s="11" customFormat="1" x14ac:dyDescent="0.2">
      <c r="B457" s="24">
        <v>1907.12</v>
      </c>
      <c r="C457" s="25">
        <v>6.57</v>
      </c>
      <c r="D457" s="40"/>
      <c r="E457" s="40"/>
      <c r="F457" s="12"/>
      <c r="G457" s="18"/>
      <c r="H457" s="12"/>
      <c r="I457" s="39"/>
      <c r="J457" s="39"/>
      <c r="K457" s="39"/>
      <c r="M457" s="19"/>
    </row>
    <row r="458" spans="2:13" s="11" customFormat="1" x14ac:dyDescent="0.2">
      <c r="B458" s="24">
        <v>1908.01</v>
      </c>
      <c r="C458" s="25">
        <v>6.85</v>
      </c>
      <c r="D458" s="40"/>
      <c r="E458" s="40"/>
      <c r="F458" s="12"/>
      <c r="G458" s="18"/>
      <c r="H458" s="12"/>
      <c r="I458" s="39"/>
      <c r="J458" s="39"/>
      <c r="K458" s="39"/>
      <c r="M458" s="19"/>
    </row>
    <row r="459" spans="2:13" s="11" customFormat="1" x14ac:dyDescent="0.2">
      <c r="B459" s="24">
        <v>1908.02</v>
      </c>
      <c r="C459" s="25">
        <v>6.6</v>
      </c>
      <c r="D459" s="40"/>
      <c r="E459" s="40"/>
      <c r="F459" s="12"/>
      <c r="G459" s="18"/>
      <c r="H459" s="12"/>
      <c r="I459" s="39"/>
      <c r="J459" s="39"/>
      <c r="K459" s="39"/>
      <c r="M459" s="19"/>
    </row>
    <row r="460" spans="2:13" s="11" customFormat="1" x14ac:dyDescent="0.2">
      <c r="B460" s="24">
        <v>1908.03</v>
      </c>
      <c r="C460" s="25">
        <v>6.87</v>
      </c>
      <c r="D460" s="40"/>
      <c r="E460" s="40"/>
      <c r="F460" s="12"/>
      <c r="G460" s="18"/>
      <c r="H460" s="12"/>
      <c r="I460" s="39"/>
      <c r="J460" s="39"/>
      <c r="K460" s="39"/>
      <c r="M460" s="19"/>
    </row>
    <row r="461" spans="2:13" s="11" customFormat="1" x14ac:dyDescent="0.2">
      <c r="B461" s="24">
        <v>1908.04</v>
      </c>
      <c r="C461" s="25">
        <v>7.24</v>
      </c>
      <c r="D461" s="40"/>
      <c r="E461" s="40"/>
      <c r="F461" s="12"/>
      <c r="G461" s="18"/>
      <c r="H461" s="12"/>
      <c r="I461" s="39"/>
      <c r="J461" s="39"/>
      <c r="K461" s="39"/>
      <c r="M461" s="19"/>
    </row>
    <row r="462" spans="2:13" s="11" customFormat="1" x14ac:dyDescent="0.2">
      <c r="B462" s="24">
        <v>1908.05</v>
      </c>
      <c r="C462" s="25">
        <v>7.63</v>
      </c>
      <c r="D462" s="40"/>
      <c r="E462" s="40"/>
      <c r="F462" s="12"/>
      <c r="G462" s="18"/>
      <c r="H462" s="12"/>
      <c r="I462" s="39"/>
      <c r="J462" s="39"/>
      <c r="K462" s="39"/>
      <c r="M462" s="19"/>
    </row>
    <row r="463" spans="2:13" s="11" customFormat="1" x14ac:dyDescent="0.2">
      <c r="B463" s="24">
        <v>1908.06</v>
      </c>
      <c r="C463" s="25">
        <v>7.64</v>
      </c>
      <c r="D463" s="40"/>
      <c r="E463" s="40"/>
      <c r="F463" s="12"/>
      <c r="G463" s="18"/>
      <c r="H463" s="12"/>
      <c r="I463" s="39"/>
      <c r="J463" s="39"/>
      <c r="K463" s="39"/>
      <c r="M463" s="19"/>
    </row>
    <row r="464" spans="2:13" s="11" customFormat="1" x14ac:dyDescent="0.2">
      <c r="B464" s="24">
        <v>1908.07</v>
      </c>
      <c r="C464" s="25">
        <v>7.92</v>
      </c>
      <c r="D464" s="40"/>
      <c r="E464" s="40"/>
      <c r="F464" s="12"/>
      <c r="G464" s="18"/>
      <c r="H464" s="12"/>
      <c r="I464" s="39"/>
      <c r="J464" s="39"/>
      <c r="K464" s="39"/>
      <c r="M464" s="19"/>
    </row>
    <row r="465" spans="2:13" s="11" customFormat="1" x14ac:dyDescent="0.2">
      <c r="B465" s="24">
        <v>1908.08</v>
      </c>
      <c r="C465" s="25">
        <v>8.26</v>
      </c>
      <c r="D465" s="40"/>
      <c r="E465" s="40"/>
      <c r="F465" s="12"/>
      <c r="G465" s="18"/>
      <c r="H465" s="12"/>
      <c r="I465" s="39"/>
      <c r="J465" s="39"/>
      <c r="K465" s="39"/>
      <c r="M465" s="19"/>
    </row>
    <row r="466" spans="2:13" s="11" customFormat="1" x14ac:dyDescent="0.2">
      <c r="B466" s="24">
        <v>1908.09</v>
      </c>
      <c r="C466" s="25">
        <v>8.17</v>
      </c>
      <c r="D466" s="40"/>
      <c r="E466" s="40"/>
      <c r="F466" s="12"/>
      <c r="G466" s="18"/>
      <c r="H466" s="12"/>
      <c r="I466" s="39"/>
      <c r="J466" s="39"/>
      <c r="K466" s="39"/>
      <c r="M466" s="19"/>
    </row>
    <row r="467" spans="2:13" s="11" customFormat="1" x14ac:dyDescent="0.2">
      <c r="B467" s="24">
        <v>1908.1</v>
      </c>
      <c r="C467" s="25">
        <v>8.27</v>
      </c>
      <c r="D467" s="40"/>
      <c r="E467" s="40"/>
      <c r="F467" s="12"/>
      <c r="G467" s="18"/>
      <c r="H467" s="12"/>
      <c r="I467" s="39"/>
      <c r="J467" s="39"/>
      <c r="K467" s="39"/>
      <c r="M467" s="19"/>
    </row>
    <row r="468" spans="2:13" s="11" customFormat="1" x14ac:dyDescent="0.2">
      <c r="B468" s="24">
        <v>1908.11</v>
      </c>
      <c r="C468" s="25">
        <v>8.83</v>
      </c>
      <c r="D468" s="40"/>
      <c r="E468" s="40"/>
      <c r="F468" s="12"/>
      <c r="G468" s="18"/>
      <c r="H468" s="12"/>
      <c r="I468" s="39"/>
      <c r="J468" s="39"/>
      <c r="K468" s="39"/>
      <c r="M468" s="19"/>
    </row>
    <row r="469" spans="2:13" s="11" customFormat="1" x14ac:dyDescent="0.2">
      <c r="B469" s="24">
        <v>1908.12</v>
      </c>
      <c r="C469" s="25">
        <v>9.0299999999999994</v>
      </c>
      <c r="D469" s="40"/>
      <c r="E469" s="40"/>
      <c r="F469" s="12"/>
      <c r="G469" s="18"/>
      <c r="H469" s="12"/>
      <c r="I469" s="39"/>
      <c r="J469" s="39"/>
      <c r="K469" s="39"/>
      <c r="M469" s="19"/>
    </row>
    <row r="470" spans="2:13" s="11" customFormat="1" x14ac:dyDescent="0.2">
      <c r="B470" s="24">
        <v>1909.01</v>
      </c>
      <c r="C470" s="25">
        <v>9.06</v>
      </c>
      <c r="D470" s="40"/>
      <c r="E470" s="40"/>
      <c r="F470" s="12"/>
      <c r="G470" s="18"/>
      <c r="H470" s="12"/>
      <c r="I470" s="39"/>
      <c r="J470" s="39"/>
      <c r="K470" s="39"/>
      <c r="M470" s="19"/>
    </row>
    <row r="471" spans="2:13" s="11" customFormat="1" x14ac:dyDescent="0.2">
      <c r="B471" s="24">
        <v>1909.02</v>
      </c>
      <c r="C471" s="25">
        <v>8.8000000000000007</v>
      </c>
      <c r="D471" s="40"/>
      <c r="E471" s="40"/>
      <c r="F471" s="12"/>
      <c r="G471" s="18"/>
      <c r="H471" s="12"/>
      <c r="I471" s="39"/>
      <c r="J471" s="39"/>
      <c r="K471" s="39"/>
      <c r="M471" s="19"/>
    </row>
    <row r="472" spans="2:13" s="11" customFormat="1" x14ac:dyDescent="0.2">
      <c r="B472" s="24">
        <v>1909.03</v>
      </c>
      <c r="C472" s="25">
        <v>8.92</v>
      </c>
      <c r="D472" s="40"/>
      <c r="E472" s="40"/>
      <c r="F472" s="12"/>
      <c r="G472" s="18"/>
      <c r="H472" s="12"/>
      <c r="I472" s="39"/>
      <c r="J472" s="39"/>
      <c r="K472" s="39"/>
      <c r="M472" s="19"/>
    </row>
    <row r="473" spans="2:13" s="11" customFormat="1" x14ac:dyDescent="0.2">
      <c r="B473" s="24">
        <v>1909.04</v>
      </c>
      <c r="C473" s="25">
        <v>9.32</v>
      </c>
      <c r="D473" s="40"/>
      <c r="E473" s="40"/>
      <c r="F473" s="12"/>
      <c r="G473" s="18"/>
      <c r="H473" s="12"/>
      <c r="I473" s="39"/>
      <c r="J473" s="39"/>
      <c r="K473" s="39"/>
      <c r="M473" s="19"/>
    </row>
    <row r="474" spans="2:13" s="11" customFormat="1" x14ac:dyDescent="0.2">
      <c r="B474" s="24">
        <v>1909.05</v>
      </c>
      <c r="C474" s="25">
        <v>9.6300000000000008</v>
      </c>
      <c r="D474" s="40"/>
      <c r="E474" s="40"/>
      <c r="F474" s="12"/>
      <c r="G474" s="18"/>
      <c r="H474" s="12"/>
      <c r="I474" s="39"/>
      <c r="J474" s="39"/>
      <c r="K474" s="39"/>
      <c r="M474" s="19"/>
    </row>
    <row r="475" spans="2:13" s="11" customFormat="1" x14ac:dyDescent="0.2">
      <c r="B475" s="24">
        <v>1909.06</v>
      </c>
      <c r="C475" s="25">
        <v>9.8000000000000007</v>
      </c>
      <c r="D475" s="40"/>
      <c r="E475" s="40"/>
      <c r="F475" s="12"/>
      <c r="G475" s="18"/>
      <c r="H475" s="12"/>
      <c r="I475" s="39"/>
      <c r="J475" s="39"/>
      <c r="K475" s="39"/>
      <c r="M475" s="19"/>
    </row>
    <row r="476" spans="2:13" s="11" customFormat="1" x14ac:dyDescent="0.2">
      <c r="B476" s="24">
        <v>1909.07</v>
      </c>
      <c r="C476" s="25">
        <v>9.94</v>
      </c>
      <c r="D476" s="40"/>
      <c r="E476" s="40"/>
      <c r="F476" s="12"/>
      <c r="G476" s="18"/>
      <c r="H476" s="12"/>
      <c r="I476" s="39"/>
      <c r="J476" s="39"/>
      <c r="K476" s="39"/>
      <c r="M476" s="19"/>
    </row>
    <row r="477" spans="2:13" s="11" customFormat="1" x14ac:dyDescent="0.2">
      <c r="B477" s="24">
        <v>1909.08</v>
      </c>
      <c r="C477" s="25">
        <v>10.18</v>
      </c>
      <c r="D477" s="40"/>
      <c r="E477" s="40"/>
      <c r="F477" s="12"/>
      <c r="G477" s="18"/>
      <c r="H477" s="12"/>
      <c r="I477" s="39"/>
      <c r="J477" s="39"/>
      <c r="K477" s="39"/>
      <c r="M477" s="19"/>
    </row>
    <row r="478" spans="2:13" s="11" customFormat="1" x14ac:dyDescent="0.2">
      <c r="B478" s="24">
        <v>1909.09</v>
      </c>
      <c r="C478" s="25">
        <v>10.19</v>
      </c>
      <c r="D478" s="40"/>
      <c r="E478" s="40"/>
      <c r="F478" s="12"/>
      <c r="G478" s="18"/>
      <c r="H478" s="12"/>
      <c r="I478" s="39"/>
      <c r="J478" s="39"/>
      <c r="K478" s="39"/>
      <c r="M478" s="19"/>
    </row>
    <row r="479" spans="2:13" s="11" customFormat="1" x14ac:dyDescent="0.2">
      <c r="B479" s="24">
        <v>1909.1</v>
      </c>
      <c r="C479" s="25">
        <v>10.23</v>
      </c>
      <c r="D479" s="40"/>
      <c r="E479" s="40"/>
      <c r="F479" s="12"/>
      <c r="G479" s="18"/>
      <c r="H479" s="12"/>
      <c r="I479" s="39"/>
      <c r="J479" s="39"/>
      <c r="K479" s="39"/>
      <c r="M479" s="19"/>
    </row>
    <row r="480" spans="2:13" s="11" customFormat="1" x14ac:dyDescent="0.2">
      <c r="B480" s="24">
        <v>1909.11</v>
      </c>
      <c r="C480" s="25">
        <v>10.18</v>
      </c>
      <c r="D480" s="40"/>
      <c r="E480" s="40"/>
      <c r="F480" s="12"/>
      <c r="G480" s="18"/>
      <c r="H480" s="12"/>
      <c r="I480" s="39"/>
      <c r="J480" s="39"/>
      <c r="K480" s="39"/>
      <c r="M480" s="19"/>
    </row>
    <row r="481" spans="2:13" s="11" customFormat="1" x14ac:dyDescent="0.2">
      <c r="B481" s="24">
        <v>1909.12</v>
      </c>
      <c r="C481" s="25">
        <v>10.3</v>
      </c>
      <c r="D481" s="40"/>
      <c r="E481" s="40"/>
      <c r="F481" s="12"/>
      <c r="G481" s="18"/>
      <c r="H481" s="12"/>
      <c r="I481" s="39"/>
      <c r="J481" s="39"/>
      <c r="K481" s="39"/>
      <c r="M481" s="19"/>
    </row>
    <row r="482" spans="2:13" s="11" customFormat="1" x14ac:dyDescent="0.2">
      <c r="B482" s="24">
        <v>1910.01</v>
      </c>
      <c r="C482" s="25">
        <v>10.08</v>
      </c>
      <c r="D482" s="40"/>
      <c r="E482" s="40"/>
      <c r="F482" s="12"/>
      <c r="G482" s="18"/>
      <c r="H482" s="12"/>
      <c r="I482" s="39"/>
      <c r="J482" s="39"/>
      <c r="K482" s="39"/>
      <c r="M482" s="19"/>
    </row>
    <row r="483" spans="2:13" s="11" customFormat="1" x14ac:dyDescent="0.2">
      <c r="B483" s="24">
        <v>1910.02</v>
      </c>
      <c r="C483" s="25">
        <v>9.7200000000000006</v>
      </c>
      <c r="D483" s="40"/>
      <c r="E483" s="40"/>
      <c r="F483" s="12"/>
      <c r="G483" s="18"/>
      <c r="H483" s="12"/>
      <c r="I483" s="39"/>
      <c r="J483" s="39"/>
      <c r="K483" s="39"/>
      <c r="M483" s="19"/>
    </row>
    <row r="484" spans="2:13" s="11" customFormat="1" x14ac:dyDescent="0.2">
      <c r="B484" s="24">
        <v>1910.03</v>
      </c>
      <c r="C484" s="25">
        <v>9.9600000000000009</v>
      </c>
      <c r="D484" s="40"/>
      <c r="E484" s="40"/>
      <c r="F484" s="12"/>
      <c r="G484" s="18"/>
      <c r="H484" s="12"/>
      <c r="I484" s="39"/>
      <c r="J484" s="39"/>
      <c r="K484" s="39"/>
      <c r="M484" s="19"/>
    </row>
    <row r="485" spans="2:13" s="11" customFormat="1" x14ac:dyDescent="0.2">
      <c r="B485" s="24">
        <v>1910.04</v>
      </c>
      <c r="C485" s="25">
        <v>9.7200000000000006</v>
      </c>
      <c r="D485" s="40"/>
      <c r="E485" s="40"/>
      <c r="F485" s="12"/>
      <c r="G485" s="18"/>
      <c r="H485" s="12"/>
      <c r="I485" s="39"/>
      <c r="J485" s="39"/>
      <c r="K485" s="39"/>
      <c r="M485" s="19"/>
    </row>
    <row r="486" spans="2:13" s="11" customFormat="1" x14ac:dyDescent="0.2">
      <c r="B486" s="24">
        <v>1910.05</v>
      </c>
      <c r="C486" s="25">
        <v>9.56</v>
      </c>
      <c r="D486" s="40"/>
      <c r="E486" s="40"/>
      <c r="F486" s="12"/>
      <c r="G486" s="18"/>
      <c r="H486" s="12"/>
      <c r="I486" s="39"/>
      <c r="J486" s="39"/>
      <c r="K486" s="39"/>
      <c r="M486" s="19"/>
    </row>
    <row r="487" spans="2:13" s="11" customFormat="1" x14ac:dyDescent="0.2">
      <c r="B487" s="24">
        <v>1910.06</v>
      </c>
      <c r="C487" s="25">
        <v>9.1</v>
      </c>
      <c r="D487" s="40"/>
      <c r="E487" s="40"/>
      <c r="F487" s="12"/>
      <c r="G487" s="18"/>
      <c r="H487" s="12"/>
      <c r="I487" s="39"/>
      <c r="J487" s="39"/>
      <c r="K487" s="39"/>
      <c r="M487" s="19"/>
    </row>
    <row r="488" spans="2:13" s="11" customFormat="1" x14ac:dyDescent="0.2">
      <c r="B488" s="24">
        <v>1910.07</v>
      </c>
      <c r="C488" s="25">
        <v>8.64</v>
      </c>
      <c r="D488" s="40"/>
      <c r="E488" s="40"/>
      <c r="F488" s="12"/>
      <c r="G488" s="18"/>
      <c r="H488" s="12"/>
      <c r="I488" s="39"/>
      <c r="J488" s="39"/>
      <c r="K488" s="39"/>
      <c r="M488" s="19"/>
    </row>
    <row r="489" spans="2:13" s="11" customFormat="1" x14ac:dyDescent="0.2">
      <c r="B489" s="24">
        <v>1910.08</v>
      </c>
      <c r="C489" s="25">
        <v>8.85</v>
      </c>
      <c r="D489" s="40"/>
      <c r="E489" s="40"/>
      <c r="F489" s="12"/>
      <c r="G489" s="18"/>
      <c r="H489" s="12"/>
      <c r="I489" s="39"/>
      <c r="J489" s="39"/>
      <c r="K489" s="39"/>
      <c r="M489" s="19"/>
    </row>
    <row r="490" spans="2:13" s="11" customFormat="1" x14ac:dyDescent="0.2">
      <c r="B490" s="24">
        <v>1910.09</v>
      </c>
      <c r="C490" s="25">
        <v>8.91</v>
      </c>
      <c r="D490" s="40"/>
      <c r="E490" s="40"/>
      <c r="F490" s="12"/>
      <c r="G490" s="18"/>
      <c r="H490" s="12"/>
      <c r="I490" s="39"/>
      <c r="J490" s="39"/>
      <c r="K490" s="39"/>
      <c r="M490" s="19"/>
    </row>
    <row r="491" spans="2:13" s="11" customFormat="1" x14ac:dyDescent="0.2">
      <c r="B491" s="24">
        <v>1910.1</v>
      </c>
      <c r="C491" s="25">
        <v>9.32</v>
      </c>
      <c r="D491" s="40"/>
      <c r="E491" s="40"/>
      <c r="F491" s="12"/>
      <c r="G491" s="18"/>
      <c r="H491" s="12"/>
      <c r="I491" s="39"/>
      <c r="J491" s="39"/>
      <c r="K491" s="39"/>
      <c r="M491" s="19"/>
    </row>
    <row r="492" spans="2:13" s="11" customFormat="1" x14ac:dyDescent="0.2">
      <c r="B492" s="24">
        <v>1910.11</v>
      </c>
      <c r="C492" s="25">
        <v>9.31</v>
      </c>
      <c r="D492" s="40"/>
      <c r="E492" s="40"/>
      <c r="F492" s="12"/>
      <c r="G492" s="18"/>
      <c r="H492" s="12"/>
      <c r="I492" s="39"/>
      <c r="J492" s="39"/>
      <c r="K492" s="39"/>
      <c r="M492" s="19"/>
    </row>
    <row r="493" spans="2:13" s="11" customFormat="1" x14ac:dyDescent="0.2">
      <c r="B493" s="24">
        <v>1910.12</v>
      </c>
      <c r="C493" s="25">
        <v>9.0500000000000007</v>
      </c>
      <c r="D493" s="40"/>
      <c r="E493" s="40"/>
      <c r="F493" s="12"/>
      <c r="G493" s="18"/>
      <c r="H493" s="12"/>
      <c r="I493" s="39"/>
      <c r="J493" s="39"/>
      <c r="K493" s="39"/>
      <c r="M493" s="19"/>
    </row>
    <row r="494" spans="2:13" s="11" customFormat="1" x14ac:dyDescent="0.2">
      <c r="B494" s="24">
        <v>1911.01</v>
      </c>
      <c r="C494" s="25">
        <v>9.27</v>
      </c>
      <c r="D494" s="40"/>
      <c r="E494" s="40"/>
      <c r="F494" s="12"/>
      <c r="G494" s="18"/>
      <c r="H494" s="12"/>
      <c r="I494" s="39"/>
      <c r="J494" s="39"/>
      <c r="K494" s="39"/>
      <c r="M494" s="19"/>
    </row>
    <row r="495" spans="2:13" s="11" customFormat="1" x14ac:dyDescent="0.2">
      <c r="B495" s="24">
        <v>1911.02</v>
      </c>
      <c r="C495" s="25">
        <v>9.43</v>
      </c>
      <c r="D495" s="40"/>
      <c r="E495" s="40"/>
      <c r="F495" s="12"/>
      <c r="G495" s="18"/>
      <c r="H495" s="12"/>
      <c r="I495" s="39"/>
      <c r="J495" s="39"/>
      <c r="K495" s="39"/>
      <c r="M495" s="19"/>
    </row>
    <row r="496" spans="2:13" s="11" customFormat="1" x14ac:dyDescent="0.2">
      <c r="B496" s="24">
        <v>1911.03</v>
      </c>
      <c r="C496" s="25">
        <v>9.32</v>
      </c>
      <c r="D496" s="40"/>
      <c r="E496" s="40"/>
      <c r="F496" s="12"/>
      <c r="G496" s="18"/>
      <c r="H496" s="12"/>
      <c r="I496" s="39"/>
      <c r="J496" s="39"/>
      <c r="K496" s="39"/>
      <c r="M496" s="19"/>
    </row>
    <row r="497" spans="2:13" s="11" customFormat="1" x14ac:dyDescent="0.2">
      <c r="B497" s="24">
        <v>1911.04</v>
      </c>
      <c r="C497" s="25">
        <v>9.2799999999999994</v>
      </c>
      <c r="D497" s="40"/>
      <c r="E497" s="40"/>
      <c r="F497" s="12"/>
      <c r="G497" s="18"/>
      <c r="H497" s="12"/>
      <c r="I497" s="39"/>
      <c r="J497" s="39"/>
      <c r="K497" s="39"/>
      <c r="M497" s="19"/>
    </row>
    <row r="498" spans="2:13" s="11" customFormat="1" x14ac:dyDescent="0.2">
      <c r="B498" s="24">
        <v>1911.05</v>
      </c>
      <c r="C498" s="25">
        <v>9.48</v>
      </c>
      <c r="D498" s="40"/>
      <c r="E498" s="40"/>
      <c r="F498" s="12"/>
      <c r="G498" s="18"/>
      <c r="H498" s="12"/>
      <c r="I498" s="39"/>
      <c r="J498" s="39"/>
      <c r="K498" s="39"/>
      <c r="M498" s="19"/>
    </row>
    <row r="499" spans="2:13" s="11" customFormat="1" x14ac:dyDescent="0.2">
      <c r="B499" s="24">
        <v>1911.06</v>
      </c>
      <c r="C499" s="25">
        <v>9.67</v>
      </c>
      <c r="D499" s="40"/>
      <c r="E499" s="40"/>
      <c r="F499" s="12"/>
      <c r="G499" s="18"/>
      <c r="H499" s="12"/>
      <c r="I499" s="39"/>
      <c r="J499" s="39"/>
      <c r="K499" s="39"/>
      <c r="M499" s="19"/>
    </row>
    <row r="500" spans="2:13" s="11" customFormat="1" x14ac:dyDescent="0.2">
      <c r="B500" s="24">
        <v>1911.07</v>
      </c>
      <c r="C500" s="25">
        <v>9.6300000000000008</v>
      </c>
      <c r="D500" s="40"/>
      <c r="E500" s="40"/>
      <c r="F500" s="12"/>
      <c r="G500" s="18"/>
      <c r="H500" s="12"/>
      <c r="I500" s="39"/>
      <c r="J500" s="39"/>
      <c r="K500" s="39"/>
      <c r="M500" s="19"/>
    </row>
    <row r="501" spans="2:13" s="11" customFormat="1" x14ac:dyDescent="0.2">
      <c r="B501" s="24">
        <v>1911.08</v>
      </c>
      <c r="C501" s="25">
        <v>9.17</v>
      </c>
      <c r="D501" s="40"/>
      <c r="E501" s="40"/>
      <c r="F501" s="12"/>
      <c r="G501" s="18"/>
      <c r="H501" s="12"/>
      <c r="I501" s="39"/>
      <c r="J501" s="39"/>
      <c r="K501" s="39"/>
      <c r="M501" s="19"/>
    </row>
    <row r="502" spans="2:13" s="11" customFormat="1" x14ac:dyDescent="0.2">
      <c r="B502" s="24">
        <v>1911.09</v>
      </c>
      <c r="C502" s="25">
        <v>8.67</v>
      </c>
      <c r="D502" s="40"/>
      <c r="E502" s="40"/>
      <c r="F502" s="12"/>
      <c r="G502" s="18"/>
      <c r="H502" s="12"/>
      <c r="I502" s="39"/>
      <c r="J502" s="39"/>
      <c r="K502" s="39"/>
      <c r="M502" s="19"/>
    </row>
    <row r="503" spans="2:13" s="11" customFormat="1" x14ac:dyDescent="0.2">
      <c r="B503" s="24">
        <v>1911.1</v>
      </c>
      <c r="C503" s="25">
        <v>8.7200000000000006</v>
      </c>
      <c r="D503" s="40"/>
      <c r="E503" s="40"/>
      <c r="F503" s="12"/>
      <c r="G503" s="18"/>
      <c r="H503" s="12"/>
      <c r="I503" s="39"/>
      <c r="J503" s="39"/>
      <c r="K503" s="39"/>
      <c r="M503" s="19"/>
    </row>
    <row r="504" spans="2:13" s="11" customFormat="1" x14ac:dyDescent="0.2">
      <c r="B504" s="24">
        <v>1911.11</v>
      </c>
      <c r="C504" s="25">
        <v>9.07</v>
      </c>
      <c r="D504" s="40"/>
      <c r="E504" s="40"/>
      <c r="F504" s="12"/>
      <c r="G504" s="18"/>
      <c r="H504" s="12"/>
      <c r="I504" s="39"/>
      <c r="J504" s="39"/>
      <c r="K504" s="39"/>
      <c r="M504" s="19"/>
    </row>
    <row r="505" spans="2:13" s="11" customFormat="1" x14ac:dyDescent="0.2">
      <c r="B505" s="24">
        <v>1911.12</v>
      </c>
      <c r="C505" s="25">
        <v>9.11</v>
      </c>
      <c r="D505" s="40"/>
      <c r="E505" s="40"/>
      <c r="F505" s="12"/>
      <c r="G505" s="18"/>
      <c r="H505" s="12"/>
      <c r="I505" s="39"/>
      <c r="J505" s="39"/>
      <c r="K505" s="39"/>
      <c r="M505" s="19"/>
    </row>
    <row r="506" spans="2:13" s="11" customFormat="1" x14ac:dyDescent="0.2">
      <c r="B506" s="24">
        <v>1912.01</v>
      </c>
      <c r="C506" s="25">
        <v>9.1199999999999992</v>
      </c>
      <c r="D506" s="40"/>
      <c r="E506" s="40"/>
      <c r="F506" s="12"/>
      <c r="G506" s="18"/>
      <c r="H506" s="12"/>
      <c r="I506" s="39"/>
      <c r="J506" s="39"/>
      <c r="K506" s="39"/>
      <c r="M506" s="19"/>
    </row>
    <row r="507" spans="2:13" s="11" customFormat="1" x14ac:dyDescent="0.2">
      <c r="B507" s="24">
        <v>1912.02</v>
      </c>
      <c r="C507" s="25">
        <v>9.0399999999999991</v>
      </c>
      <c r="D507" s="40"/>
      <c r="E507" s="40"/>
      <c r="F507" s="12"/>
      <c r="G507" s="18"/>
      <c r="H507" s="12"/>
      <c r="I507" s="39"/>
      <c r="J507" s="39"/>
      <c r="K507" s="39"/>
      <c r="M507" s="19"/>
    </row>
    <row r="508" spans="2:13" s="11" customFormat="1" x14ac:dyDescent="0.2">
      <c r="B508" s="24">
        <v>1912.03</v>
      </c>
      <c r="C508" s="25">
        <v>9.3000000000000007</v>
      </c>
      <c r="D508" s="40"/>
      <c r="E508" s="40"/>
      <c r="F508" s="12"/>
      <c r="G508" s="18"/>
      <c r="H508" s="12"/>
      <c r="I508" s="39"/>
      <c r="J508" s="39"/>
      <c r="K508" s="39"/>
      <c r="M508" s="19"/>
    </row>
    <row r="509" spans="2:13" s="11" customFormat="1" x14ac:dyDescent="0.2">
      <c r="B509" s="24">
        <v>1912.04</v>
      </c>
      <c r="C509" s="25">
        <v>9.59</v>
      </c>
      <c r="D509" s="40"/>
      <c r="E509" s="40"/>
      <c r="F509" s="12"/>
      <c r="G509" s="18"/>
      <c r="H509" s="12"/>
      <c r="I509" s="39"/>
      <c r="J509" s="39"/>
      <c r="K509" s="39"/>
      <c r="M509" s="19"/>
    </row>
    <row r="510" spans="2:13" s="11" customFormat="1" x14ac:dyDescent="0.2">
      <c r="B510" s="24">
        <v>1912.05</v>
      </c>
      <c r="C510" s="25">
        <v>9.58</v>
      </c>
      <c r="D510" s="40"/>
      <c r="E510" s="40"/>
      <c r="F510" s="12"/>
      <c r="G510" s="18"/>
      <c r="H510" s="12"/>
      <c r="I510" s="39"/>
      <c r="J510" s="39"/>
      <c r="K510" s="39"/>
      <c r="M510" s="19"/>
    </row>
    <row r="511" spans="2:13" s="11" customFormat="1" x14ac:dyDescent="0.2">
      <c r="B511" s="24">
        <v>1912.06</v>
      </c>
      <c r="C511" s="25">
        <v>9.58</v>
      </c>
      <c r="D511" s="40"/>
      <c r="E511" s="40"/>
      <c r="F511" s="12"/>
      <c r="G511" s="18"/>
      <c r="H511" s="12"/>
      <c r="I511" s="39"/>
      <c r="J511" s="39"/>
      <c r="K511" s="39"/>
      <c r="M511" s="19"/>
    </row>
    <row r="512" spans="2:13" s="11" customFormat="1" x14ac:dyDescent="0.2">
      <c r="B512" s="24">
        <v>1912.07</v>
      </c>
      <c r="C512" s="25">
        <v>9.59</v>
      </c>
      <c r="D512" s="40"/>
      <c r="E512" s="40"/>
      <c r="F512" s="12"/>
      <c r="G512" s="18"/>
      <c r="H512" s="12"/>
      <c r="I512" s="39"/>
      <c r="J512" s="39"/>
      <c r="K512" s="39"/>
      <c r="M512" s="19"/>
    </row>
    <row r="513" spans="2:13" s="11" customFormat="1" x14ac:dyDescent="0.2">
      <c r="B513" s="24">
        <v>1912.08</v>
      </c>
      <c r="C513" s="25">
        <v>9.81</v>
      </c>
      <c r="D513" s="40"/>
      <c r="E513" s="40"/>
      <c r="F513" s="12"/>
      <c r="G513" s="18"/>
      <c r="H513" s="12"/>
      <c r="I513" s="39"/>
      <c r="J513" s="39"/>
      <c r="K513" s="39"/>
      <c r="M513" s="19"/>
    </row>
    <row r="514" spans="2:13" s="11" customFormat="1" x14ac:dyDescent="0.2">
      <c r="B514" s="24">
        <v>1912.09</v>
      </c>
      <c r="C514" s="25">
        <v>9.86</v>
      </c>
      <c r="D514" s="40"/>
      <c r="E514" s="40"/>
      <c r="F514" s="12"/>
      <c r="G514" s="18"/>
      <c r="H514" s="12"/>
      <c r="I514" s="39"/>
      <c r="J514" s="39"/>
      <c r="K514" s="39"/>
      <c r="M514" s="19"/>
    </row>
    <row r="515" spans="2:13" s="11" customFormat="1" x14ac:dyDescent="0.2">
      <c r="B515" s="24">
        <v>1912.1</v>
      </c>
      <c r="C515" s="25">
        <v>9.84</v>
      </c>
      <c r="D515" s="40"/>
      <c r="E515" s="40"/>
      <c r="F515" s="12"/>
      <c r="G515" s="18"/>
      <c r="H515" s="12"/>
      <c r="I515" s="39"/>
      <c r="J515" s="39"/>
      <c r="K515" s="39"/>
      <c r="M515" s="19"/>
    </row>
    <row r="516" spans="2:13" s="11" customFormat="1" x14ac:dyDescent="0.2">
      <c r="B516" s="24">
        <v>1912.11</v>
      </c>
      <c r="C516" s="25">
        <v>9.73</v>
      </c>
      <c r="D516" s="40"/>
      <c r="E516" s="40"/>
      <c r="F516" s="12"/>
      <c r="G516" s="18"/>
      <c r="H516" s="12"/>
      <c r="I516" s="39"/>
      <c r="J516" s="39"/>
      <c r="K516" s="39"/>
      <c r="M516" s="19"/>
    </row>
    <row r="517" spans="2:13" s="11" customFormat="1" x14ac:dyDescent="0.2">
      <c r="B517" s="24">
        <v>1912.12</v>
      </c>
      <c r="C517" s="25">
        <v>9.3800000000000008</v>
      </c>
      <c r="D517" s="40"/>
      <c r="E517" s="40"/>
      <c r="F517" s="12"/>
      <c r="G517" s="18"/>
      <c r="H517" s="12"/>
      <c r="I517" s="39"/>
      <c r="J517" s="39"/>
      <c r="K517" s="39"/>
      <c r="M517" s="19"/>
    </row>
    <row r="518" spans="2:13" s="11" customFormat="1" x14ac:dyDescent="0.2">
      <c r="B518" s="24">
        <v>1913.01</v>
      </c>
      <c r="C518" s="25">
        <v>9.3000000000000007</v>
      </c>
      <c r="D518" s="40"/>
      <c r="E518" s="40"/>
      <c r="F518" s="12"/>
      <c r="G518" s="18"/>
      <c r="H518" s="12"/>
      <c r="I518" s="39"/>
      <c r="J518" s="39"/>
      <c r="K518" s="39"/>
      <c r="M518" s="19"/>
    </row>
    <row r="519" spans="2:13" s="11" customFormat="1" x14ac:dyDescent="0.2">
      <c r="B519" s="24">
        <v>1913.02</v>
      </c>
      <c r="C519" s="25">
        <v>8.9700000000000006</v>
      </c>
      <c r="D519" s="40"/>
      <c r="E519" s="40"/>
      <c r="F519" s="12"/>
      <c r="G519" s="18"/>
      <c r="H519" s="12"/>
      <c r="I519" s="39"/>
      <c r="J519" s="39"/>
      <c r="K519" s="39"/>
      <c r="M519" s="19"/>
    </row>
    <row r="520" spans="2:13" s="11" customFormat="1" x14ac:dyDescent="0.2">
      <c r="B520" s="24">
        <v>1913.03</v>
      </c>
      <c r="C520" s="25">
        <v>8.8000000000000007</v>
      </c>
      <c r="D520" s="40"/>
      <c r="E520" s="40"/>
      <c r="F520" s="12"/>
      <c r="G520" s="18"/>
      <c r="H520" s="12"/>
      <c r="I520" s="39"/>
      <c r="J520" s="39"/>
      <c r="K520" s="39"/>
      <c r="M520" s="19"/>
    </row>
    <row r="521" spans="2:13" s="11" customFormat="1" x14ac:dyDescent="0.2">
      <c r="B521" s="24">
        <v>1913.04</v>
      </c>
      <c r="C521" s="25">
        <v>8.7899999999999991</v>
      </c>
      <c r="D521" s="40"/>
      <c r="E521" s="40"/>
      <c r="F521" s="12"/>
      <c r="G521" s="18"/>
      <c r="H521" s="12"/>
      <c r="I521" s="39"/>
      <c r="J521" s="39"/>
      <c r="K521" s="39"/>
      <c r="M521" s="19"/>
    </row>
    <row r="522" spans="2:13" s="11" customFormat="1" x14ac:dyDescent="0.2">
      <c r="B522" s="24">
        <v>1913.05</v>
      </c>
      <c r="C522" s="25">
        <v>8.5500000000000007</v>
      </c>
      <c r="D522" s="40"/>
      <c r="E522" s="40"/>
      <c r="F522" s="12"/>
      <c r="G522" s="18"/>
      <c r="H522" s="12"/>
      <c r="I522" s="39"/>
      <c r="J522" s="39"/>
      <c r="K522" s="39"/>
      <c r="M522" s="19"/>
    </row>
    <row r="523" spans="2:13" s="11" customFormat="1" x14ac:dyDescent="0.2">
      <c r="B523" s="24">
        <v>1913.06</v>
      </c>
      <c r="C523" s="25">
        <v>8.1199999999999992</v>
      </c>
      <c r="D523" s="40"/>
      <c r="E523" s="40"/>
      <c r="F523" s="12"/>
      <c r="G523" s="18"/>
      <c r="H523" s="12"/>
      <c r="I523" s="39"/>
      <c r="J523" s="39"/>
      <c r="K523" s="39"/>
      <c r="M523" s="19"/>
    </row>
    <row r="524" spans="2:13" s="11" customFormat="1" x14ac:dyDescent="0.2">
      <c r="B524" s="24">
        <v>1913.07</v>
      </c>
      <c r="C524" s="25">
        <v>8.23</v>
      </c>
      <c r="D524" s="40"/>
      <c r="E524" s="40"/>
      <c r="F524" s="12"/>
      <c r="G524" s="18"/>
      <c r="H524" s="12"/>
      <c r="I524" s="39"/>
      <c r="J524" s="39"/>
      <c r="K524" s="39"/>
      <c r="M524" s="19"/>
    </row>
    <row r="525" spans="2:13" s="11" customFormat="1" x14ac:dyDescent="0.2">
      <c r="B525" s="24">
        <v>1913.08</v>
      </c>
      <c r="C525" s="25">
        <v>8.4499999999999993</v>
      </c>
      <c r="D525" s="40"/>
      <c r="E525" s="40"/>
      <c r="F525" s="12"/>
      <c r="G525" s="18"/>
      <c r="H525" s="12"/>
      <c r="I525" s="39"/>
      <c r="J525" s="39"/>
      <c r="K525" s="39"/>
      <c r="M525" s="19"/>
    </row>
    <row r="526" spans="2:13" s="11" customFormat="1" x14ac:dyDescent="0.2">
      <c r="B526" s="24">
        <v>1913.09</v>
      </c>
      <c r="C526" s="25">
        <v>8.5299999999999994</v>
      </c>
      <c r="D526" s="40"/>
      <c r="E526" s="40"/>
      <c r="F526" s="12"/>
      <c r="G526" s="18"/>
      <c r="H526" s="12"/>
      <c r="I526" s="39"/>
      <c r="J526" s="39"/>
      <c r="K526" s="39"/>
      <c r="M526" s="19"/>
    </row>
    <row r="527" spans="2:13" s="11" customFormat="1" x14ac:dyDescent="0.2">
      <c r="B527" s="24">
        <v>1913.1</v>
      </c>
      <c r="C527" s="25">
        <v>8.26</v>
      </c>
      <c r="D527" s="40"/>
      <c r="E527" s="40"/>
      <c r="F527" s="12"/>
      <c r="G527" s="18"/>
      <c r="H527" s="12"/>
      <c r="I527" s="39"/>
      <c r="J527" s="39"/>
      <c r="K527" s="39"/>
      <c r="M527" s="19"/>
    </row>
    <row r="528" spans="2:13" s="11" customFormat="1" x14ac:dyDescent="0.2">
      <c r="B528" s="24">
        <v>1913.11</v>
      </c>
      <c r="C528" s="25">
        <v>8.0500000000000007</v>
      </c>
      <c r="D528" s="40"/>
      <c r="E528" s="40"/>
      <c r="F528" s="12"/>
      <c r="G528" s="18"/>
      <c r="H528" s="12"/>
      <c r="I528" s="39"/>
      <c r="J528" s="39"/>
      <c r="K528" s="39"/>
      <c r="M528" s="19"/>
    </row>
    <row r="529" spans="2:13" s="11" customFormat="1" x14ac:dyDescent="0.2">
      <c r="B529" s="24">
        <v>1913.12</v>
      </c>
      <c r="C529" s="25">
        <v>8.0399999999999991</v>
      </c>
      <c r="D529" s="40"/>
      <c r="E529" s="40"/>
      <c r="F529" s="12"/>
      <c r="G529" s="18"/>
      <c r="H529" s="12"/>
      <c r="I529" s="39"/>
      <c r="J529" s="39"/>
      <c r="K529" s="39"/>
      <c r="M529" s="19"/>
    </row>
    <row r="530" spans="2:13" s="11" customFormat="1" x14ac:dyDescent="0.2">
      <c r="B530" s="24">
        <v>1914.01</v>
      </c>
      <c r="C530" s="25">
        <v>8.3699999999999992</v>
      </c>
      <c r="D530" s="40"/>
      <c r="E530" s="40"/>
      <c r="F530" s="12"/>
      <c r="G530" s="18"/>
      <c r="H530" s="12"/>
      <c r="I530" s="39"/>
      <c r="J530" s="39"/>
      <c r="K530" s="39"/>
      <c r="M530" s="19"/>
    </row>
    <row r="531" spans="2:13" s="11" customFormat="1" x14ac:dyDescent="0.2">
      <c r="B531" s="24">
        <v>1914.02</v>
      </c>
      <c r="C531" s="25">
        <v>8.48</v>
      </c>
      <c r="D531" s="40"/>
      <c r="E531" s="40"/>
      <c r="F531" s="12"/>
      <c r="G531" s="18"/>
      <c r="H531" s="12"/>
      <c r="I531" s="39"/>
      <c r="J531" s="39"/>
      <c r="K531" s="39"/>
      <c r="M531" s="19"/>
    </row>
    <row r="532" spans="2:13" s="11" customFormat="1" x14ac:dyDescent="0.2">
      <c r="B532" s="24">
        <v>1914.03</v>
      </c>
      <c r="C532" s="25">
        <v>8.32</v>
      </c>
      <c r="D532" s="40"/>
      <c r="E532" s="40"/>
      <c r="F532" s="12"/>
      <c r="G532" s="18"/>
      <c r="H532" s="12"/>
      <c r="I532" s="39"/>
      <c r="J532" s="39"/>
      <c r="K532" s="39"/>
      <c r="M532" s="19"/>
    </row>
    <row r="533" spans="2:13" s="11" customFormat="1" x14ac:dyDescent="0.2">
      <c r="B533" s="24">
        <v>1914.04</v>
      </c>
      <c r="C533" s="25">
        <v>8.1199999999999992</v>
      </c>
      <c r="D533" s="40"/>
      <c r="E533" s="40"/>
      <c r="F533" s="12"/>
      <c r="G533" s="18"/>
      <c r="H533" s="12"/>
      <c r="I533" s="39"/>
      <c r="J533" s="39"/>
      <c r="K533" s="39"/>
      <c r="M533" s="19"/>
    </row>
    <row r="534" spans="2:13" s="11" customFormat="1" x14ac:dyDescent="0.2">
      <c r="B534" s="24">
        <v>1914.05</v>
      </c>
      <c r="C534" s="25">
        <v>8.17</v>
      </c>
      <c r="D534" s="40"/>
      <c r="E534" s="40"/>
      <c r="F534" s="12"/>
      <c r="G534" s="18"/>
      <c r="H534" s="12"/>
      <c r="I534" s="39"/>
      <c r="J534" s="39"/>
      <c r="K534" s="39"/>
      <c r="M534" s="19"/>
    </row>
    <row r="535" spans="2:13" s="11" customFormat="1" x14ac:dyDescent="0.2">
      <c r="B535" s="24">
        <v>1914.06</v>
      </c>
      <c r="C535" s="25">
        <v>8.1300000000000008</v>
      </c>
      <c r="D535" s="40"/>
      <c r="E535" s="40"/>
      <c r="F535" s="12"/>
      <c r="G535" s="18"/>
      <c r="H535" s="12"/>
      <c r="I535" s="39"/>
      <c r="J535" s="39"/>
      <c r="K535" s="39"/>
      <c r="M535" s="19"/>
    </row>
    <row r="536" spans="2:13" s="11" customFormat="1" x14ac:dyDescent="0.2">
      <c r="B536" s="24">
        <v>1914.07</v>
      </c>
      <c r="C536" s="25">
        <v>7.68</v>
      </c>
      <c r="D536" s="40"/>
      <c r="E536" s="40"/>
      <c r="F536" s="12"/>
      <c r="G536" s="18"/>
      <c r="H536" s="12"/>
      <c r="I536" s="39"/>
      <c r="J536" s="39"/>
      <c r="K536" s="39"/>
      <c r="M536" s="19"/>
    </row>
    <row r="537" spans="2:13" s="11" customFormat="1" x14ac:dyDescent="0.2">
      <c r="B537" s="24">
        <v>1914.08</v>
      </c>
      <c r="C537" s="25">
        <v>7.68</v>
      </c>
      <c r="D537" s="40"/>
      <c r="E537" s="40"/>
      <c r="F537" s="12"/>
      <c r="G537" s="18"/>
      <c r="H537" s="12"/>
      <c r="I537" s="39"/>
      <c r="J537" s="39"/>
      <c r="K537" s="39"/>
      <c r="M537" s="19"/>
    </row>
    <row r="538" spans="2:13" s="11" customFormat="1" x14ac:dyDescent="0.2">
      <c r="B538" s="24">
        <v>1914.09</v>
      </c>
      <c r="C538" s="25">
        <v>7.68</v>
      </c>
      <c r="D538" s="40"/>
      <c r="E538" s="40"/>
      <c r="F538" s="12"/>
      <c r="G538" s="18"/>
      <c r="H538" s="12"/>
      <c r="I538" s="39"/>
      <c r="J538" s="39"/>
      <c r="K538" s="39"/>
      <c r="M538" s="19"/>
    </row>
    <row r="539" spans="2:13" s="11" customFormat="1" x14ac:dyDescent="0.2">
      <c r="B539" s="24">
        <v>1914.1</v>
      </c>
      <c r="C539" s="25">
        <v>7.68</v>
      </c>
      <c r="D539" s="40"/>
      <c r="E539" s="40"/>
      <c r="F539" s="12"/>
      <c r="G539" s="18"/>
      <c r="H539" s="12"/>
      <c r="I539" s="39"/>
      <c r="J539" s="39"/>
      <c r="K539" s="39"/>
      <c r="M539" s="19"/>
    </row>
    <row r="540" spans="2:13" s="11" customFormat="1" x14ac:dyDescent="0.2">
      <c r="B540" s="24">
        <v>1914.11</v>
      </c>
      <c r="C540" s="25">
        <v>7.68</v>
      </c>
      <c r="D540" s="40"/>
      <c r="E540" s="40"/>
      <c r="F540" s="12"/>
      <c r="G540" s="18"/>
      <c r="H540" s="12"/>
      <c r="I540" s="39"/>
      <c r="J540" s="39"/>
      <c r="K540" s="39"/>
      <c r="M540" s="19"/>
    </row>
    <row r="541" spans="2:13" s="11" customFormat="1" x14ac:dyDescent="0.2">
      <c r="B541" s="24">
        <v>1914.12</v>
      </c>
      <c r="C541" s="25">
        <v>7.35</v>
      </c>
      <c r="D541" s="40"/>
      <c r="E541" s="40"/>
      <c r="F541" s="12"/>
      <c r="G541" s="18"/>
      <c r="H541" s="12"/>
      <c r="I541" s="39"/>
      <c r="J541" s="39"/>
      <c r="K541" s="39"/>
      <c r="M541" s="19"/>
    </row>
    <row r="542" spans="2:13" s="11" customFormat="1" x14ac:dyDescent="0.2">
      <c r="B542" s="24">
        <v>1915.01</v>
      </c>
      <c r="C542" s="25">
        <v>7.48</v>
      </c>
      <c r="D542" s="40"/>
      <c r="E542" s="40"/>
      <c r="F542" s="12"/>
      <c r="G542" s="18"/>
      <c r="H542" s="12"/>
      <c r="I542" s="39"/>
      <c r="J542" s="39"/>
      <c r="K542" s="39"/>
      <c r="M542" s="19"/>
    </row>
    <row r="543" spans="2:13" s="11" customFormat="1" x14ac:dyDescent="0.2">
      <c r="B543" s="24">
        <v>1915.02</v>
      </c>
      <c r="C543" s="25">
        <v>7.38</v>
      </c>
      <c r="D543" s="40"/>
      <c r="E543" s="40"/>
      <c r="F543" s="12"/>
      <c r="G543" s="18"/>
      <c r="H543" s="12"/>
      <c r="I543" s="39"/>
      <c r="J543" s="39"/>
      <c r="K543" s="39"/>
      <c r="M543" s="19"/>
    </row>
    <row r="544" spans="2:13" s="11" customFormat="1" x14ac:dyDescent="0.2">
      <c r="B544" s="24">
        <v>1915.03</v>
      </c>
      <c r="C544" s="25">
        <v>7.57</v>
      </c>
      <c r="D544" s="40"/>
      <c r="E544" s="40"/>
      <c r="F544" s="12"/>
      <c r="G544" s="18"/>
      <c r="H544" s="12"/>
      <c r="I544" s="39"/>
      <c r="J544" s="39"/>
      <c r="K544" s="39"/>
      <c r="M544" s="19"/>
    </row>
    <row r="545" spans="2:13" s="11" customFormat="1" x14ac:dyDescent="0.2">
      <c r="B545" s="24">
        <v>1915.04</v>
      </c>
      <c r="C545" s="25">
        <v>8.14</v>
      </c>
      <c r="D545" s="40"/>
      <c r="E545" s="40"/>
      <c r="F545" s="12"/>
      <c r="G545" s="18"/>
      <c r="H545" s="12"/>
      <c r="I545" s="39"/>
      <c r="J545" s="39"/>
      <c r="K545" s="39"/>
      <c r="M545" s="19"/>
    </row>
    <row r="546" spans="2:13" s="11" customFormat="1" x14ac:dyDescent="0.2">
      <c r="B546" s="24">
        <v>1915.05</v>
      </c>
      <c r="C546" s="25">
        <v>7.95</v>
      </c>
      <c r="D546" s="40"/>
      <c r="E546" s="40"/>
      <c r="F546" s="12"/>
      <c r="G546" s="18"/>
      <c r="H546" s="12"/>
      <c r="I546" s="39"/>
      <c r="J546" s="39"/>
      <c r="K546" s="39"/>
      <c r="M546" s="19"/>
    </row>
    <row r="547" spans="2:13" s="11" customFormat="1" x14ac:dyDescent="0.2">
      <c r="B547" s="24">
        <v>1915.06</v>
      </c>
      <c r="C547" s="25">
        <v>8.0399999999999991</v>
      </c>
      <c r="D547" s="40"/>
      <c r="E547" s="40"/>
      <c r="F547" s="12"/>
      <c r="G547" s="18"/>
      <c r="H547" s="12"/>
      <c r="I547" s="39"/>
      <c r="J547" s="39"/>
      <c r="K547" s="39"/>
      <c r="M547" s="19"/>
    </row>
    <row r="548" spans="2:13" s="11" customFormat="1" x14ac:dyDescent="0.2">
      <c r="B548" s="24">
        <v>1915.07</v>
      </c>
      <c r="C548" s="25">
        <v>8.01</v>
      </c>
      <c r="D548" s="40"/>
      <c r="E548" s="40"/>
      <c r="F548" s="12"/>
      <c r="G548" s="18"/>
      <c r="H548" s="12"/>
      <c r="I548" s="39"/>
      <c r="J548" s="39"/>
      <c r="K548" s="39"/>
      <c r="M548" s="19"/>
    </row>
    <row r="549" spans="2:13" s="11" customFormat="1" x14ac:dyDescent="0.2">
      <c r="B549" s="24">
        <v>1915.08</v>
      </c>
      <c r="C549" s="25">
        <v>8.35</v>
      </c>
      <c r="D549" s="40"/>
      <c r="E549" s="40"/>
      <c r="F549" s="12"/>
      <c r="G549" s="18"/>
      <c r="H549" s="12"/>
      <c r="I549" s="39"/>
      <c r="J549" s="39"/>
      <c r="K549" s="39"/>
      <c r="M549" s="19"/>
    </row>
    <row r="550" spans="2:13" s="11" customFormat="1" x14ac:dyDescent="0.2">
      <c r="B550" s="24">
        <v>1915.09</v>
      </c>
      <c r="C550" s="25">
        <v>8.66</v>
      </c>
      <c r="D550" s="40"/>
      <c r="E550" s="40"/>
      <c r="F550" s="12"/>
      <c r="G550" s="18"/>
      <c r="H550" s="12"/>
      <c r="I550" s="39"/>
      <c r="J550" s="39"/>
      <c r="K550" s="39"/>
      <c r="M550" s="19"/>
    </row>
    <row r="551" spans="2:13" s="11" customFormat="1" x14ac:dyDescent="0.2">
      <c r="B551" s="24">
        <v>1915.1</v>
      </c>
      <c r="C551" s="25">
        <v>9.14</v>
      </c>
      <c r="D551" s="40"/>
      <c r="E551" s="40"/>
      <c r="F551" s="12"/>
      <c r="G551" s="18"/>
      <c r="H551" s="12"/>
      <c r="I551" s="39"/>
      <c r="J551" s="39"/>
      <c r="K551" s="39"/>
      <c r="M551" s="19"/>
    </row>
    <row r="552" spans="2:13" s="11" customFormat="1" x14ac:dyDescent="0.2">
      <c r="B552" s="24">
        <v>1915.11</v>
      </c>
      <c r="C552" s="25">
        <v>9.4600000000000009</v>
      </c>
      <c r="D552" s="40"/>
      <c r="E552" s="40"/>
      <c r="F552" s="12"/>
      <c r="G552" s="18"/>
      <c r="H552" s="12"/>
      <c r="I552" s="39"/>
      <c r="J552" s="39"/>
      <c r="K552" s="39"/>
      <c r="M552" s="19"/>
    </row>
    <row r="553" spans="2:13" s="11" customFormat="1" x14ac:dyDescent="0.2">
      <c r="B553" s="24">
        <v>1915.12</v>
      </c>
      <c r="C553" s="25">
        <v>9.48</v>
      </c>
      <c r="D553" s="40"/>
      <c r="E553" s="40"/>
      <c r="F553" s="12"/>
      <c r="G553" s="18"/>
      <c r="H553" s="12"/>
      <c r="I553" s="39"/>
      <c r="J553" s="39"/>
      <c r="K553" s="39"/>
      <c r="M553" s="19"/>
    </row>
    <row r="554" spans="2:13" s="11" customFormat="1" x14ac:dyDescent="0.2">
      <c r="B554" s="24">
        <v>1916.01</v>
      </c>
      <c r="C554" s="25">
        <v>9.33</v>
      </c>
      <c r="D554" s="40"/>
      <c r="E554" s="40"/>
      <c r="F554" s="12"/>
      <c r="G554" s="18"/>
      <c r="H554" s="12"/>
      <c r="I554" s="39"/>
      <c r="J554" s="39"/>
      <c r="K554" s="39"/>
      <c r="M554" s="19"/>
    </row>
    <row r="555" spans="2:13" s="11" customFormat="1" x14ac:dyDescent="0.2">
      <c r="B555" s="24">
        <v>1916.02</v>
      </c>
      <c r="C555" s="25">
        <v>9.1999999999999993</v>
      </c>
      <c r="D555" s="40"/>
      <c r="E555" s="40"/>
      <c r="F555" s="12"/>
      <c r="G555" s="18"/>
      <c r="H555" s="12"/>
      <c r="I555" s="39"/>
      <c r="J555" s="39"/>
      <c r="K555" s="39"/>
      <c r="M555" s="19"/>
    </row>
    <row r="556" spans="2:13" s="11" customFormat="1" x14ac:dyDescent="0.2">
      <c r="B556" s="24">
        <v>1916.03</v>
      </c>
      <c r="C556" s="25">
        <v>9.17</v>
      </c>
      <c r="D556" s="40"/>
      <c r="E556" s="40"/>
      <c r="F556" s="12"/>
      <c r="G556" s="18"/>
      <c r="H556" s="12"/>
      <c r="I556" s="39"/>
      <c r="J556" s="39"/>
      <c r="K556" s="39"/>
      <c r="M556" s="19"/>
    </row>
    <row r="557" spans="2:13" s="11" customFormat="1" x14ac:dyDescent="0.2">
      <c r="B557" s="24">
        <v>1916.04</v>
      </c>
      <c r="C557" s="25">
        <v>9.07</v>
      </c>
      <c r="D557" s="40"/>
      <c r="E557" s="40"/>
      <c r="F557" s="12"/>
      <c r="G557" s="18"/>
      <c r="H557" s="12"/>
      <c r="I557" s="39"/>
      <c r="J557" s="39"/>
      <c r="K557" s="39"/>
      <c r="M557" s="19"/>
    </row>
    <row r="558" spans="2:13" s="11" customFormat="1" x14ac:dyDescent="0.2">
      <c r="B558" s="24">
        <v>1916.05</v>
      </c>
      <c r="C558" s="25">
        <v>9.27</v>
      </c>
      <c r="D558" s="40"/>
      <c r="E558" s="40"/>
      <c r="F558" s="12"/>
      <c r="G558" s="18"/>
      <c r="H558" s="12"/>
      <c r="I558" s="39"/>
      <c r="J558" s="39"/>
      <c r="K558" s="39"/>
      <c r="M558" s="19"/>
    </row>
    <row r="559" spans="2:13" s="11" customFormat="1" x14ac:dyDescent="0.2">
      <c r="B559" s="24">
        <v>1916.06</v>
      </c>
      <c r="C559" s="25">
        <v>9.36</v>
      </c>
      <c r="D559" s="40"/>
      <c r="E559" s="40"/>
      <c r="F559" s="12"/>
      <c r="G559" s="18"/>
      <c r="H559" s="12"/>
      <c r="I559" s="39"/>
      <c r="J559" s="39"/>
      <c r="K559" s="39"/>
      <c r="M559" s="19"/>
    </row>
    <row r="560" spans="2:13" s="11" customFormat="1" x14ac:dyDescent="0.2">
      <c r="B560" s="24">
        <v>1916.07</v>
      </c>
      <c r="C560" s="25">
        <v>9.23</v>
      </c>
      <c r="D560" s="40"/>
      <c r="E560" s="40"/>
      <c r="F560" s="12"/>
      <c r="G560" s="18"/>
      <c r="H560" s="12"/>
      <c r="I560" s="39"/>
      <c r="J560" s="39"/>
      <c r="K560" s="39"/>
      <c r="M560" s="19"/>
    </row>
    <row r="561" spans="2:13" s="11" customFormat="1" x14ac:dyDescent="0.2">
      <c r="B561" s="24">
        <v>1916.08</v>
      </c>
      <c r="C561" s="25">
        <v>9.3000000000000007</v>
      </c>
      <c r="D561" s="40"/>
      <c r="E561" s="40"/>
      <c r="F561" s="12"/>
      <c r="G561" s="18"/>
      <c r="H561" s="12"/>
      <c r="I561" s="39"/>
      <c r="J561" s="39"/>
      <c r="K561" s="39"/>
      <c r="M561" s="19"/>
    </row>
    <row r="562" spans="2:13" s="11" customFormat="1" x14ac:dyDescent="0.2">
      <c r="B562" s="24">
        <v>1916.09</v>
      </c>
      <c r="C562" s="25">
        <v>9.68</v>
      </c>
      <c r="D562" s="40"/>
      <c r="E562" s="40"/>
      <c r="F562" s="12"/>
      <c r="G562" s="18"/>
      <c r="H562" s="12"/>
      <c r="I562" s="39"/>
      <c r="J562" s="39"/>
      <c r="K562" s="39"/>
      <c r="M562" s="19"/>
    </row>
    <row r="563" spans="2:13" s="11" customFormat="1" x14ac:dyDescent="0.2">
      <c r="B563" s="24">
        <v>1916.1</v>
      </c>
      <c r="C563" s="25">
        <v>9.98</v>
      </c>
      <c r="D563" s="40"/>
      <c r="E563" s="40"/>
      <c r="F563" s="12"/>
      <c r="G563" s="18"/>
      <c r="H563" s="12"/>
      <c r="I563" s="39"/>
      <c r="J563" s="39"/>
      <c r="K563" s="39"/>
      <c r="M563" s="19"/>
    </row>
    <row r="564" spans="2:13" s="11" customFormat="1" x14ac:dyDescent="0.2">
      <c r="B564" s="24">
        <v>1916.11</v>
      </c>
      <c r="C564" s="25">
        <v>10.210000000000001</v>
      </c>
      <c r="D564" s="40"/>
      <c r="E564" s="40"/>
      <c r="F564" s="12"/>
      <c r="G564" s="18"/>
      <c r="H564" s="12"/>
      <c r="I564" s="39"/>
      <c r="J564" s="39"/>
      <c r="K564" s="39"/>
      <c r="M564" s="19"/>
    </row>
    <row r="565" spans="2:13" s="11" customFormat="1" x14ac:dyDescent="0.2">
      <c r="B565" s="24">
        <v>1916.12</v>
      </c>
      <c r="C565" s="25">
        <v>9.8000000000000007</v>
      </c>
      <c r="D565" s="40"/>
      <c r="E565" s="40"/>
      <c r="F565" s="12"/>
      <c r="G565" s="18"/>
      <c r="H565" s="12"/>
      <c r="I565" s="39"/>
      <c r="J565" s="39"/>
      <c r="K565" s="39"/>
      <c r="M565" s="19"/>
    </row>
    <row r="566" spans="2:13" s="11" customFormat="1" x14ac:dyDescent="0.2">
      <c r="B566" s="24">
        <v>1917.01</v>
      </c>
      <c r="C566" s="25">
        <v>9.57</v>
      </c>
      <c r="D566" s="40"/>
      <c r="E566" s="40"/>
      <c r="F566" s="12"/>
      <c r="G566" s="18"/>
      <c r="H566" s="12"/>
      <c r="I566" s="39"/>
      <c r="J566" s="39"/>
      <c r="K566" s="39"/>
      <c r="M566" s="19"/>
    </row>
    <row r="567" spans="2:13" s="11" customFormat="1" x14ac:dyDescent="0.2">
      <c r="B567" s="24">
        <v>1917.02</v>
      </c>
      <c r="C567" s="25">
        <v>9.0299999999999994</v>
      </c>
      <c r="D567" s="40"/>
      <c r="E567" s="40"/>
      <c r="F567" s="12"/>
      <c r="G567" s="18"/>
      <c r="H567" s="12"/>
      <c r="I567" s="39"/>
      <c r="J567" s="39"/>
      <c r="K567" s="39"/>
      <c r="M567" s="19"/>
    </row>
    <row r="568" spans="2:13" s="11" customFormat="1" x14ac:dyDescent="0.2">
      <c r="B568" s="24">
        <v>1917.03</v>
      </c>
      <c r="C568" s="25">
        <v>9.31</v>
      </c>
      <c r="D568" s="40"/>
      <c r="E568" s="40"/>
      <c r="F568" s="12"/>
      <c r="G568" s="18"/>
      <c r="H568" s="12"/>
      <c r="I568" s="39"/>
      <c r="J568" s="39"/>
      <c r="K568" s="39"/>
      <c r="M568" s="19"/>
    </row>
    <row r="569" spans="2:13" s="11" customFormat="1" x14ac:dyDescent="0.2">
      <c r="B569" s="24">
        <v>1917.04</v>
      </c>
      <c r="C569" s="25">
        <v>9.17</v>
      </c>
      <c r="D569" s="40"/>
      <c r="E569" s="40"/>
      <c r="F569" s="12"/>
      <c r="G569" s="18"/>
      <c r="H569" s="12"/>
      <c r="I569" s="39"/>
      <c r="J569" s="39"/>
      <c r="K569" s="39"/>
      <c r="M569" s="19"/>
    </row>
    <row r="570" spans="2:13" s="11" customFormat="1" x14ac:dyDescent="0.2">
      <c r="B570" s="24">
        <v>1917.05</v>
      </c>
      <c r="C570" s="25">
        <v>8.86</v>
      </c>
      <c r="D570" s="40"/>
      <c r="E570" s="40"/>
      <c r="F570" s="12"/>
      <c r="G570" s="18"/>
      <c r="H570" s="12"/>
      <c r="I570" s="39"/>
      <c r="J570" s="39"/>
      <c r="K570" s="39"/>
      <c r="M570" s="19"/>
    </row>
    <row r="571" spans="2:13" s="11" customFormat="1" x14ac:dyDescent="0.2">
      <c r="B571" s="24">
        <v>1917.06</v>
      </c>
      <c r="C571" s="25">
        <v>9.0399999999999991</v>
      </c>
      <c r="D571" s="40"/>
      <c r="E571" s="40"/>
      <c r="F571" s="12"/>
      <c r="G571" s="18"/>
      <c r="H571" s="12"/>
      <c r="I571" s="39"/>
      <c r="J571" s="39"/>
      <c r="K571" s="39"/>
      <c r="M571" s="19"/>
    </row>
    <row r="572" spans="2:13" s="11" customFormat="1" x14ac:dyDescent="0.2">
      <c r="B572" s="24">
        <v>1917.07</v>
      </c>
      <c r="C572" s="25">
        <v>8.7899999999999991</v>
      </c>
      <c r="D572" s="40"/>
      <c r="E572" s="40"/>
      <c r="F572" s="12"/>
      <c r="G572" s="18"/>
      <c r="H572" s="12"/>
      <c r="I572" s="39"/>
      <c r="J572" s="39"/>
      <c r="K572" s="39"/>
      <c r="M572" s="19"/>
    </row>
    <row r="573" spans="2:13" s="11" customFormat="1" x14ac:dyDescent="0.2">
      <c r="B573" s="24">
        <v>1917.08</v>
      </c>
      <c r="C573" s="25">
        <v>8.5299999999999994</v>
      </c>
      <c r="D573" s="40"/>
      <c r="E573" s="40"/>
      <c r="F573" s="12"/>
      <c r="G573" s="18"/>
      <c r="H573" s="12"/>
      <c r="I573" s="39"/>
      <c r="J573" s="39"/>
      <c r="K573" s="39"/>
      <c r="M573" s="19"/>
    </row>
    <row r="574" spans="2:13" s="11" customFormat="1" x14ac:dyDescent="0.2">
      <c r="B574" s="24">
        <v>1917.09</v>
      </c>
      <c r="C574" s="25">
        <v>8.1199999999999992</v>
      </c>
      <c r="D574" s="40"/>
      <c r="E574" s="40"/>
      <c r="F574" s="12"/>
      <c r="G574" s="18"/>
      <c r="H574" s="12"/>
      <c r="I574" s="39"/>
      <c r="J574" s="39"/>
      <c r="K574" s="39"/>
      <c r="M574" s="19"/>
    </row>
    <row r="575" spans="2:13" s="11" customFormat="1" x14ac:dyDescent="0.2">
      <c r="B575" s="24">
        <v>1917.1</v>
      </c>
      <c r="C575" s="25">
        <v>7.68</v>
      </c>
      <c r="D575" s="40"/>
      <c r="E575" s="40"/>
      <c r="F575" s="12"/>
      <c r="G575" s="18"/>
      <c r="H575" s="12"/>
      <c r="I575" s="39"/>
      <c r="J575" s="39"/>
      <c r="K575" s="39"/>
      <c r="M575" s="19"/>
    </row>
    <row r="576" spans="2:13" s="11" customFormat="1" x14ac:dyDescent="0.2">
      <c r="B576" s="24">
        <v>1917.11</v>
      </c>
      <c r="C576" s="25">
        <v>7.04</v>
      </c>
      <c r="D576" s="40"/>
      <c r="E576" s="40"/>
      <c r="F576" s="12"/>
      <c r="G576" s="18"/>
      <c r="H576" s="12"/>
      <c r="I576" s="39"/>
      <c r="J576" s="39"/>
      <c r="K576" s="39"/>
      <c r="M576" s="19"/>
    </row>
    <row r="577" spans="2:13" s="11" customFormat="1" x14ac:dyDescent="0.2">
      <c r="B577" s="24">
        <v>1917.12</v>
      </c>
      <c r="C577" s="25">
        <v>6.8</v>
      </c>
      <c r="D577" s="40"/>
      <c r="E577" s="40"/>
      <c r="F577" s="12"/>
      <c r="G577" s="18"/>
      <c r="H577" s="12"/>
      <c r="I577" s="39"/>
      <c r="J577" s="39"/>
      <c r="K577" s="39"/>
      <c r="M577" s="19"/>
    </row>
    <row r="578" spans="2:13" s="11" customFormat="1" x14ac:dyDescent="0.2">
      <c r="B578" s="24">
        <v>1918.01</v>
      </c>
      <c r="C578" s="25">
        <v>7.21</v>
      </c>
      <c r="D578" s="40"/>
      <c r="E578" s="40"/>
      <c r="F578" s="12"/>
      <c r="G578" s="18"/>
      <c r="H578" s="12"/>
      <c r="I578" s="39"/>
      <c r="J578" s="39"/>
      <c r="K578" s="39"/>
      <c r="M578" s="19"/>
    </row>
    <row r="579" spans="2:13" s="11" customFormat="1" x14ac:dyDescent="0.2">
      <c r="B579" s="24">
        <v>1918.02</v>
      </c>
      <c r="C579" s="25">
        <v>7.43</v>
      </c>
      <c r="D579" s="40"/>
      <c r="E579" s="40"/>
      <c r="F579" s="12"/>
      <c r="G579" s="18"/>
      <c r="H579" s="12"/>
      <c r="I579" s="39"/>
      <c r="J579" s="39"/>
      <c r="K579" s="39"/>
      <c r="M579" s="19"/>
    </row>
    <row r="580" spans="2:13" s="11" customFormat="1" x14ac:dyDescent="0.2">
      <c r="B580" s="24">
        <v>1918.03</v>
      </c>
      <c r="C580" s="25">
        <v>7.28</v>
      </c>
      <c r="D580" s="40"/>
      <c r="E580" s="40"/>
      <c r="F580" s="12"/>
      <c r="G580" s="18"/>
      <c r="H580" s="12"/>
      <c r="I580" s="39"/>
      <c r="J580" s="39"/>
      <c r="K580" s="39"/>
      <c r="M580" s="19"/>
    </row>
    <row r="581" spans="2:13" s="11" customFormat="1" x14ac:dyDescent="0.2">
      <c r="B581" s="24">
        <v>1918.04</v>
      </c>
      <c r="C581" s="25">
        <v>7.21</v>
      </c>
      <c r="D581" s="40"/>
      <c r="E581" s="40"/>
      <c r="F581" s="12"/>
      <c r="G581" s="18"/>
      <c r="H581" s="12"/>
      <c r="I581" s="39"/>
      <c r="J581" s="39"/>
      <c r="K581" s="39"/>
      <c r="M581" s="19"/>
    </row>
    <row r="582" spans="2:13" s="11" customFormat="1" x14ac:dyDescent="0.2">
      <c r="B582" s="24">
        <v>1918.05</v>
      </c>
      <c r="C582" s="25">
        <v>7.44</v>
      </c>
      <c r="D582" s="40"/>
      <c r="E582" s="40"/>
      <c r="F582" s="12"/>
      <c r="G582" s="18"/>
      <c r="H582" s="12"/>
      <c r="I582" s="39"/>
      <c r="J582" s="39"/>
      <c r="K582" s="39"/>
      <c r="M582" s="19"/>
    </row>
    <row r="583" spans="2:13" s="11" customFormat="1" x14ac:dyDescent="0.2">
      <c r="B583" s="24">
        <v>1918.06</v>
      </c>
      <c r="C583" s="25">
        <v>7.45</v>
      </c>
      <c r="D583" s="40"/>
      <c r="E583" s="40"/>
      <c r="F583" s="12"/>
      <c r="G583" s="18"/>
      <c r="H583" s="12"/>
      <c r="I583" s="39"/>
      <c r="J583" s="39"/>
      <c r="K583" s="39"/>
      <c r="M583" s="19"/>
    </row>
    <row r="584" spans="2:13" s="11" customFormat="1" x14ac:dyDescent="0.2">
      <c r="B584" s="24">
        <v>1918.07</v>
      </c>
      <c r="C584" s="25">
        <v>7.51</v>
      </c>
      <c r="D584" s="40"/>
      <c r="E584" s="40"/>
      <c r="F584" s="12"/>
      <c r="G584" s="18"/>
      <c r="H584" s="12"/>
      <c r="I584" s="39"/>
      <c r="J584" s="39"/>
      <c r="K584" s="39"/>
      <c r="M584" s="19"/>
    </row>
    <row r="585" spans="2:13" s="11" customFormat="1" x14ac:dyDescent="0.2">
      <c r="B585" s="24">
        <v>1918.08</v>
      </c>
      <c r="C585" s="25">
        <v>7.58</v>
      </c>
      <c r="D585" s="40"/>
      <c r="E585" s="40"/>
      <c r="F585" s="12"/>
      <c r="G585" s="18"/>
      <c r="H585" s="12"/>
      <c r="I585" s="39"/>
      <c r="J585" s="39"/>
      <c r="K585" s="39"/>
      <c r="M585" s="19"/>
    </row>
    <row r="586" spans="2:13" s="11" customFormat="1" x14ac:dyDescent="0.2">
      <c r="B586" s="24">
        <v>1918.09</v>
      </c>
      <c r="C586" s="25">
        <v>7.54</v>
      </c>
      <c r="D586" s="40"/>
      <c r="E586" s="40"/>
      <c r="F586" s="12"/>
      <c r="G586" s="18"/>
      <c r="H586" s="12"/>
      <c r="I586" s="39"/>
      <c r="J586" s="39"/>
      <c r="K586" s="39"/>
      <c r="M586" s="19"/>
    </row>
    <row r="587" spans="2:13" s="11" customFormat="1" x14ac:dyDescent="0.2">
      <c r="B587" s="24">
        <v>1918.1</v>
      </c>
      <c r="C587" s="25">
        <v>7.86</v>
      </c>
      <c r="D587" s="40"/>
      <c r="E587" s="40"/>
      <c r="F587" s="12"/>
      <c r="G587" s="18"/>
      <c r="H587" s="12"/>
      <c r="I587" s="39"/>
      <c r="J587" s="39"/>
      <c r="K587" s="39"/>
      <c r="M587" s="19"/>
    </row>
    <row r="588" spans="2:13" s="11" customFormat="1" x14ac:dyDescent="0.2">
      <c r="B588" s="24">
        <v>1918.11</v>
      </c>
      <c r="C588" s="25">
        <v>8.06</v>
      </c>
      <c r="D588" s="40"/>
      <c r="E588" s="40"/>
      <c r="F588" s="12"/>
      <c r="G588" s="18"/>
      <c r="H588" s="12"/>
      <c r="I588" s="39"/>
      <c r="J588" s="39"/>
      <c r="K588" s="39"/>
      <c r="M588" s="19"/>
    </row>
    <row r="589" spans="2:13" s="11" customFormat="1" x14ac:dyDescent="0.2">
      <c r="B589" s="24">
        <v>1918.12</v>
      </c>
      <c r="C589" s="25">
        <v>7.9</v>
      </c>
      <c r="D589" s="40"/>
      <c r="E589" s="40"/>
      <c r="F589" s="12"/>
      <c r="G589" s="18"/>
      <c r="H589" s="12"/>
      <c r="I589" s="39"/>
      <c r="J589" s="39"/>
      <c r="K589" s="39"/>
      <c r="M589" s="19"/>
    </row>
    <row r="590" spans="2:13" s="11" customFormat="1" x14ac:dyDescent="0.2">
      <c r="B590" s="24">
        <v>1919.01</v>
      </c>
      <c r="C590" s="25">
        <v>7.85</v>
      </c>
      <c r="D590" s="40"/>
      <c r="E590" s="40"/>
      <c r="F590" s="12"/>
      <c r="G590" s="18"/>
      <c r="H590" s="12"/>
      <c r="I590" s="39"/>
      <c r="J590" s="39"/>
      <c r="K590" s="39"/>
      <c r="M590" s="19"/>
    </row>
    <row r="591" spans="2:13" s="11" customFormat="1" x14ac:dyDescent="0.2">
      <c r="B591" s="24">
        <v>1919.02</v>
      </c>
      <c r="C591" s="25">
        <v>7.88</v>
      </c>
      <c r="D591" s="40"/>
      <c r="E591" s="40"/>
      <c r="F591" s="12"/>
      <c r="G591" s="18"/>
      <c r="H591" s="12"/>
      <c r="I591" s="39"/>
      <c r="J591" s="39"/>
      <c r="K591" s="39"/>
      <c r="M591" s="19"/>
    </row>
    <row r="592" spans="2:13" s="11" customFormat="1" x14ac:dyDescent="0.2">
      <c r="B592" s="24">
        <v>1919.03</v>
      </c>
      <c r="C592" s="25">
        <v>8.1199999999999992</v>
      </c>
      <c r="D592" s="40"/>
      <c r="E592" s="40"/>
      <c r="F592" s="12"/>
      <c r="G592" s="18"/>
      <c r="H592" s="12"/>
      <c r="I592" s="39"/>
      <c r="J592" s="39"/>
      <c r="K592" s="39"/>
      <c r="M592" s="19"/>
    </row>
    <row r="593" spans="2:13" s="11" customFormat="1" x14ac:dyDescent="0.2">
      <c r="B593" s="24">
        <v>1919.04</v>
      </c>
      <c r="C593" s="25">
        <v>8.39</v>
      </c>
      <c r="D593" s="40"/>
      <c r="E593" s="40"/>
      <c r="F593" s="12"/>
      <c r="G593" s="18"/>
      <c r="H593" s="12"/>
      <c r="I593" s="39"/>
      <c r="J593" s="39"/>
      <c r="K593" s="39"/>
      <c r="M593" s="19"/>
    </row>
    <row r="594" spans="2:13" s="11" customFormat="1" x14ac:dyDescent="0.2">
      <c r="B594" s="24">
        <v>1919.05</v>
      </c>
      <c r="C594" s="25">
        <v>8.9700000000000006</v>
      </c>
      <c r="D594" s="40"/>
      <c r="E594" s="40"/>
      <c r="F594" s="12"/>
      <c r="G594" s="18"/>
      <c r="H594" s="12"/>
      <c r="I594" s="39"/>
      <c r="J594" s="39"/>
      <c r="K594" s="39"/>
      <c r="M594" s="19"/>
    </row>
    <row r="595" spans="2:13" s="11" customFormat="1" x14ac:dyDescent="0.2">
      <c r="B595" s="24">
        <v>1919.06</v>
      </c>
      <c r="C595" s="25">
        <v>9.2100000000000009</v>
      </c>
      <c r="D595" s="40"/>
      <c r="E595" s="40"/>
      <c r="F595" s="12"/>
      <c r="G595" s="18"/>
      <c r="H595" s="12"/>
      <c r="I595" s="39"/>
      <c r="J595" s="39"/>
      <c r="K595" s="39"/>
      <c r="M595" s="19"/>
    </row>
    <row r="596" spans="2:13" s="11" customFormat="1" x14ac:dyDescent="0.2">
      <c r="B596" s="24">
        <v>1919.07</v>
      </c>
      <c r="C596" s="25">
        <v>9.51</v>
      </c>
      <c r="D596" s="40"/>
      <c r="E596" s="40"/>
      <c r="F596" s="12"/>
      <c r="G596" s="18"/>
      <c r="H596" s="12"/>
      <c r="I596" s="39"/>
      <c r="J596" s="39"/>
      <c r="K596" s="39"/>
      <c r="M596" s="19"/>
    </row>
    <row r="597" spans="2:13" s="11" customFormat="1" x14ac:dyDescent="0.2">
      <c r="B597" s="24">
        <v>1919.08</v>
      </c>
      <c r="C597" s="25">
        <v>8.8699999999999992</v>
      </c>
      <c r="D597" s="40"/>
      <c r="E597" s="40"/>
      <c r="F597" s="12"/>
      <c r="G597" s="18"/>
      <c r="H597" s="12"/>
      <c r="I597" s="39"/>
      <c r="J597" s="39"/>
      <c r="K597" s="39"/>
      <c r="M597" s="19"/>
    </row>
    <row r="598" spans="2:13" s="11" customFormat="1" x14ac:dyDescent="0.2">
      <c r="B598" s="24">
        <v>1919.09</v>
      </c>
      <c r="C598" s="25">
        <v>9.01</v>
      </c>
      <c r="D598" s="40"/>
      <c r="E598" s="40"/>
      <c r="F598" s="12"/>
      <c r="G598" s="18"/>
      <c r="H598" s="12"/>
      <c r="I598" s="39"/>
      <c r="J598" s="39"/>
      <c r="K598" s="39"/>
      <c r="M598" s="19"/>
    </row>
    <row r="599" spans="2:13" s="11" customFormat="1" x14ac:dyDescent="0.2">
      <c r="B599" s="24">
        <v>1919.1</v>
      </c>
      <c r="C599" s="25">
        <v>9.4700000000000006</v>
      </c>
      <c r="D599" s="40"/>
      <c r="E599" s="40"/>
      <c r="F599" s="12"/>
      <c r="G599" s="18"/>
      <c r="H599" s="12"/>
      <c r="I599" s="39"/>
      <c r="J599" s="39"/>
      <c r="K599" s="39"/>
      <c r="M599" s="19"/>
    </row>
    <row r="600" spans="2:13" s="11" customFormat="1" x14ac:dyDescent="0.2">
      <c r="B600" s="24">
        <v>1919.11</v>
      </c>
      <c r="C600" s="25">
        <v>9.19</v>
      </c>
      <c r="D600" s="40"/>
      <c r="E600" s="40"/>
      <c r="F600" s="12"/>
      <c r="G600" s="18"/>
      <c r="H600" s="12"/>
      <c r="I600" s="39"/>
      <c r="J600" s="39"/>
      <c r="K600" s="39"/>
      <c r="M600" s="19"/>
    </row>
    <row r="601" spans="2:13" s="11" customFormat="1" x14ac:dyDescent="0.2">
      <c r="B601" s="24">
        <v>1919.12</v>
      </c>
      <c r="C601" s="25">
        <v>8.92</v>
      </c>
      <c r="D601" s="40"/>
      <c r="E601" s="40"/>
      <c r="F601" s="12"/>
      <c r="G601" s="18"/>
      <c r="H601" s="12"/>
      <c r="I601" s="39"/>
      <c r="J601" s="39"/>
      <c r="K601" s="39"/>
      <c r="M601" s="19"/>
    </row>
    <row r="602" spans="2:13" s="11" customFormat="1" x14ac:dyDescent="0.2">
      <c r="B602" s="24">
        <v>1920.01</v>
      </c>
      <c r="C602" s="25">
        <v>8.83</v>
      </c>
      <c r="D602" s="40">
        <f>AVERAGE(C596:C601)</f>
        <v>9.1616666666666671</v>
      </c>
      <c r="E602" s="40">
        <f>AVERAGE(C594:C601)</f>
        <v>9.1437499999999989</v>
      </c>
      <c r="F602" s="12"/>
      <c r="G602" s="18" t="s">
        <v>13</v>
      </c>
      <c r="H602" s="12"/>
      <c r="I602" s="39" t="str">
        <f>IF(BuyAllowed="Yes",IF(AND(G602 = "No", C602&gt;D602), "Yes", "No"),"No")</f>
        <v>No</v>
      </c>
      <c r="J602" s="39" t="str">
        <f>IF(SellAllowed="Yes",IF(AND(G602 = "Yes", C602&lt;E602), "Yes", "No"),"No")</f>
        <v>Yes</v>
      </c>
      <c r="K602" s="39">
        <f>IF(I602="Yes", StartCap/(C602+CostBuy), IF(J602 = "Yes", 0, StartShares))</f>
        <v>0</v>
      </c>
      <c r="M602" s="19">
        <f>IF(I602 = "Yes", StartCap-(C602+CostBuy)*K602, IF(J602="Yes", StartCap+(C602-CostSell)*StartShares, StartCap+StartShares*Rate))</f>
        <v>143850</v>
      </c>
    </row>
    <row r="603" spans="2:13" s="11" customFormat="1" x14ac:dyDescent="0.2">
      <c r="B603" s="24">
        <v>1920.02</v>
      </c>
      <c r="C603" s="25">
        <v>8.1</v>
      </c>
      <c r="D603" s="40">
        <f t="shared" ref="D603:D666" si="0">AVERAGE(C597:C602)</f>
        <v>9.0483333333333338</v>
      </c>
      <c r="E603" s="40">
        <f t="shared" ref="E603:E666" si="1">AVERAGE(C595:C602)</f>
        <v>9.1262499999999989</v>
      </c>
      <c r="F603" s="12"/>
      <c r="G603" s="18" t="str">
        <f>IF(I602 = "Yes", "Yes", IF(J602="Yes", "No", G602))</f>
        <v>No</v>
      </c>
      <c r="H603" s="12"/>
      <c r="I603" s="39" t="str">
        <f>IF(BuyAllowed="Yes",IF(AND(G603 = "No", C603&gt;D603), "Yes", "No"),"No")</f>
        <v>No</v>
      </c>
      <c r="J603" s="39" t="str">
        <f>IF(SellAllowed="Yes",IF(AND(G603 = "Yes", C603&lt;E603), "Yes", "No"),"No")</f>
        <v>No</v>
      </c>
      <c r="K603" s="39">
        <f>IF(I603 = "Yes", M602/(C603+CostBuy), IF(J603 = "Yes", 0, K602))</f>
        <v>0</v>
      </c>
      <c r="M603" s="19">
        <f>IF(I603 = "Yes", M602-(C603+CostBuy)*K603, IF(J603="Yes", M602+(C603-CostSell)*K602, M602+K603*Rate))</f>
        <v>143850</v>
      </c>
    </row>
    <row r="604" spans="2:13" s="11" customFormat="1" x14ac:dyDescent="0.2">
      <c r="B604" s="24">
        <v>1920.03</v>
      </c>
      <c r="C604" s="25">
        <v>8.67</v>
      </c>
      <c r="D604" s="40">
        <f t="shared" si="0"/>
        <v>8.92</v>
      </c>
      <c r="E604" s="40">
        <f t="shared" si="1"/>
        <v>8.9874999999999989</v>
      </c>
      <c r="F604" s="12"/>
      <c r="G604" s="18" t="str">
        <f t="shared" ref="G604:G667" si="2">IF(I603 = "Yes", "Yes", IF(J603="Yes", "No", G603))</f>
        <v>No</v>
      </c>
      <c r="H604" s="12"/>
      <c r="I604" s="39" t="str">
        <f>IF(BuyAllowed="Yes",IF(AND(G604 = "No", C604&gt;D604), "Yes", "No"),"No")</f>
        <v>No</v>
      </c>
      <c r="J604" s="39" t="str">
        <f>IF(SellAllowed="Yes",IF(AND(G604 = "Yes", C604&lt;E604), "Yes", "No"),"No")</f>
        <v>No</v>
      </c>
      <c r="K604" s="39">
        <f>IF(I604 = "Yes", M603/(C604+CostBuy), IF(J604 = "Yes", 0, K603))</f>
        <v>0</v>
      </c>
      <c r="M604" s="19">
        <f>IF(I604 = "Yes", M603-(C604+CostBuy)*K604, IF(J604="Yes", M603+(C604-CostSell)*K603, M603+K604*Rate))</f>
        <v>143850</v>
      </c>
    </row>
    <row r="605" spans="2:13" s="11" customFormat="1" x14ac:dyDescent="0.2">
      <c r="B605" s="24">
        <v>1920.04</v>
      </c>
      <c r="C605" s="25">
        <v>8.6</v>
      </c>
      <c r="D605" s="40">
        <f t="shared" si="0"/>
        <v>8.8633333333333333</v>
      </c>
      <c r="E605" s="40">
        <f t="shared" si="1"/>
        <v>8.8825000000000003</v>
      </c>
      <c r="F605" s="12"/>
      <c r="G605" s="18" t="str">
        <f t="shared" si="2"/>
        <v>No</v>
      </c>
      <c r="H605" s="12"/>
      <c r="I605" s="39" t="str">
        <f>IF(BuyAllowed="Yes",IF(AND(G605 = "No", C605&gt;D605), "Yes", "No"),"No")</f>
        <v>No</v>
      </c>
      <c r="J605" s="39" t="str">
        <f>IF(SellAllowed="Yes",IF(AND(G605 = "Yes", C605&lt;E605), "Yes", "No"),"No")</f>
        <v>No</v>
      </c>
      <c r="K605" s="39">
        <f>IF(I605 = "Yes", M604/(C605+CostBuy), IF(J605 = "Yes", 0, K604))</f>
        <v>0</v>
      </c>
      <c r="M605" s="19">
        <f>IF(I605 = "Yes", M604-(C605+CostBuy)*K605, IF(J605="Yes", M604+(C605-CostSell)*K604, M604+K605*Rate))</f>
        <v>143850</v>
      </c>
    </row>
    <row r="606" spans="2:13" s="11" customFormat="1" x14ac:dyDescent="0.2">
      <c r="B606" s="24">
        <v>1920.05</v>
      </c>
      <c r="C606" s="25">
        <v>8.06</v>
      </c>
      <c r="D606" s="40">
        <f t="shared" si="0"/>
        <v>8.7183333333333337</v>
      </c>
      <c r="E606" s="40">
        <f t="shared" si="1"/>
        <v>8.8487500000000008</v>
      </c>
      <c r="F606" s="12"/>
      <c r="G606" s="18" t="str">
        <f t="shared" si="2"/>
        <v>No</v>
      </c>
      <c r="H606" s="12"/>
      <c r="I606" s="39" t="str">
        <f>IF(BuyAllowed="Yes",IF(AND(G606 = "No", C606&gt;D606), "Yes", "No"),"No")</f>
        <v>No</v>
      </c>
      <c r="J606" s="39" t="str">
        <f>IF(SellAllowed="Yes",IF(AND(G606 = "Yes", C606&lt;E606), "Yes", "No"),"No")</f>
        <v>No</v>
      </c>
      <c r="K606" s="39">
        <f>IF(I606 = "Yes", M605/(C606+CostBuy), IF(J606 = "Yes", 0, K605))</f>
        <v>0</v>
      </c>
      <c r="M606" s="19">
        <f>IF(I606 = "Yes", M605-(C606+CostBuy)*K606, IF(J606="Yes", M605+(C606-CostSell)*K605, M605+K606*Rate))</f>
        <v>143850</v>
      </c>
    </row>
    <row r="607" spans="2:13" s="11" customFormat="1" x14ac:dyDescent="0.2">
      <c r="B607" s="24">
        <v>1920.06</v>
      </c>
      <c r="C607" s="25">
        <v>7.92</v>
      </c>
      <c r="D607" s="40">
        <f t="shared" si="0"/>
        <v>8.5300000000000011</v>
      </c>
      <c r="E607" s="40">
        <f t="shared" si="1"/>
        <v>8.73</v>
      </c>
      <c r="F607" s="12"/>
      <c r="G607" s="18" t="str">
        <f t="shared" si="2"/>
        <v>No</v>
      </c>
      <c r="H607" s="12"/>
      <c r="I607" s="39" t="str">
        <f>IF(BuyAllowed="Yes",IF(AND(G607 = "No", C607&gt;D607), "Yes", "No"),"No")</f>
        <v>No</v>
      </c>
      <c r="J607" s="39" t="str">
        <f>IF(SellAllowed="Yes",IF(AND(G607 = "Yes", C607&lt;E607), "Yes", "No"),"No")</f>
        <v>No</v>
      </c>
      <c r="K607" s="39">
        <f>IF(I607 = "Yes", M606/(C607+CostBuy), IF(J607 = "Yes", 0, K606))</f>
        <v>0</v>
      </c>
      <c r="M607" s="19">
        <f>IF(I607 = "Yes", M606-(C607+CostBuy)*K607, IF(J607="Yes", M606+(C607-CostSell)*K606, M606+K607*Rate))</f>
        <v>143850</v>
      </c>
    </row>
    <row r="608" spans="2:13" s="11" customFormat="1" x14ac:dyDescent="0.2">
      <c r="B608" s="24">
        <v>1920.07</v>
      </c>
      <c r="C608" s="25">
        <v>7.91</v>
      </c>
      <c r="D608" s="40">
        <f t="shared" si="0"/>
        <v>8.3633333333333351</v>
      </c>
      <c r="E608" s="40">
        <f t="shared" si="1"/>
        <v>8.5362500000000008</v>
      </c>
      <c r="F608" s="12"/>
      <c r="G608" s="18" t="str">
        <f t="shared" si="2"/>
        <v>No</v>
      </c>
      <c r="H608" s="12"/>
      <c r="I608" s="39" t="str">
        <f>IF(BuyAllowed="Yes",IF(AND(G608 = "No", C608&gt;D608), "Yes", "No"),"No")</f>
        <v>No</v>
      </c>
      <c r="J608" s="39" t="str">
        <f>IF(SellAllowed="Yes",IF(AND(G608 = "Yes", C608&lt;E608), "Yes", "No"),"No")</f>
        <v>No</v>
      </c>
      <c r="K608" s="39">
        <f>IF(I608 = "Yes", M607/(C608+CostBuy), IF(J608 = "Yes", 0, K607))</f>
        <v>0</v>
      </c>
      <c r="M608" s="19">
        <f>IF(I608 = "Yes", M607-(C608+CostBuy)*K608, IF(J608="Yes", M607+(C608-CostSell)*K607, M607+K608*Rate))</f>
        <v>143850</v>
      </c>
    </row>
    <row r="609" spans="2:13" s="11" customFormat="1" x14ac:dyDescent="0.2">
      <c r="B609" s="24">
        <v>1920.08</v>
      </c>
      <c r="C609" s="25">
        <v>7.6</v>
      </c>
      <c r="D609" s="40">
        <f t="shared" si="0"/>
        <v>8.2100000000000009</v>
      </c>
      <c r="E609" s="40">
        <f t="shared" si="1"/>
        <v>8.3762500000000006</v>
      </c>
      <c r="F609" s="12"/>
      <c r="G609" s="18" t="str">
        <f t="shared" si="2"/>
        <v>No</v>
      </c>
      <c r="H609" s="12"/>
      <c r="I609" s="39" t="str">
        <f>IF(BuyAllowed="Yes",IF(AND(G609 = "No", C609&gt;D609), "Yes", "No"),"No")</f>
        <v>No</v>
      </c>
      <c r="J609" s="39" t="str">
        <f>IF(SellAllowed="Yes",IF(AND(G609 = "Yes", C609&lt;E609), "Yes", "No"),"No")</f>
        <v>No</v>
      </c>
      <c r="K609" s="39">
        <f>IF(I609 = "Yes", M608/(C609+CostBuy), IF(J609 = "Yes", 0, K608))</f>
        <v>0</v>
      </c>
      <c r="M609" s="19">
        <f>IF(I609 = "Yes", M608-(C609+CostBuy)*K609, IF(J609="Yes", M608+(C609-CostSell)*K608, M608+K609*Rate))</f>
        <v>143850</v>
      </c>
    </row>
    <row r="610" spans="2:13" s="11" customFormat="1" x14ac:dyDescent="0.2">
      <c r="B610" s="24">
        <v>1920.09</v>
      </c>
      <c r="C610" s="25">
        <v>7.87</v>
      </c>
      <c r="D610" s="40">
        <f t="shared" si="0"/>
        <v>8.1266666666666669</v>
      </c>
      <c r="E610" s="40">
        <f t="shared" si="1"/>
        <v>8.2112499999999997</v>
      </c>
      <c r="F610" s="12"/>
      <c r="G610" s="18" t="str">
        <f t="shared" si="2"/>
        <v>No</v>
      </c>
      <c r="H610" s="12"/>
      <c r="I610" s="39" t="str">
        <f>IF(BuyAllowed="Yes",IF(AND(G610 = "No", C610&gt;D610), "Yes", "No"),"No")</f>
        <v>No</v>
      </c>
      <c r="J610" s="39" t="str">
        <f>IF(SellAllowed="Yes",IF(AND(G610 = "Yes", C610&lt;E610), "Yes", "No"),"No")</f>
        <v>No</v>
      </c>
      <c r="K610" s="39">
        <f>IF(I610 = "Yes", M609/(C610+CostBuy), IF(J610 = "Yes", 0, K609))</f>
        <v>0</v>
      </c>
      <c r="M610" s="19">
        <f>IF(I610 = "Yes", M609-(C610+CostBuy)*K610, IF(J610="Yes", M609+(C610-CostSell)*K609, M609+K610*Rate))</f>
        <v>143850</v>
      </c>
    </row>
    <row r="611" spans="2:13" s="11" customFormat="1" x14ac:dyDescent="0.2">
      <c r="B611" s="24">
        <v>1920.1</v>
      </c>
      <c r="C611" s="25">
        <v>7.88</v>
      </c>
      <c r="D611" s="40">
        <f t="shared" si="0"/>
        <v>7.9933333333333323</v>
      </c>
      <c r="E611" s="40">
        <f t="shared" si="1"/>
        <v>8.0912500000000005</v>
      </c>
      <c r="F611" s="12"/>
      <c r="G611" s="18" t="str">
        <f t="shared" si="2"/>
        <v>No</v>
      </c>
      <c r="H611" s="12"/>
      <c r="I611" s="39" t="str">
        <f>IF(BuyAllowed="Yes",IF(AND(G611 = "No", C611&gt;D611), "Yes", "No"),"No")</f>
        <v>No</v>
      </c>
      <c r="J611" s="39" t="str">
        <f>IF(SellAllowed="Yes",IF(AND(G611 = "Yes", C611&lt;E611), "Yes", "No"),"No")</f>
        <v>No</v>
      </c>
      <c r="K611" s="39">
        <f>IF(I611 = "Yes", M610/(C611+CostBuy), IF(J611 = "Yes", 0, K610))</f>
        <v>0</v>
      </c>
      <c r="M611" s="19">
        <f>IF(I611 = "Yes", M610-(C611+CostBuy)*K611, IF(J611="Yes", M610+(C611-CostSell)*K610, M610+K611*Rate))</f>
        <v>143850</v>
      </c>
    </row>
    <row r="612" spans="2:13" s="11" customFormat="1" x14ac:dyDescent="0.2">
      <c r="B612" s="24">
        <v>1920.11</v>
      </c>
      <c r="C612" s="25">
        <v>7.48</v>
      </c>
      <c r="D612" s="40">
        <f t="shared" si="0"/>
        <v>7.873333333333334</v>
      </c>
      <c r="E612" s="40">
        <f t="shared" si="1"/>
        <v>8.0637499999999989</v>
      </c>
      <c r="F612" s="12"/>
      <c r="G612" s="18" t="str">
        <f t="shared" si="2"/>
        <v>No</v>
      </c>
      <c r="H612" s="12"/>
      <c r="I612" s="39" t="str">
        <f>IF(BuyAllowed="Yes",IF(AND(G612 = "No", C612&gt;D612), "Yes", "No"),"No")</f>
        <v>No</v>
      </c>
      <c r="J612" s="39" t="str">
        <f>IF(SellAllowed="Yes",IF(AND(G612 = "Yes", C612&lt;E612), "Yes", "No"),"No")</f>
        <v>No</v>
      </c>
      <c r="K612" s="39">
        <f>IF(I612 = "Yes", M611/(C612+CostBuy), IF(J612 = "Yes", 0, K611))</f>
        <v>0</v>
      </c>
      <c r="M612" s="19">
        <f>IF(I612 = "Yes", M611-(C612+CostBuy)*K612, IF(J612="Yes", M611+(C612-CostSell)*K611, M611+K612*Rate))</f>
        <v>143850</v>
      </c>
    </row>
    <row r="613" spans="2:13" s="11" customFormat="1" x14ac:dyDescent="0.2">
      <c r="B613" s="24">
        <v>1920.12</v>
      </c>
      <c r="C613" s="25">
        <v>6.81</v>
      </c>
      <c r="D613" s="40">
        <f t="shared" si="0"/>
        <v>7.7766666666666664</v>
      </c>
      <c r="E613" s="40">
        <f t="shared" si="1"/>
        <v>7.9149999999999991</v>
      </c>
      <c r="F613" s="12"/>
      <c r="G613" s="18" t="str">
        <f t="shared" si="2"/>
        <v>No</v>
      </c>
      <c r="H613" s="12"/>
      <c r="I613" s="39" t="str">
        <f>IF(BuyAllowed="Yes",IF(AND(G613 = "No", C613&gt;D613), "Yes", "No"),"No")</f>
        <v>No</v>
      </c>
      <c r="J613" s="39" t="str">
        <f>IF(SellAllowed="Yes",IF(AND(G613 = "Yes", C613&lt;E613), "Yes", "No"),"No")</f>
        <v>No</v>
      </c>
      <c r="K613" s="39">
        <f>IF(I613 = "Yes", M612/(C613+CostBuy), IF(J613 = "Yes", 0, K612))</f>
        <v>0</v>
      </c>
      <c r="M613" s="19">
        <f>IF(I613 = "Yes", M612-(C613+CostBuy)*K613, IF(J613="Yes", M612+(C613-CostSell)*K612, M612+K613*Rate))</f>
        <v>143850</v>
      </c>
    </row>
    <row r="614" spans="2:13" s="11" customFormat="1" x14ac:dyDescent="0.2">
      <c r="B614" s="24">
        <v>1921.01</v>
      </c>
      <c r="C614" s="25">
        <v>7.11</v>
      </c>
      <c r="D614" s="40">
        <f t="shared" si="0"/>
        <v>7.5916666666666659</v>
      </c>
      <c r="E614" s="40">
        <f t="shared" si="1"/>
        <v>7.6912500000000001</v>
      </c>
      <c r="F614" s="12"/>
      <c r="G614" s="18" t="str">
        <f t="shared" si="2"/>
        <v>No</v>
      </c>
      <c r="H614" s="12"/>
      <c r="I614" s="39" t="str">
        <f>IF(BuyAllowed="Yes",IF(AND(G614 = "No", C614&gt;D614), "Yes", "No"),"No")</f>
        <v>No</v>
      </c>
      <c r="J614" s="39" t="str">
        <f>IF(SellAllowed="Yes",IF(AND(G614 = "Yes", C614&lt;E614), "Yes", "No"),"No")</f>
        <v>No</v>
      </c>
      <c r="K614" s="39">
        <f>IF(I614 = "Yes", M613/(C614+CostBuy), IF(J614 = "Yes", 0, K613))</f>
        <v>0</v>
      </c>
      <c r="M614" s="19">
        <f>IF(I614 = "Yes", M613-(C614+CostBuy)*K614, IF(J614="Yes", M613+(C614-CostSell)*K613, M613+K614*Rate))</f>
        <v>143850</v>
      </c>
    </row>
    <row r="615" spans="2:13" s="11" customFormat="1" x14ac:dyDescent="0.2">
      <c r="B615" s="24">
        <v>1921.02</v>
      </c>
      <c r="C615" s="25">
        <v>7.06</v>
      </c>
      <c r="D615" s="40">
        <f t="shared" si="0"/>
        <v>7.458333333333333</v>
      </c>
      <c r="E615" s="40">
        <f t="shared" si="1"/>
        <v>7.5724999999999998</v>
      </c>
      <c r="F615" s="12"/>
      <c r="G615" s="18" t="str">
        <f t="shared" si="2"/>
        <v>No</v>
      </c>
      <c r="H615" s="12"/>
      <c r="I615" s="39" t="str">
        <f>IF(BuyAllowed="Yes",IF(AND(G615 = "No", C615&gt;D615), "Yes", "No"),"No")</f>
        <v>No</v>
      </c>
      <c r="J615" s="39" t="str">
        <f>IF(SellAllowed="Yes",IF(AND(G615 = "Yes", C615&lt;E615), "Yes", "No"),"No")</f>
        <v>No</v>
      </c>
      <c r="K615" s="39">
        <f>IF(I615 = "Yes", M614/(C615+CostBuy), IF(J615 = "Yes", 0, K614))</f>
        <v>0</v>
      </c>
      <c r="M615" s="19">
        <f>IF(I615 = "Yes", M614-(C615+CostBuy)*K615, IF(J615="Yes", M614+(C615-CostSell)*K614, M614+K615*Rate))</f>
        <v>143850</v>
      </c>
    </row>
    <row r="616" spans="2:13" s="11" customFormat="1" x14ac:dyDescent="0.2">
      <c r="B616" s="24">
        <v>1921.03</v>
      </c>
      <c r="C616" s="25">
        <v>6.88</v>
      </c>
      <c r="D616" s="40">
        <f t="shared" si="0"/>
        <v>7.3683333333333332</v>
      </c>
      <c r="E616" s="40">
        <f t="shared" si="1"/>
        <v>7.4649999999999999</v>
      </c>
      <c r="F616" s="12"/>
      <c r="G616" s="18" t="str">
        <f t="shared" si="2"/>
        <v>No</v>
      </c>
      <c r="H616" s="12"/>
      <c r="I616" s="39" t="str">
        <f>IF(BuyAllowed="Yes",IF(AND(G616 = "No", C616&gt;D616), "Yes", "No"),"No")</f>
        <v>No</v>
      </c>
      <c r="J616" s="39" t="str">
        <f>IF(SellAllowed="Yes",IF(AND(G616 = "Yes", C616&lt;E616), "Yes", "No"),"No")</f>
        <v>No</v>
      </c>
      <c r="K616" s="39">
        <f>IF(I616 = "Yes", M615/(C616+CostBuy), IF(J616 = "Yes", 0, K615))</f>
        <v>0</v>
      </c>
      <c r="M616" s="19">
        <f>IF(I616 = "Yes", M615-(C616+CostBuy)*K616, IF(J616="Yes", M615+(C616-CostSell)*K615, M615+K616*Rate))</f>
        <v>143850</v>
      </c>
    </row>
    <row r="617" spans="2:13" s="11" customFormat="1" x14ac:dyDescent="0.2">
      <c r="B617" s="24">
        <v>1921.04</v>
      </c>
      <c r="C617" s="25">
        <v>6.91</v>
      </c>
      <c r="D617" s="40">
        <f t="shared" si="0"/>
        <v>7.2033333333333331</v>
      </c>
      <c r="E617" s="40">
        <f t="shared" si="1"/>
        <v>7.3362500000000006</v>
      </c>
      <c r="F617" s="12"/>
      <c r="G617" s="18" t="str">
        <f t="shared" si="2"/>
        <v>No</v>
      </c>
      <c r="H617" s="12"/>
      <c r="I617" s="39" t="str">
        <f>IF(BuyAllowed="Yes",IF(AND(G617 = "No", C617&gt;D617), "Yes", "No"),"No")</f>
        <v>No</v>
      </c>
      <c r="J617" s="39" t="str">
        <f>IF(SellAllowed="Yes",IF(AND(G617 = "Yes", C617&lt;E617), "Yes", "No"),"No")</f>
        <v>No</v>
      </c>
      <c r="K617" s="39">
        <f>IF(I617 = "Yes", M616/(C617+CostBuy), IF(J617 = "Yes", 0, K616))</f>
        <v>0</v>
      </c>
      <c r="M617" s="19">
        <f>IF(I617 = "Yes", M616-(C617+CostBuy)*K617, IF(J617="Yes", M616+(C617-CostSell)*K616, M616+K617*Rate))</f>
        <v>143850</v>
      </c>
    </row>
    <row r="618" spans="2:13" s="11" customFormat="1" x14ac:dyDescent="0.2">
      <c r="B618" s="24">
        <v>1921.05</v>
      </c>
      <c r="C618" s="25">
        <v>7.12</v>
      </c>
      <c r="D618" s="40">
        <f t="shared" si="0"/>
        <v>7.041666666666667</v>
      </c>
      <c r="E618" s="40">
        <f t="shared" si="1"/>
        <v>7.25</v>
      </c>
      <c r="F618" s="12"/>
      <c r="G618" s="18" t="str">
        <f t="shared" si="2"/>
        <v>No</v>
      </c>
      <c r="H618" s="12"/>
      <c r="I618" s="39" t="str">
        <f>IF(BuyAllowed="Yes",IF(AND(G618 = "No", C618&gt;D618), "Yes", "No"),"No")</f>
        <v>Yes</v>
      </c>
      <c r="J618" s="39" t="str">
        <f>IF(SellAllowed="Yes",IF(AND(G618 = "Yes", C618&lt;E618), "Yes", "No"),"No")</f>
        <v>No</v>
      </c>
      <c r="K618" s="39">
        <f>IF(I618 = "Yes", M617/(C618+CostBuy), IF(J618 = "Yes", 0, K617))</f>
        <v>20118.88111888112</v>
      </c>
      <c r="M618" s="19">
        <f>IF(I618 = "Yes", M617-(C618+CostBuy)*K618, IF(J618="Yes", M617+(C618-CostSell)*K617, M617+K618*Rate))</f>
        <v>0</v>
      </c>
    </row>
    <row r="619" spans="2:13" s="11" customFormat="1" x14ac:dyDescent="0.2">
      <c r="B619" s="24">
        <v>1921.06</v>
      </c>
      <c r="C619" s="25">
        <v>6.55</v>
      </c>
      <c r="D619" s="40">
        <f t="shared" si="0"/>
        <v>6.9816666666666656</v>
      </c>
      <c r="E619" s="40">
        <f t="shared" si="1"/>
        <v>7.1562499999999991</v>
      </c>
      <c r="F619" s="12"/>
      <c r="G619" s="18" t="str">
        <f t="shared" si="2"/>
        <v>Yes</v>
      </c>
      <c r="H619" s="12"/>
      <c r="I619" s="39" t="str">
        <f>IF(BuyAllowed="Yes",IF(AND(G619 = "No", C619&gt;D619), "Yes", "No"),"No")</f>
        <v>No</v>
      </c>
      <c r="J619" s="39" t="str">
        <f>IF(SellAllowed="Yes",IF(AND(G619 = "Yes", C619&lt;E619), "Yes", "No"),"No")</f>
        <v>Yes</v>
      </c>
      <c r="K619" s="39">
        <f>IF(I619 = "Yes", M618/(C619+CostBuy), IF(J619 = "Yes", 0, K618))</f>
        <v>0</v>
      </c>
      <c r="M619" s="19">
        <f>IF(I619 = "Yes", M618-(C619+CostBuy)*K619, IF(J619="Yes", M618+(C619-CostSell)*K618, M618+K619*Rate))</f>
        <v>130571.53846153847</v>
      </c>
    </row>
    <row r="620" spans="2:13" s="11" customFormat="1" x14ac:dyDescent="0.2">
      <c r="B620" s="24">
        <v>1921.07</v>
      </c>
      <c r="C620" s="25">
        <v>6.53</v>
      </c>
      <c r="D620" s="40">
        <f t="shared" si="0"/>
        <v>6.9383333333333326</v>
      </c>
      <c r="E620" s="40">
        <f t="shared" si="1"/>
        <v>6.9899999999999993</v>
      </c>
      <c r="F620" s="12"/>
      <c r="G620" s="18" t="str">
        <f t="shared" si="2"/>
        <v>No</v>
      </c>
      <c r="H620" s="12"/>
      <c r="I620" s="39" t="str">
        <f>IF(BuyAllowed="Yes",IF(AND(G620 = "No", C620&gt;D620), "Yes", "No"),"No")</f>
        <v>No</v>
      </c>
      <c r="J620" s="39" t="str">
        <f>IF(SellAllowed="Yes",IF(AND(G620 = "Yes", C620&lt;E620), "Yes", "No"),"No")</f>
        <v>No</v>
      </c>
      <c r="K620" s="39">
        <f>IF(I620 = "Yes", M619/(C620+CostBuy), IF(J620 = "Yes", 0, K619))</f>
        <v>0</v>
      </c>
      <c r="M620" s="19">
        <f>IF(I620 = "Yes", M619-(C620+CostBuy)*K620, IF(J620="Yes", M619+(C620-CostSell)*K619, M619+K620*Rate))</f>
        <v>130571.53846153847</v>
      </c>
    </row>
    <row r="621" spans="2:13" s="11" customFormat="1" x14ac:dyDescent="0.2">
      <c r="B621" s="24">
        <v>1921.08</v>
      </c>
      <c r="C621" s="25">
        <v>6.45</v>
      </c>
      <c r="D621" s="40">
        <f t="shared" si="0"/>
        <v>6.8416666666666677</v>
      </c>
      <c r="E621" s="40">
        <f t="shared" si="1"/>
        <v>6.871249999999999</v>
      </c>
      <c r="F621" s="12"/>
      <c r="G621" s="18" t="str">
        <f t="shared" si="2"/>
        <v>No</v>
      </c>
      <c r="H621" s="12"/>
      <c r="I621" s="39" t="str">
        <f>IF(BuyAllowed="Yes",IF(AND(G621 = "No", C621&gt;D621), "Yes", "No"),"No")</f>
        <v>No</v>
      </c>
      <c r="J621" s="39" t="str">
        <f>IF(SellAllowed="Yes",IF(AND(G621 = "Yes", C621&lt;E621), "Yes", "No"),"No")</f>
        <v>No</v>
      </c>
      <c r="K621" s="39">
        <f>IF(I621 = "Yes", M620/(C621+CostBuy), IF(J621 = "Yes", 0, K620))</f>
        <v>0</v>
      </c>
      <c r="M621" s="19">
        <f>IF(I621 = "Yes", M620-(C621+CostBuy)*K621, IF(J621="Yes", M620+(C621-CostSell)*K620, M620+K621*Rate))</f>
        <v>130571.53846153847</v>
      </c>
    </row>
    <row r="622" spans="2:13" s="11" customFormat="1" x14ac:dyDescent="0.2">
      <c r="B622" s="24">
        <v>1921.09</v>
      </c>
      <c r="C622" s="25">
        <v>6.61</v>
      </c>
      <c r="D622" s="40">
        <f t="shared" si="0"/>
        <v>6.7400000000000011</v>
      </c>
      <c r="E622" s="40">
        <f t="shared" si="1"/>
        <v>6.8262499999999999</v>
      </c>
      <c r="F622" s="12"/>
      <c r="G622" s="18" t="str">
        <f t="shared" si="2"/>
        <v>No</v>
      </c>
      <c r="H622" s="12"/>
      <c r="I622" s="39" t="str">
        <f>IF(BuyAllowed="Yes",IF(AND(G622 = "No", C622&gt;D622), "Yes", "No"),"No")</f>
        <v>No</v>
      </c>
      <c r="J622" s="39" t="str">
        <f>IF(SellAllowed="Yes",IF(AND(G622 = "Yes", C622&lt;E622), "Yes", "No"),"No")</f>
        <v>No</v>
      </c>
      <c r="K622" s="39">
        <f>IF(I622 = "Yes", M621/(C622+CostBuy), IF(J622 = "Yes", 0, K621))</f>
        <v>0</v>
      </c>
      <c r="M622" s="19">
        <f>IF(I622 = "Yes", M621-(C622+CostBuy)*K622, IF(J622="Yes", M621+(C622-CostSell)*K621, M621+K622*Rate))</f>
        <v>130571.53846153847</v>
      </c>
    </row>
    <row r="623" spans="2:13" s="11" customFormat="1" x14ac:dyDescent="0.2">
      <c r="B623" s="24">
        <v>1921.1</v>
      </c>
      <c r="C623" s="25">
        <v>6.7</v>
      </c>
      <c r="D623" s="40">
        <f t="shared" si="0"/>
        <v>6.6950000000000003</v>
      </c>
      <c r="E623" s="40">
        <f t="shared" si="1"/>
        <v>6.7637500000000008</v>
      </c>
      <c r="F623" s="12"/>
      <c r="G623" s="18" t="str">
        <f t="shared" si="2"/>
        <v>No</v>
      </c>
      <c r="H623" s="12"/>
      <c r="I623" s="39" t="str">
        <f>IF(BuyAllowed="Yes",IF(AND(G623 = "No", C623&gt;D623), "Yes", "No"),"No")</f>
        <v>Yes</v>
      </c>
      <c r="J623" s="39" t="str">
        <f>IF(SellAllowed="Yes",IF(AND(G623 = "Yes", C623&lt;E623), "Yes", "No"),"No")</f>
        <v>No</v>
      </c>
      <c r="K623" s="39">
        <f>IF(I623 = "Yes", M622/(C623+CostBuy), IF(J623 = "Yes", 0, K622))</f>
        <v>19401.417304834838</v>
      </c>
      <c r="M623" s="19">
        <f>IF(I623 = "Yes", M622-(C623+CostBuy)*K623, IF(J623="Yes", M622+(C623-CostSell)*K622, M622+K623*Rate))</f>
        <v>0</v>
      </c>
    </row>
    <row r="624" spans="2:13" s="11" customFormat="1" x14ac:dyDescent="0.2">
      <c r="B624" s="24">
        <v>1921.11</v>
      </c>
      <c r="C624" s="25">
        <v>7.06</v>
      </c>
      <c r="D624" s="40">
        <f t="shared" si="0"/>
        <v>6.66</v>
      </c>
      <c r="E624" s="40">
        <f t="shared" si="1"/>
        <v>6.7187500000000009</v>
      </c>
      <c r="F624" s="12"/>
      <c r="G624" s="18" t="str">
        <f t="shared" si="2"/>
        <v>Yes</v>
      </c>
      <c r="H624" s="12"/>
      <c r="I624" s="39" t="str">
        <f>IF(BuyAllowed="Yes",IF(AND(G624 = "No", C624&gt;D624), "Yes", "No"),"No")</f>
        <v>No</v>
      </c>
      <c r="J624" s="39" t="str">
        <f>IF(SellAllowed="Yes",IF(AND(G624 = "Yes", C624&lt;E624), "Yes", "No"),"No")</f>
        <v>No</v>
      </c>
      <c r="K624" s="39">
        <f>IF(I624 = "Yes", M623/(C624+CostBuy), IF(J624 = "Yes", 0, K623))</f>
        <v>19401.417304834838</v>
      </c>
      <c r="M624" s="19">
        <f>IF(I624 = "Yes", M623-(C624+CostBuy)*K624, IF(J624="Yes", M623+(C624-CostSell)*K623, M623+K624*Rate))</f>
        <v>970.07086524174201</v>
      </c>
    </row>
    <row r="625" spans="2:13" s="11" customFormat="1" x14ac:dyDescent="0.2">
      <c r="B625" s="24">
        <v>1921.12</v>
      </c>
      <c r="C625" s="25">
        <v>7.31</v>
      </c>
      <c r="D625" s="40">
        <f t="shared" si="0"/>
        <v>6.6500000000000012</v>
      </c>
      <c r="E625" s="40">
        <f t="shared" si="1"/>
        <v>6.7412500000000009</v>
      </c>
      <c r="F625" s="12"/>
      <c r="G625" s="18" t="str">
        <f t="shared" si="2"/>
        <v>Yes</v>
      </c>
      <c r="H625" s="12"/>
      <c r="I625" s="39" t="str">
        <f>IF(BuyAllowed="Yes",IF(AND(G625 = "No", C625&gt;D625), "Yes", "No"),"No")</f>
        <v>No</v>
      </c>
      <c r="J625" s="39" t="str">
        <f>IF(SellAllowed="Yes",IF(AND(G625 = "Yes", C625&lt;E625), "Yes", "No"),"No")</f>
        <v>No</v>
      </c>
      <c r="K625" s="39">
        <f>IF(I625 = "Yes", M624/(C625+CostBuy), IF(J625 = "Yes", 0, K624))</f>
        <v>19401.417304834838</v>
      </c>
      <c r="M625" s="19">
        <f>IF(I625 = "Yes", M624-(C625+CostBuy)*K625, IF(J625="Yes", M624+(C625-CostSell)*K624, M624+K625*Rate))</f>
        <v>1940.141730483484</v>
      </c>
    </row>
    <row r="626" spans="2:13" s="11" customFormat="1" x14ac:dyDescent="0.2">
      <c r="B626" s="24">
        <v>1922.01</v>
      </c>
      <c r="C626" s="25">
        <v>7.3</v>
      </c>
      <c r="D626" s="40">
        <f t="shared" si="0"/>
        <v>6.7766666666666673</v>
      </c>
      <c r="E626" s="40">
        <f t="shared" si="1"/>
        <v>6.7912500000000007</v>
      </c>
      <c r="F626" s="12"/>
      <c r="G626" s="18" t="str">
        <f t="shared" si="2"/>
        <v>Yes</v>
      </c>
      <c r="H626" s="12"/>
      <c r="I626" s="39" t="str">
        <f>IF(BuyAllowed="Yes",IF(AND(G626 = "No", C626&gt;D626), "Yes", "No"),"No")</f>
        <v>No</v>
      </c>
      <c r="J626" s="39" t="str">
        <f>IF(SellAllowed="Yes",IF(AND(G626 = "Yes", C626&lt;E626), "Yes", "No"),"No")</f>
        <v>No</v>
      </c>
      <c r="K626" s="39">
        <f>IF(I626 = "Yes", M625/(C626+CostBuy), IF(J626 = "Yes", 0, K625))</f>
        <v>19401.417304834838</v>
      </c>
      <c r="M626" s="19">
        <f>IF(I626 = "Yes", M625-(C626+CostBuy)*K626, IF(J626="Yes", M625+(C626-CostSell)*K625, M625+K626*Rate))</f>
        <v>2910.212595725226</v>
      </c>
    </row>
    <row r="627" spans="2:13" s="11" customFormat="1" x14ac:dyDescent="0.2">
      <c r="B627" s="24">
        <v>1922.02</v>
      </c>
      <c r="C627" s="25">
        <v>7.46</v>
      </c>
      <c r="D627" s="40">
        <f t="shared" si="0"/>
        <v>6.9050000000000002</v>
      </c>
      <c r="E627" s="40">
        <f t="shared" si="1"/>
        <v>6.8137500000000006</v>
      </c>
      <c r="F627" s="12"/>
      <c r="G627" s="18" t="str">
        <f t="shared" si="2"/>
        <v>Yes</v>
      </c>
      <c r="H627" s="12"/>
      <c r="I627" s="39" t="str">
        <f>IF(BuyAllowed="Yes",IF(AND(G627 = "No", C627&gt;D627), "Yes", "No"),"No")</f>
        <v>No</v>
      </c>
      <c r="J627" s="39" t="str">
        <f>IF(SellAllowed="Yes",IF(AND(G627 = "Yes", C627&lt;E627), "Yes", "No"),"No")</f>
        <v>No</v>
      </c>
      <c r="K627" s="39">
        <f>IF(I627 = "Yes", M626/(C627+CostBuy), IF(J627 = "Yes", 0, K626))</f>
        <v>19401.417304834838</v>
      </c>
      <c r="M627" s="19">
        <f>IF(I627 = "Yes", M626-(C627+CostBuy)*K627, IF(J627="Yes", M626+(C627-CostSell)*K626, M626+K627*Rate))</f>
        <v>3880.2834609669681</v>
      </c>
    </row>
    <row r="628" spans="2:13" s="11" customFormat="1" x14ac:dyDescent="0.2">
      <c r="B628" s="24">
        <v>1922.03</v>
      </c>
      <c r="C628" s="25">
        <v>7.74</v>
      </c>
      <c r="D628" s="40">
        <f t="shared" si="0"/>
        <v>7.0733333333333333</v>
      </c>
      <c r="E628" s="40">
        <f t="shared" si="1"/>
        <v>6.9275000000000002</v>
      </c>
      <c r="F628" s="12"/>
      <c r="G628" s="18" t="str">
        <f t="shared" si="2"/>
        <v>Yes</v>
      </c>
      <c r="H628" s="12"/>
      <c r="I628" s="39" t="str">
        <f>IF(BuyAllowed="Yes",IF(AND(G628 = "No", C628&gt;D628), "Yes", "No"),"No")</f>
        <v>No</v>
      </c>
      <c r="J628" s="39" t="str">
        <f>IF(SellAllowed="Yes",IF(AND(G628 = "Yes", C628&lt;E628), "Yes", "No"),"No")</f>
        <v>No</v>
      </c>
      <c r="K628" s="39">
        <f>IF(I628 = "Yes", M627/(C628+CostBuy), IF(J628 = "Yes", 0, K627))</f>
        <v>19401.417304834838</v>
      </c>
      <c r="M628" s="19">
        <f>IF(I628 = "Yes", M627-(C628+CostBuy)*K628, IF(J628="Yes", M627+(C628-CostSell)*K627, M627+K628*Rate))</f>
        <v>4850.3543262087096</v>
      </c>
    </row>
    <row r="629" spans="2:13" s="11" customFormat="1" x14ac:dyDescent="0.2">
      <c r="B629" s="24">
        <v>1922.04</v>
      </c>
      <c r="C629" s="25">
        <v>8.2100000000000009</v>
      </c>
      <c r="D629" s="40">
        <f t="shared" si="0"/>
        <v>7.2616666666666667</v>
      </c>
      <c r="E629" s="40">
        <f t="shared" si="1"/>
        <v>7.0787500000000003</v>
      </c>
      <c r="F629" s="12"/>
      <c r="G629" s="18" t="str">
        <f t="shared" si="2"/>
        <v>Yes</v>
      </c>
      <c r="H629" s="12"/>
      <c r="I629" s="39" t="str">
        <f>IF(BuyAllowed="Yes",IF(AND(G629 = "No", C629&gt;D629), "Yes", "No"),"No")</f>
        <v>No</v>
      </c>
      <c r="J629" s="39" t="str">
        <f>IF(SellAllowed="Yes",IF(AND(G629 = "Yes", C629&lt;E629), "Yes", "No"),"No")</f>
        <v>No</v>
      </c>
      <c r="K629" s="39">
        <f>IF(I629 = "Yes", M628/(C629+CostBuy), IF(J629 = "Yes", 0, K628))</f>
        <v>19401.417304834838</v>
      </c>
      <c r="M629" s="19">
        <f>IF(I629 = "Yes", M628-(C629+CostBuy)*K629, IF(J629="Yes", M628+(C629-CostSell)*K628, M628+K629*Rate))</f>
        <v>5820.4251914504512</v>
      </c>
    </row>
    <row r="630" spans="2:13" s="11" customFormat="1" x14ac:dyDescent="0.2">
      <c r="B630" s="24">
        <v>1922.05</v>
      </c>
      <c r="C630" s="25">
        <v>8.5299999999999994</v>
      </c>
      <c r="D630" s="40">
        <f t="shared" si="0"/>
        <v>7.5133333333333328</v>
      </c>
      <c r="E630" s="40">
        <f t="shared" si="1"/>
        <v>7.2987500000000001</v>
      </c>
      <c r="F630" s="12"/>
      <c r="G630" s="18" t="str">
        <f t="shared" si="2"/>
        <v>Yes</v>
      </c>
      <c r="H630" s="12"/>
      <c r="I630" s="39" t="str">
        <f>IF(BuyAllowed="Yes",IF(AND(G630 = "No", C630&gt;D630), "Yes", "No"),"No")</f>
        <v>No</v>
      </c>
      <c r="J630" s="39" t="str">
        <f>IF(SellAllowed="Yes",IF(AND(G630 = "Yes", C630&lt;E630), "Yes", "No"),"No")</f>
        <v>No</v>
      </c>
      <c r="K630" s="39">
        <f>IF(I630 = "Yes", M629/(C630+CostBuy), IF(J630 = "Yes", 0, K629))</f>
        <v>19401.417304834838</v>
      </c>
      <c r="M630" s="19">
        <f>IF(I630 = "Yes", M629-(C630+CostBuy)*K630, IF(J630="Yes", M629+(C630-CostSell)*K629, M629+K630*Rate))</f>
        <v>6790.4960566921927</v>
      </c>
    </row>
    <row r="631" spans="2:13" s="11" customFormat="1" x14ac:dyDescent="0.2">
      <c r="B631" s="24">
        <v>1922.06</v>
      </c>
      <c r="C631" s="25">
        <v>8.4499999999999993</v>
      </c>
      <c r="D631" s="40">
        <f t="shared" si="0"/>
        <v>7.7583333333333337</v>
      </c>
      <c r="E631" s="40">
        <f t="shared" si="1"/>
        <v>7.5387500000000003</v>
      </c>
      <c r="F631" s="12"/>
      <c r="G631" s="18" t="str">
        <f t="shared" si="2"/>
        <v>Yes</v>
      </c>
      <c r="H631" s="12"/>
      <c r="I631" s="39" t="str">
        <f>IF(BuyAllowed="Yes",IF(AND(G631 = "No", C631&gt;D631), "Yes", "No"),"No")</f>
        <v>No</v>
      </c>
      <c r="J631" s="39" t="str">
        <f>IF(SellAllowed="Yes",IF(AND(G631 = "Yes", C631&lt;E631), "Yes", "No"),"No")</f>
        <v>No</v>
      </c>
      <c r="K631" s="39">
        <f>IF(I631 = "Yes", M630/(C631+CostBuy), IF(J631 = "Yes", 0, K630))</f>
        <v>19401.417304834838</v>
      </c>
      <c r="M631" s="19">
        <f>IF(I631 = "Yes", M630-(C631+CostBuy)*K631, IF(J631="Yes", M630+(C631-CostSell)*K630, M630+K631*Rate))</f>
        <v>7760.5669219339343</v>
      </c>
    </row>
    <row r="632" spans="2:13" s="11" customFormat="1" x14ac:dyDescent="0.2">
      <c r="B632" s="24">
        <v>1922.07</v>
      </c>
      <c r="C632" s="25">
        <v>8.51</v>
      </c>
      <c r="D632" s="40">
        <f t="shared" si="0"/>
        <v>7.9483333333333333</v>
      </c>
      <c r="E632" s="40">
        <f t="shared" si="1"/>
        <v>7.7575000000000003</v>
      </c>
      <c r="F632" s="12"/>
      <c r="G632" s="18" t="str">
        <f t="shared" si="2"/>
        <v>Yes</v>
      </c>
      <c r="H632" s="12"/>
      <c r="I632" s="39" t="str">
        <f>IF(BuyAllowed="Yes",IF(AND(G632 = "No", C632&gt;D632), "Yes", "No"),"No")</f>
        <v>No</v>
      </c>
      <c r="J632" s="39" t="str">
        <f>IF(SellAllowed="Yes",IF(AND(G632 = "Yes", C632&lt;E632), "Yes", "No"),"No")</f>
        <v>No</v>
      </c>
      <c r="K632" s="39">
        <f>IF(I632 = "Yes", M631/(C632+CostBuy), IF(J632 = "Yes", 0, K631))</f>
        <v>19401.417304834838</v>
      </c>
      <c r="M632" s="19">
        <f>IF(I632 = "Yes", M631-(C632+CostBuy)*K632, IF(J632="Yes", M631+(C632-CostSell)*K631, M631+K632*Rate))</f>
        <v>8730.6377871756758</v>
      </c>
    </row>
    <row r="633" spans="2:13" s="11" customFormat="1" x14ac:dyDescent="0.2">
      <c r="B633" s="24">
        <v>1922.08</v>
      </c>
      <c r="C633" s="25">
        <v>8.83</v>
      </c>
      <c r="D633" s="40">
        <f t="shared" si="0"/>
        <v>8.15</v>
      </c>
      <c r="E633" s="40">
        <f t="shared" si="1"/>
        <v>7.9387499999999998</v>
      </c>
      <c r="F633" s="12"/>
      <c r="G633" s="18" t="str">
        <f t="shared" si="2"/>
        <v>Yes</v>
      </c>
      <c r="H633" s="12"/>
      <c r="I633" s="39" t="str">
        <f>IF(BuyAllowed="Yes",IF(AND(G633 = "No", C633&gt;D633), "Yes", "No"),"No")</f>
        <v>No</v>
      </c>
      <c r="J633" s="39" t="str">
        <f>IF(SellAllowed="Yes",IF(AND(G633 = "Yes", C633&lt;E633), "Yes", "No"),"No")</f>
        <v>No</v>
      </c>
      <c r="K633" s="39">
        <f>IF(I633 = "Yes", M632/(C633+CostBuy), IF(J633 = "Yes", 0, K632))</f>
        <v>19401.417304834838</v>
      </c>
      <c r="M633" s="19">
        <f>IF(I633 = "Yes", M632-(C633+CostBuy)*K633, IF(J633="Yes", M632+(C633-CostSell)*K632, M632+K633*Rate))</f>
        <v>9700.7086524174174</v>
      </c>
    </row>
    <row r="634" spans="2:13" s="11" customFormat="1" x14ac:dyDescent="0.2">
      <c r="B634" s="24">
        <v>1922.09</v>
      </c>
      <c r="C634" s="25">
        <v>9.06</v>
      </c>
      <c r="D634" s="40">
        <f t="shared" si="0"/>
        <v>8.3783333333333321</v>
      </c>
      <c r="E634" s="40">
        <f t="shared" si="1"/>
        <v>8.1287500000000001</v>
      </c>
      <c r="F634" s="12"/>
      <c r="G634" s="18" t="str">
        <f t="shared" si="2"/>
        <v>Yes</v>
      </c>
      <c r="H634" s="12"/>
      <c r="I634" s="39" t="str">
        <f>IF(BuyAllowed="Yes",IF(AND(G634 = "No", C634&gt;D634), "Yes", "No"),"No")</f>
        <v>No</v>
      </c>
      <c r="J634" s="39" t="str">
        <f>IF(SellAllowed="Yes",IF(AND(G634 = "Yes", C634&lt;E634), "Yes", "No"),"No")</f>
        <v>No</v>
      </c>
      <c r="K634" s="39">
        <f>IF(I634 = "Yes", M633/(C634+CostBuy), IF(J634 = "Yes", 0, K633))</f>
        <v>19401.417304834838</v>
      </c>
      <c r="M634" s="19">
        <f>IF(I634 = "Yes", M633-(C634+CostBuy)*K634, IF(J634="Yes", M633+(C634-CostSell)*K633, M633+K634*Rate))</f>
        <v>10670.779517659159</v>
      </c>
    </row>
    <row r="635" spans="2:13" s="11" customFormat="1" x14ac:dyDescent="0.2">
      <c r="B635" s="24">
        <v>1922.1</v>
      </c>
      <c r="C635" s="25">
        <v>9.26</v>
      </c>
      <c r="D635" s="40">
        <f t="shared" si="0"/>
        <v>8.5983333333333345</v>
      </c>
      <c r="E635" s="40">
        <f t="shared" si="1"/>
        <v>8.348749999999999</v>
      </c>
      <c r="F635" s="12"/>
      <c r="G635" s="18" t="str">
        <f t="shared" si="2"/>
        <v>Yes</v>
      </c>
      <c r="H635" s="12"/>
      <c r="I635" s="39" t="str">
        <f>IF(BuyAllowed="Yes",IF(AND(G635 = "No", C635&gt;D635), "Yes", "No"),"No")</f>
        <v>No</v>
      </c>
      <c r="J635" s="39" t="str">
        <f>IF(SellAllowed="Yes",IF(AND(G635 = "Yes", C635&lt;E635), "Yes", "No"),"No")</f>
        <v>No</v>
      </c>
      <c r="K635" s="39">
        <f>IF(I635 = "Yes", M634/(C635+CostBuy), IF(J635 = "Yes", 0, K634))</f>
        <v>19401.417304834838</v>
      </c>
      <c r="M635" s="19">
        <f>IF(I635 = "Yes", M634-(C635+CostBuy)*K635, IF(J635="Yes", M634+(C635-CostSell)*K634, M634+K635*Rate))</f>
        <v>11640.850382900901</v>
      </c>
    </row>
    <row r="636" spans="2:13" s="11" customFormat="1" x14ac:dyDescent="0.2">
      <c r="B636" s="24">
        <v>1922.11</v>
      </c>
      <c r="C636" s="25">
        <v>8.8000000000000007</v>
      </c>
      <c r="D636" s="40">
        <f t="shared" si="0"/>
        <v>8.7733333333333317</v>
      </c>
      <c r="E636" s="40">
        <f t="shared" si="1"/>
        <v>8.5737500000000004</v>
      </c>
      <c r="F636" s="12"/>
      <c r="G636" s="18" t="str">
        <f t="shared" si="2"/>
        <v>Yes</v>
      </c>
      <c r="H636" s="12"/>
      <c r="I636" s="39" t="str">
        <f>IF(BuyAllowed="Yes",IF(AND(G636 = "No", C636&gt;D636), "Yes", "No"),"No")</f>
        <v>No</v>
      </c>
      <c r="J636" s="39" t="str">
        <f>IF(SellAllowed="Yes",IF(AND(G636 = "Yes", C636&lt;E636), "Yes", "No"),"No")</f>
        <v>No</v>
      </c>
      <c r="K636" s="39">
        <f>IF(I636 = "Yes", M635/(C636+CostBuy), IF(J636 = "Yes", 0, K635))</f>
        <v>19401.417304834838</v>
      </c>
      <c r="M636" s="19">
        <f>IF(I636 = "Yes", M635-(C636+CostBuy)*K636, IF(J636="Yes", M635+(C636-CostSell)*K635, M635+K636*Rate))</f>
        <v>12610.921248142642</v>
      </c>
    </row>
    <row r="637" spans="2:13" s="11" customFormat="1" x14ac:dyDescent="0.2">
      <c r="B637" s="24">
        <v>1922.12</v>
      </c>
      <c r="C637" s="25">
        <v>8.7799999999999994</v>
      </c>
      <c r="D637" s="40">
        <f t="shared" si="0"/>
        <v>8.8183333333333334</v>
      </c>
      <c r="E637" s="40">
        <f t="shared" si="1"/>
        <v>8.7062500000000007</v>
      </c>
      <c r="F637" s="12"/>
      <c r="G637" s="18" t="str">
        <f t="shared" si="2"/>
        <v>Yes</v>
      </c>
      <c r="H637" s="12"/>
      <c r="I637" s="39" t="str">
        <f>IF(BuyAllowed="Yes",IF(AND(G637 = "No", C637&gt;D637), "Yes", "No"),"No")</f>
        <v>No</v>
      </c>
      <c r="J637" s="39" t="str">
        <f>IF(SellAllowed="Yes",IF(AND(G637 = "Yes", C637&lt;E637), "Yes", "No"),"No")</f>
        <v>No</v>
      </c>
      <c r="K637" s="39">
        <f>IF(I637 = "Yes", M636/(C637+CostBuy), IF(J637 = "Yes", 0, K636))</f>
        <v>19401.417304834838</v>
      </c>
      <c r="M637" s="19">
        <f>IF(I637 = "Yes", M636-(C637+CostBuy)*K637, IF(J637="Yes", M636+(C637-CostSell)*K636, M636+K637*Rate))</f>
        <v>13580.992113384384</v>
      </c>
    </row>
    <row r="638" spans="2:13" s="11" customFormat="1" x14ac:dyDescent="0.2">
      <c r="B638" s="24">
        <v>1923.01</v>
      </c>
      <c r="C638" s="25">
        <v>8.9</v>
      </c>
      <c r="D638" s="40">
        <f t="shared" si="0"/>
        <v>8.8733333333333331</v>
      </c>
      <c r="E638" s="40">
        <f t="shared" si="1"/>
        <v>8.7774999999999999</v>
      </c>
      <c r="F638" s="12"/>
      <c r="G638" s="18" t="str">
        <f t="shared" si="2"/>
        <v>Yes</v>
      </c>
      <c r="H638" s="12"/>
      <c r="I638" s="39" t="str">
        <f>IF(BuyAllowed="Yes",IF(AND(G638 = "No", C638&gt;D638), "Yes", "No"),"No")</f>
        <v>No</v>
      </c>
      <c r="J638" s="39" t="str">
        <f>IF(SellAllowed="Yes",IF(AND(G638 = "Yes", C638&lt;E638), "Yes", "No"),"No")</f>
        <v>No</v>
      </c>
      <c r="K638" s="39">
        <f>IF(I638 = "Yes", M637/(C638+CostBuy), IF(J638 = "Yes", 0, K637))</f>
        <v>19401.417304834838</v>
      </c>
      <c r="M638" s="19">
        <f>IF(I638 = "Yes", M637-(C638+CostBuy)*K638, IF(J638="Yes", M637+(C638-CostSell)*K637, M637+K638*Rate))</f>
        <v>14551.062978626125</v>
      </c>
    </row>
    <row r="639" spans="2:13" s="11" customFormat="1" x14ac:dyDescent="0.2">
      <c r="B639" s="24">
        <v>1923.02</v>
      </c>
      <c r="C639" s="25">
        <v>9.2799999999999994</v>
      </c>
      <c r="D639" s="40">
        <f t="shared" si="0"/>
        <v>8.9383333333333344</v>
      </c>
      <c r="E639" s="40">
        <f t="shared" si="1"/>
        <v>8.8237500000000004</v>
      </c>
      <c r="F639" s="12"/>
      <c r="G639" s="18" t="str">
        <f t="shared" si="2"/>
        <v>Yes</v>
      </c>
      <c r="H639" s="12"/>
      <c r="I639" s="39" t="str">
        <f>IF(BuyAllowed="Yes",IF(AND(G639 = "No", C639&gt;D639), "Yes", "No"),"No")</f>
        <v>No</v>
      </c>
      <c r="J639" s="39" t="str">
        <f>IF(SellAllowed="Yes",IF(AND(G639 = "Yes", C639&lt;E639), "Yes", "No"),"No")</f>
        <v>No</v>
      </c>
      <c r="K639" s="39">
        <f>IF(I639 = "Yes", M638/(C639+CostBuy), IF(J639 = "Yes", 0, K638))</f>
        <v>19401.417304834838</v>
      </c>
      <c r="M639" s="19">
        <f>IF(I639 = "Yes", M638-(C639+CostBuy)*K639, IF(J639="Yes", M638+(C639-CostSell)*K638, M638+K639*Rate))</f>
        <v>15521.133843867867</v>
      </c>
    </row>
    <row r="640" spans="2:13" s="11" customFormat="1" x14ac:dyDescent="0.2">
      <c r="B640" s="24">
        <v>1923.03</v>
      </c>
      <c r="C640" s="25">
        <v>9.43</v>
      </c>
      <c r="D640" s="40">
        <f t="shared" si="0"/>
        <v>9.0133333333333336</v>
      </c>
      <c r="E640" s="40">
        <f t="shared" si="1"/>
        <v>8.9274999999999984</v>
      </c>
      <c r="F640" s="12"/>
      <c r="G640" s="18" t="str">
        <f t="shared" si="2"/>
        <v>Yes</v>
      </c>
      <c r="H640" s="12"/>
      <c r="I640" s="39" t="str">
        <f>IF(BuyAllowed="Yes",IF(AND(G640 = "No", C640&gt;D640), "Yes", "No"),"No")</f>
        <v>No</v>
      </c>
      <c r="J640" s="39" t="str">
        <f>IF(SellAllowed="Yes",IF(AND(G640 = "Yes", C640&lt;E640), "Yes", "No"),"No")</f>
        <v>No</v>
      </c>
      <c r="K640" s="39">
        <f>IF(I640 = "Yes", M639/(C640+CostBuy), IF(J640 = "Yes", 0, K639))</f>
        <v>19401.417304834838</v>
      </c>
      <c r="M640" s="19">
        <f>IF(I640 = "Yes", M639-(C640+CostBuy)*K640, IF(J640="Yes", M639+(C640-CostSell)*K639, M639+K640*Rate))</f>
        <v>16491.20470910961</v>
      </c>
    </row>
    <row r="641" spans="2:13" s="11" customFormat="1" x14ac:dyDescent="0.2">
      <c r="B641" s="24">
        <v>1923.04</v>
      </c>
      <c r="C641" s="25">
        <v>9.1</v>
      </c>
      <c r="D641" s="40">
        <f t="shared" si="0"/>
        <v>9.0750000000000011</v>
      </c>
      <c r="E641" s="40">
        <f t="shared" si="1"/>
        <v>9.0425000000000004</v>
      </c>
      <c r="F641" s="12"/>
      <c r="G641" s="18" t="str">
        <f t="shared" si="2"/>
        <v>Yes</v>
      </c>
      <c r="H641" s="12"/>
      <c r="I641" s="39" t="str">
        <f>IF(BuyAllowed="Yes",IF(AND(G641 = "No", C641&gt;D641), "Yes", "No"),"No")</f>
        <v>No</v>
      </c>
      <c r="J641" s="39" t="str">
        <f>IF(SellAllowed="Yes",IF(AND(G641 = "Yes", C641&lt;E641), "Yes", "No"),"No")</f>
        <v>No</v>
      </c>
      <c r="K641" s="39">
        <f>IF(I641 = "Yes", M640/(C641+CostBuy), IF(J641 = "Yes", 0, K640))</f>
        <v>19401.417304834838</v>
      </c>
      <c r="M641" s="19">
        <f>IF(I641 = "Yes", M640-(C641+CostBuy)*K641, IF(J641="Yes", M640+(C641-CostSell)*K640, M640+K641*Rate))</f>
        <v>17461.275574351352</v>
      </c>
    </row>
    <row r="642" spans="2:13" s="11" customFormat="1" x14ac:dyDescent="0.2">
      <c r="B642" s="24">
        <v>1923.05</v>
      </c>
      <c r="C642" s="25">
        <v>8.67</v>
      </c>
      <c r="D642" s="40">
        <f t="shared" si="0"/>
        <v>9.0483333333333338</v>
      </c>
      <c r="E642" s="40">
        <f t="shared" si="1"/>
        <v>9.0762499999999999</v>
      </c>
      <c r="F642" s="12"/>
      <c r="G642" s="18" t="str">
        <f t="shared" si="2"/>
        <v>Yes</v>
      </c>
      <c r="H642" s="12"/>
      <c r="I642" s="39" t="str">
        <f>IF(BuyAllowed="Yes",IF(AND(G642 = "No", C642&gt;D642), "Yes", "No"),"No")</f>
        <v>No</v>
      </c>
      <c r="J642" s="39" t="str">
        <f>IF(SellAllowed="Yes",IF(AND(G642 = "Yes", C642&lt;E642), "Yes", "No"),"No")</f>
        <v>Yes</v>
      </c>
      <c r="K642" s="39">
        <f>IF(I642 = "Yes", M641/(C642+CostBuy), IF(J642 = "Yes", 0, K641))</f>
        <v>0</v>
      </c>
      <c r="M642" s="19">
        <f>IF(I642 = "Yes", M641-(C642+CostBuy)*K642, IF(J642="Yes", M641+(C642-CostSell)*K641, M641+K642*Rate))</f>
        <v>184507.47856897928</v>
      </c>
    </row>
    <row r="643" spans="2:13" s="11" customFormat="1" x14ac:dyDescent="0.2">
      <c r="B643" s="24">
        <v>1923.06</v>
      </c>
      <c r="C643" s="25">
        <v>8.34</v>
      </c>
      <c r="D643" s="40">
        <f t="shared" si="0"/>
        <v>9.0266666666666673</v>
      </c>
      <c r="E643" s="40">
        <f t="shared" si="1"/>
        <v>9.0274999999999999</v>
      </c>
      <c r="F643" s="12"/>
      <c r="G643" s="18" t="str">
        <f t="shared" si="2"/>
        <v>No</v>
      </c>
      <c r="H643" s="12"/>
      <c r="I643" s="39" t="str">
        <f>IF(BuyAllowed="Yes",IF(AND(G643 = "No", C643&gt;D643), "Yes", "No"),"No")</f>
        <v>No</v>
      </c>
      <c r="J643" s="39" t="str">
        <f>IF(SellAllowed="Yes",IF(AND(G643 = "Yes", C643&lt;E643), "Yes", "No"),"No")</f>
        <v>No</v>
      </c>
      <c r="K643" s="39">
        <f>IF(I643 = "Yes", M642/(C643+CostBuy), IF(J643 = "Yes", 0, K642))</f>
        <v>0</v>
      </c>
      <c r="M643" s="19">
        <f>IF(I643 = "Yes", M642-(C643+CostBuy)*K643, IF(J643="Yes", M642+(C643-CostSell)*K642, M642+K643*Rate))</f>
        <v>184507.47856897928</v>
      </c>
    </row>
    <row r="644" spans="2:13" s="11" customFormat="1" x14ac:dyDescent="0.2">
      <c r="B644" s="24">
        <v>1923.07</v>
      </c>
      <c r="C644" s="25">
        <v>8.06</v>
      </c>
      <c r="D644" s="40">
        <f t="shared" si="0"/>
        <v>8.9533333333333331</v>
      </c>
      <c r="E644" s="40">
        <f t="shared" si="1"/>
        <v>8.9124999999999996</v>
      </c>
      <c r="F644" s="12"/>
      <c r="G644" s="18" t="str">
        <f t="shared" si="2"/>
        <v>No</v>
      </c>
      <c r="H644" s="12"/>
      <c r="I644" s="39" t="str">
        <f>IF(BuyAllowed="Yes",IF(AND(G644 = "No", C644&gt;D644), "Yes", "No"),"No")</f>
        <v>No</v>
      </c>
      <c r="J644" s="39" t="str">
        <f>IF(SellAllowed="Yes",IF(AND(G644 = "Yes", C644&lt;E644), "Yes", "No"),"No")</f>
        <v>No</v>
      </c>
      <c r="K644" s="39">
        <f>IF(I644 = "Yes", M643/(C644+CostBuy), IF(J644 = "Yes", 0, K643))</f>
        <v>0</v>
      </c>
      <c r="M644" s="19">
        <f>IF(I644 = "Yes", M643-(C644+CostBuy)*K644, IF(J644="Yes", M643+(C644-CostSell)*K643, M643+K644*Rate))</f>
        <v>184507.47856897928</v>
      </c>
    </row>
    <row r="645" spans="2:13" s="11" customFormat="1" x14ac:dyDescent="0.2">
      <c r="B645" s="24">
        <v>1923.08</v>
      </c>
      <c r="C645" s="25">
        <v>8.1</v>
      </c>
      <c r="D645" s="40">
        <f t="shared" si="0"/>
        <v>8.8133333333333344</v>
      </c>
      <c r="E645" s="40">
        <f t="shared" si="1"/>
        <v>8.82</v>
      </c>
      <c r="F645" s="12"/>
      <c r="G645" s="18" t="str">
        <f t="shared" si="2"/>
        <v>No</v>
      </c>
      <c r="H645" s="12"/>
      <c r="I645" s="39" t="str">
        <f>IF(BuyAllowed="Yes",IF(AND(G645 = "No", C645&gt;D645), "Yes", "No"),"No")</f>
        <v>No</v>
      </c>
      <c r="J645" s="39" t="str">
        <f>IF(SellAllowed="Yes",IF(AND(G645 = "Yes", C645&lt;E645), "Yes", "No"),"No")</f>
        <v>No</v>
      </c>
      <c r="K645" s="39">
        <f>IF(I645 = "Yes", M644/(C645+CostBuy), IF(J645 = "Yes", 0, K644))</f>
        <v>0</v>
      </c>
      <c r="M645" s="19">
        <f>IF(I645 = "Yes", M644-(C645+CostBuy)*K645, IF(J645="Yes", M644+(C645-CostSell)*K644, M644+K645*Rate))</f>
        <v>184507.47856897928</v>
      </c>
    </row>
    <row r="646" spans="2:13" s="11" customFormat="1" x14ac:dyDescent="0.2">
      <c r="B646" s="24">
        <v>1923.09</v>
      </c>
      <c r="C646" s="25">
        <v>8.15</v>
      </c>
      <c r="D646" s="40">
        <f t="shared" si="0"/>
        <v>8.6166666666666689</v>
      </c>
      <c r="E646" s="40">
        <f t="shared" si="1"/>
        <v>8.7349999999999994</v>
      </c>
      <c r="F646" s="12"/>
      <c r="G646" s="18" t="str">
        <f t="shared" si="2"/>
        <v>No</v>
      </c>
      <c r="H646" s="12"/>
      <c r="I646" s="39" t="str">
        <f>IF(BuyAllowed="Yes",IF(AND(G646 = "No", C646&gt;D646), "Yes", "No"),"No")</f>
        <v>No</v>
      </c>
      <c r="J646" s="39" t="str">
        <f>IF(SellAllowed="Yes",IF(AND(G646 = "Yes", C646&lt;E646), "Yes", "No"),"No")</f>
        <v>No</v>
      </c>
      <c r="K646" s="39">
        <f>IF(I646 = "Yes", M645/(C646+CostBuy), IF(J646 = "Yes", 0, K645))</f>
        <v>0</v>
      </c>
      <c r="M646" s="19">
        <f>IF(I646 = "Yes", M645-(C646+CostBuy)*K646, IF(J646="Yes", M645+(C646-CostSell)*K645, M645+K646*Rate))</f>
        <v>184507.47856897928</v>
      </c>
    </row>
    <row r="647" spans="2:13" s="11" customFormat="1" x14ac:dyDescent="0.2">
      <c r="B647" s="24">
        <v>1923.1</v>
      </c>
      <c r="C647" s="25">
        <v>8.0299999999999994</v>
      </c>
      <c r="D647" s="40">
        <f t="shared" si="0"/>
        <v>8.4033333333333342</v>
      </c>
      <c r="E647" s="40">
        <f t="shared" si="1"/>
        <v>8.6412500000000012</v>
      </c>
      <c r="F647" s="12"/>
      <c r="G647" s="18" t="str">
        <f t="shared" si="2"/>
        <v>No</v>
      </c>
      <c r="H647" s="12"/>
      <c r="I647" s="39" t="str">
        <f>IF(BuyAllowed="Yes",IF(AND(G647 = "No", C647&gt;D647), "Yes", "No"),"No")</f>
        <v>No</v>
      </c>
      <c r="J647" s="39" t="str">
        <f>IF(SellAllowed="Yes",IF(AND(G647 = "Yes", C647&lt;E647), "Yes", "No"),"No")</f>
        <v>No</v>
      </c>
      <c r="K647" s="39">
        <f>IF(I647 = "Yes", M646/(C647+CostBuy), IF(J647 = "Yes", 0, K646))</f>
        <v>0</v>
      </c>
      <c r="M647" s="19">
        <f>IF(I647 = "Yes", M646-(C647+CostBuy)*K647, IF(J647="Yes", M646+(C647-CostSell)*K646, M646+K647*Rate))</f>
        <v>184507.47856897928</v>
      </c>
    </row>
    <row r="648" spans="2:13" s="11" customFormat="1" x14ac:dyDescent="0.2">
      <c r="B648" s="24">
        <v>1923.11</v>
      </c>
      <c r="C648" s="25">
        <v>8.27</v>
      </c>
      <c r="D648" s="40">
        <f t="shared" si="0"/>
        <v>8.2249999999999996</v>
      </c>
      <c r="E648" s="40">
        <f t="shared" si="1"/>
        <v>8.4850000000000012</v>
      </c>
      <c r="F648" s="12"/>
      <c r="G648" s="18" t="str">
        <f t="shared" si="2"/>
        <v>No</v>
      </c>
      <c r="H648" s="12"/>
      <c r="I648" s="39" t="str">
        <f>IF(BuyAllowed="Yes",IF(AND(G648 = "No", C648&gt;D648), "Yes", "No"),"No")</f>
        <v>Yes</v>
      </c>
      <c r="J648" s="39" t="str">
        <f>IF(SellAllowed="Yes",IF(AND(G648 = "Yes", C648&lt;E648), "Yes", "No"),"No")</f>
        <v>No</v>
      </c>
      <c r="K648" s="39">
        <f>IF(I648 = "Yes", M647/(C648+CostBuy), IF(J648 = "Yes", 0, K647))</f>
        <v>22229.816695057747</v>
      </c>
      <c r="M648" s="19">
        <f>IF(I648 = "Yes", M647-(C648+CostBuy)*K648, IF(J648="Yes", M647+(C648-CostSell)*K647, M647+K648*Rate))</f>
        <v>0</v>
      </c>
    </row>
    <row r="649" spans="2:13" s="11" customFormat="1" x14ac:dyDescent="0.2">
      <c r="B649" s="24">
        <v>1923.12</v>
      </c>
      <c r="C649" s="25">
        <v>8.5500000000000007</v>
      </c>
      <c r="D649" s="40">
        <f t="shared" si="0"/>
        <v>8.1583333333333332</v>
      </c>
      <c r="E649" s="40">
        <f t="shared" si="1"/>
        <v>8.34</v>
      </c>
      <c r="F649" s="12"/>
      <c r="G649" s="18" t="str">
        <f t="shared" si="2"/>
        <v>Yes</v>
      </c>
      <c r="H649" s="12"/>
      <c r="I649" s="39" t="str">
        <f>IF(BuyAllowed="Yes",IF(AND(G649 = "No", C649&gt;D649), "Yes", "No"),"No")</f>
        <v>No</v>
      </c>
      <c r="J649" s="39" t="str">
        <f>IF(SellAllowed="Yes",IF(AND(G649 = "Yes", C649&lt;E649), "Yes", "No"),"No")</f>
        <v>No</v>
      </c>
      <c r="K649" s="39">
        <f>IF(I649 = "Yes", M648/(C649+CostBuy), IF(J649 = "Yes", 0, K648))</f>
        <v>22229.816695057747</v>
      </c>
      <c r="M649" s="19">
        <f>IF(I649 = "Yes", M648-(C649+CostBuy)*K649, IF(J649="Yes", M648+(C649-CostSell)*K648, M648+K649*Rate))</f>
        <v>1111.4908347528874</v>
      </c>
    </row>
    <row r="650" spans="2:13" s="11" customFormat="1" x14ac:dyDescent="0.2">
      <c r="B650" s="24">
        <v>1924.01</v>
      </c>
      <c r="C650" s="25">
        <v>8.83</v>
      </c>
      <c r="D650" s="40">
        <f t="shared" si="0"/>
        <v>8.1933333333333334</v>
      </c>
      <c r="E650" s="40">
        <f t="shared" si="1"/>
        <v>8.2712500000000002</v>
      </c>
      <c r="F650" s="12"/>
      <c r="G650" s="18" t="str">
        <f t="shared" si="2"/>
        <v>Yes</v>
      </c>
      <c r="H650" s="12"/>
      <c r="I650" s="39" t="str">
        <f>IF(BuyAllowed="Yes",IF(AND(G650 = "No", C650&gt;D650), "Yes", "No"),"No")</f>
        <v>No</v>
      </c>
      <c r="J650" s="39" t="str">
        <f>IF(SellAllowed="Yes",IF(AND(G650 = "Yes", C650&lt;E650), "Yes", "No"),"No")</f>
        <v>No</v>
      </c>
      <c r="K650" s="39">
        <f>IF(I650 = "Yes", M649/(C650+CostBuy), IF(J650 = "Yes", 0, K649))</f>
        <v>22229.816695057747</v>
      </c>
      <c r="M650" s="19">
        <f>IF(I650 = "Yes", M649-(C650+CostBuy)*K650, IF(J650="Yes", M649+(C650-CostSell)*K649, M649+K650*Rate))</f>
        <v>2222.9816695057748</v>
      </c>
    </row>
    <row r="651" spans="2:13" s="11" customFormat="1" x14ac:dyDescent="0.2">
      <c r="B651" s="24">
        <v>1924.02</v>
      </c>
      <c r="C651" s="25">
        <v>8.8699999999999992</v>
      </c>
      <c r="D651" s="40">
        <f t="shared" si="0"/>
        <v>8.3216666666666654</v>
      </c>
      <c r="E651" s="40">
        <f t="shared" si="1"/>
        <v>8.2912499999999998</v>
      </c>
      <c r="F651" s="12"/>
      <c r="G651" s="18" t="str">
        <f t="shared" si="2"/>
        <v>Yes</v>
      </c>
      <c r="H651" s="12"/>
      <c r="I651" s="39" t="str">
        <f>IF(BuyAllowed="Yes",IF(AND(G651 = "No", C651&gt;D651), "Yes", "No"),"No")</f>
        <v>No</v>
      </c>
      <c r="J651" s="39" t="str">
        <f>IF(SellAllowed="Yes",IF(AND(G651 = "Yes", C651&lt;E651), "Yes", "No"),"No")</f>
        <v>No</v>
      </c>
      <c r="K651" s="39">
        <f>IF(I651 = "Yes", M650/(C651+CostBuy), IF(J651 = "Yes", 0, K650))</f>
        <v>22229.816695057747</v>
      </c>
      <c r="M651" s="19">
        <f>IF(I651 = "Yes", M650-(C651+CostBuy)*K651, IF(J651="Yes", M650+(C651-CostSell)*K650, M650+K651*Rate))</f>
        <v>3334.4725042586624</v>
      </c>
    </row>
    <row r="652" spans="2:13" s="11" customFormat="1" x14ac:dyDescent="0.2">
      <c r="B652" s="24">
        <v>1924.03</v>
      </c>
      <c r="C652" s="25">
        <v>8.6999999999999993</v>
      </c>
      <c r="D652" s="40">
        <f t="shared" si="0"/>
        <v>8.4499999999999993</v>
      </c>
      <c r="E652" s="40">
        <f t="shared" si="1"/>
        <v>8.3574999999999999</v>
      </c>
      <c r="F652" s="12"/>
      <c r="G652" s="18" t="str">
        <f t="shared" si="2"/>
        <v>Yes</v>
      </c>
      <c r="H652" s="12"/>
      <c r="I652" s="39" t="str">
        <f>IF(BuyAllowed="Yes",IF(AND(G652 = "No", C652&gt;D652), "Yes", "No"),"No")</f>
        <v>No</v>
      </c>
      <c r="J652" s="39" t="str">
        <f>IF(SellAllowed="Yes",IF(AND(G652 = "Yes", C652&lt;E652), "Yes", "No"),"No")</f>
        <v>No</v>
      </c>
      <c r="K652" s="39">
        <f>IF(I652 = "Yes", M651/(C652+CostBuy), IF(J652 = "Yes", 0, K651))</f>
        <v>22229.816695057747</v>
      </c>
      <c r="M652" s="19">
        <f>IF(I652 = "Yes", M651-(C652+CostBuy)*K652, IF(J652="Yes", M651+(C652-CostSell)*K651, M651+K652*Rate))</f>
        <v>4445.9633390115496</v>
      </c>
    </row>
    <row r="653" spans="2:13" s="11" customFormat="1" x14ac:dyDescent="0.2">
      <c r="B653" s="24">
        <v>1924.04</v>
      </c>
      <c r="C653" s="25">
        <v>8.5</v>
      </c>
      <c r="D653" s="40">
        <f t="shared" si="0"/>
        <v>8.5416666666666661</v>
      </c>
      <c r="E653" s="40">
        <f t="shared" si="1"/>
        <v>8.4374999999999982</v>
      </c>
      <c r="F653" s="12"/>
      <c r="G653" s="18" t="str">
        <f t="shared" si="2"/>
        <v>Yes</v>
      </c>
      <c r="H653" s="12"/>
      <c r="I653" s="39" t="str">
        <f>IF(BuyAllowed="Yes",IF(AND(G653 = "No", C653&gt;D653), "Yes", "No"),"No")</f>
        <v>No</v>
      </c>
      <c r="J653" s="39" t="str">
        <f>IF(SellAllowed="Yes",IF(AND(G653 = "Yes", C653&lt;E653), "Yes", "No"),"No")</f>
        <v>No</v>
      </c>
      <c r="K653" s="39">
        <f>IF(I653 = "Yes", M652/(C653+CostBuy), IF(J653 = "Yes", 0, K652))</f>
        <v>22229.816695057747</v>
      </c>
      <c r="M653" s="19">
        <f>IF(I653 = "Yes", M652-(C653+CostBuy)*K653, IF(J653="Yes", M652+(C653-CostSell)*K652, M652+K653*Rate))</f>
        <v>5557.4541737644367</v>
      </c>
    </row>
    <row r="654" spans="2:13" s="11" customFormat="1" x14ac:dyDescent="0.2">
      <c r="B654" s="24">
        <v>1924.05</v>
      </c>
      <c r="C654" s="25">
        <v>8.4700000000000006</v>
      </c>
      <c r="D654" s="40">
        <f t="shared" si="0"/>
        <v>8.6199999999999992</v>
      </c>
      <c r="E654" s="40">
        <f t="shared" si="1"/>
        <v>8.4874999999999989</v>
      </c>
      <c r="F654" s="12"/>
      <c r="G654" s="18" t="str">
        <f t="shared" si="2"/>
        <v>Yes</v>
      </c>
      <c r="H654" s="12"/>
      <c r="I654" s="39" t="str">
        <f>IF(BuyAllowed="Yes",IF(AND(G654 = "No", C654&gt;D654), "Yes", "No"),"No")</f>
        <v>No</v>
      </c>
      <c r="J654" s="39" t="str">
        <f>IF(SellAllowed="Yes",IF(AND(G654 = "Yes", C654&lt;E654), "Yes", "No"),"No")</f>
        <v>Yes</v>
      </c>
      <c r="K654" s="39">
        <f>IF(I654 = "Yes", M653/(C654+CostBuy), IF(J654 = "Yes", 0, K653))</f>
        <v>0</v>
      </c>
      <c r="M654" s="19">
        <f>IF(I654 = "Yes", M653-(C654+CostBuy)*K654, IF(J654="Yes", M653+(C654-CostSell)*K653, M653+K654*Rate))</f>
        <v>192510.2125792001</v>
      </c>
    </row>
    <row r="655" spans="2:13" s="11" customFormat="1" x14ac:dyDescent="0.2">
      <c r="B655" s="24">
        <v>1924.06</v>
      </c>
      <c r="C655" s="25">
        <v>8.6300000000000008</v>
      </c>
      <c r="D655" s="40">
        <f t="shared" si="0"/>
        <v>8.6533333333333342</v>
      </c>
      <c r="E655" s="40">
        <f t="shared" si="1"/>
        <v>8.5274999999999999</v>
      </c>
      <c r="F655" s="12"/>
      <c r="G655" s="18" t="str">
        <f t="shared" si="2"/>
        <v>No</v>
      </c>
      <c r="H655" s="12"/>
      <c r="I655" s="39" t="str">
        <f>IF(BuyAllowed="Yes",IF(AND(G655 = "No", C655&gt;D655), "Yes", "No"),"No")</f>
        <v>No</v>
      </c>
      <c r="J655" s="39" t="str">
        <f>IF(SellAllowed="Yes",IF(AND(G655 = "Yes", C655&lt;E655), "Yes", "No"),"No")</f>
        <v>No</v>
      </c>
      <c r="K655" s="39">
        <f>IF(I655 = "Yes", M654/(C655+CostBuy), IF(J655 = "Yes", 0, K654))</f>
        <v>0</v>
      </c>
      <c r="M655" s="19">
        <f>IF(I655 = "Yes", M654-(C655+CostBuy)*K655, IF(J655="Yes", M654+(C655-CostSell)*K654, M654+K655*Rate))</f>
        <v>192510.2125792001</v>
      </c>
    </row>
    <row r="656" spans="2:13" s="11" customFormat="1" x14ac:dyDescent="0.2">
      <c r="B656" s="24">
        <v>1924.07</v>
      </c>
      <c r="C656" s="25">
        <v>9.0299999999999994</v>
      </c>
      <c r="D656" s="40">
        <f t="shared" si="0"/>
        <v>8.6666666666666661</v>
      </c>
      <c r="E656" s="40">
        <f t="shared" si="1"/>
        <v>8.6024999999999991</v>
      </c>
      <c r="F656" s="12"/>
      <c r="G656" s="18" t="str">
        <f t="shared" si="2"/>
        <v>No</v>
      </c>
      <c r="H656" s="12"/>
      <c r="I656" s="39" t="str">
        <f>IF(BuyAllowed="Yes",IF(AND(G656 = "No", C656&gt;D656), "Yes", "No"),"No")</f>
        <v>Yes</v>
      </c>
      <c r="J656" s="39" t="str">
        <f>IF(SellAllowed="Yes",IF(AND(G656 = "Yes", C656&lt;E656), "Yes", "No"),"No")</f>
        <v>No</v>
      </c>
      <c r="K656" s="39">
        <f>IF(I656 = "Yes", M655/(C656+CostBuy), IF(J656 = "Yes", 0, K655))</f>
        <v>21248.367834348799</v>
      </c>
      <c r="M656" s="19">
        <f>IF(I656 = "Yes", M655-(C656+CostBuy)*K656, IF(J656="Yes", M655+(C656-CostSell)*K655, M655+K656*Rate))</f>
        <v>0</v>
      </c>
    </row>
    <row r="657" spans="2:13" s="11" customFormat="1" x14ac:dyDescent="0.2">
      <c r="B657" s="24">
        <v>1924.08</v>
      </c>
      <c r="C657" s="25">
        <v>9.34</v>
      </c>
      <c r="D657" s="40">
        <f t="shared" si="0"/>
        <v>8.7000000000000011</v>
      </c>
      <c r="E657" s="40">
        <f t="shared" si="1"/>
        <v>8.6974999999999998</v>
      </c>
      <c r="F657" s="12"/>
      <c r="G657" s="18" t="str">
        <f t="shared" si="2"/>
        <v>Yes</v>
      </c>
      <c r="H657" s="12"/>
      <c r="I657" s="39" t="str">
        <f>IF(BuyAllowed="Yes",IF(AND(G657 = "No", C657&gt;D657), "Yes", "No"),"No")</f>
        <v>No</v>
      </c>
      <c r="J657" s="39" t="str">
        <f>IF(SellAllowed="Yes",IF(AND(G657 = "Yes", C657&lt;E657), "Yes", "No"),"No")</f>
        <v>No</v>
      </c>
      <c r="K657" s="39">
        <f>IF(I657 = "Yes", M656/(C657+CostBuy), IF(J657 = "Yes", 0, K656))</f>
        <v>21248.367834348799</v>
      </c>
      <c r="M657" s="19">
        <f>IF(I657 = "Yes", M656-(C657+CostBuy)*K657, IF(J657="Yes", M656+(C657-CostSell)*K656, M656+K657*Rate))</f>
        <v>1062.41839171744</v>
      </c>
    </row>
    <row r="658" spans="2:13" s="11" customFormat="1" x14ac:dyDescent="0.2">
      <c r="B658" s="24">
        <v>1924.09</v>
      </c>
      <c r="C658" s="25">
        <v>9.25</v>
      </c>
      <c r="D658" s="40">
        <f t="shared" si="0"/>
        <v>8.7783333333333342</v>
      </c>
      <c r="E658" s="40">
        <f t="shared" si="1"/>
        <v>8.7962500000000006</v>
      </c>
      <c r="F658" s="12"/>
      <c r="G658" s="18" t="str">
        <f t="shared" si="2"/>
        <v>Yes</v>
      </c>
      <c r="H658" s="12"/>
      <c r="I658" s="39" t="str">
        <f>IF(BuyAllowed="Yes",IF(AND(G658 = "No", C658&gt;D658), "Yes", "No"),"No")</f>
        <v>No</v>
      </c>
      <c r="J658" s="39" t="str">
        <f>IF(SellAllowed="Yes",IF(AND(G658 = "Yes", C658&lt;E658), "Yes", "No"),"No")</f>
        <v>No</v>
      </c>
      <c r="K658" s="39">
        <f>IF(I658 = "Yes", M657/(C658+CostBuy), IF(J658 = "Yes", 0, K657))</f>
        <v>21248.367834348799</v>
      </c>
      <c r="M658" s="19">
        <f>IF(I658 = "Yes", M657-(C658+CostBuy)*K658, IF(J658="Yes", M657+(C658-CostSell)*K657, M657+K658*Rate))</f>
        <v>2124.8367834348801</v>
      </c>
    </row>
    <row r="659" spans="2:13" s="11" customFormat="1" x14ac:dyDescent="0.2">
      <c r="B659" s="24">
        <v>1924.1</v>
      </c>
      <c r="C659" s="25">
        <v>9.1300000000000008</v>
      </c>
      <c r="D659" s="40">
        <f t="shared" si="0"/>
        <v>8.8699999999999992</v>
      </c>
      <c r="E659" s="40">
        <f t="shared" si="1"/>
        <v>8.8487500000000008</v>
      </c>
      <c r="F659" s="12"/>
      <c r="G659" s="18" t="str">
        <f t="shared" si="2"/>
        <v>Yes</v>
      </c>
      <c r="H659" s="12"/>
      <c r="I659" s="39" t="str">
        <f>IF(BuyAllowed="Yes",IF(AND(G659 = "No", C659&gt;D659), "Yes", "No"),"No")</f>
        <v>No</v>
      </c>
      <c r="J659" s="39" t="str">
        <f>IF(SellAllowed="Yes",IF(AND(G659 = "Yes", C659&lt;E659), "Yes", "No"),"No")</f>
        <v>No</v>
      </c>
      <c r="K659" s="39">
        <f>IF(I659 = "Yes", M658/(C659+CostBuy), IF(J659 = "Yes", 0, K658))</f>
        <v>21248.367834348799</v>
      </c>
      <c r="M659" s="19">
        <f>IF(I659 = "Yes", M658-(C659+CostBuy)*K659, IF(J659="Yes", M658+(C659-CostSell)*K658, M658+K659*Rate))</f>
        <v>3187.2551751523201</v>
      </c>
    </row>
    <row r="660" spans="2:13" s="11" customFormat="1" x14ac:dyDescent="0.2">
      <c r="B660" s="24">
        <v>1924.11</v>
      </c>
      <c r="C660" s="25">
        <v>9.64</v>
      </c>
      <c r="D660" s="40">
        <f t="shared" si="0"/>
        <v>8.9749999999999996</v>
      </c>
      <c r="E660" s="40">
        <f t="shared" si="1"/>
        <v>8.8812499999999996</v>
      </c>
      <c r="F660" s="12"/>
      <c r="G660" s="18" t="str">
        <f t="shared" si="2"/>
        <v>Yes</v>
      </c>
      <c r="H660" s="12"/>
      <c r="I660" s="39" t="str">
        <f>IF(BuyAllowed="Yes",IF(AND(G660 = "No", C660&gt;D660), "Yes", "No"),"No")</f>
        <v>No</v>
      </c>
      <c r="J660" s="39" t="str">
        <f>IF(SellAllowed="Yes",IF(AND(G660 = "Yes", C660&lt;E660), "Yes", "No"),"No")</f>
        <v>No</v>
      </c>
      <c r="K660" s="39">
        <f>IF(I660 = "Yes", M659/(C660+CostBuy), IF(J660 = "Yes", 0, K659))</f>
        <v>21248.367834348799</v>
      </c>
      <c r="M660" s="19">
        <f>IF(I660 = "Yes", M659-(C660+CostBuy)*K660, IF(J660="Yes", M659+(C660-CostSell)*K659, M659+K660*Rate))</f>
        <v>4249.6735668697602</v>
      </c>
    </row>
    <row r="661" spans="2:13" s="11" customFormat="1" x14ac:dyDescent="0.2">
      <c r="B661" s="24">
        <v>1924.12</v>
      </c>
      <c r="C661" s="25">
        <v>10.16</v>
      </c>
      <c r="D661" s="40">
        <f t="shared" si="0"/>
        <v>9.17</v>
      </c>
      <c r="E661" s="40">
        <f t="shared" si="1"/>
        <v>8.9987500000000011</v>
      </c>
      <c r="F661" s="12"/>
      <c r="G661" s="18" t="str">
        <f t="shared" si="2"/>
        <v>Yes</v>
      </c>
      <c r="H661" s="12"/>
      <c r="I661" s="39" t="str">
        <f>IF(BuyAllowed="Yes",IF(AND(G661 = "No", C661&gt;D661), "Yes", "No"),"No")</f>
        <v>No</v>
      </c>
      <c r="J661" s="39" t="str">
        <f>IF(SellAllowed="Yes",IF(AND(G661 = "Yes", C661&lt;E661), "Yes", "No"),"No")</f>
        <v>No</v>
      </c>
      <c r="K661" s="39">
        <f>IF(I661 = "Yes", M660/(C661+CostBuy), IF(J661 = "Yes", 0, K660))</f>
        <v>21248.367834348799</v>
      </c>
      <c r="M661" s="19">
        <f>IF(I661 = "Yes", M660-(C661+CostBuy)*K661, IF(J661="Yes", M660+(C661-CostSell)*K660, M660+K661*Rate))</f>
        <v>5312.0919585871998</v>
      </c>
    </row>
    <row r="662" spans="2:13" s="11" customFormat="1" x14ac:dyDescent="0.2">
      <c r="B662" s="24">
        <v>1925.01</v>
      </c>
      <c r="C662" s="25">
        <v>10.58</v>
      </c>
      <c r="D662" s="40">
        <f t="shared" si="0"/>
        <v>9.4249999999999989</v>
      </c>
      <c r="E662" s="40">
        <f t="shared" si="1"/>
        <v>9.2062500000000007</v>
      </c>
      <c r="F662" s="12"/>
      <c r="G662" s="18" t="str">
        <f t="shared" si="2"/>
        <v>Yes</v>
      </c>
      <c r="H662" s="12"/>
      <c r="I662" s="39" t="str">
        <f>IF(BuyAllowed="Yes",IF(AND(G662 = "No", C662&gt;D662), "Yes", "No"),"No")</f>
        <v>No</v>
      </c>
      <c r="J662" s="39" t="str">
        <f>IF(SellAllowed="Yes",IF(AND(G662 = "Yes", C662&lt;E662), "Yes", "No"),"No")</f>
        <v>No</v>
      </c>
      <c r="K662" s="39">
        <f>IF(I662 = "Yes", M661/(C662+CostBuy), IF(J662 = "Yes", 0, K661))</f>
        <v>21248.367834348799</v>
      </c>
      <c r="M662" s="19">
        <f>IF(I662 = "Yes", M661-(C662+CostBuy)*K662, IF(J662="Yes", M661+(C662-CostSell)*K661, M661+K662*Rate))</f>
        <v>6374.5103503046394</v>
      </c>
    </row>
    <row r="663" spans="2:13" s="11" customFormat="1" x14ac:dyDescent="0.2">
      <c r="B663" s="24">
        <v>1925.02</v>
      </c>
      <c r="C663" s="25">
        <v>10.67</v>
      </c>
      <c r="D663" s="40">
        <f t="shared" si="0"/>
        <v>9.6833333333333318</v>
      </c>
      <c r="E663" s="40">
        <f t="shared" si="1"/>
        <v>9.4700000000000006</v>
      </c>
      <c r="F663" s="12"/>
      <c r="G663" s="18" t="str">
        <f t="shared" si="2"/>
        <v>Yes</v>
      </c>
      <c r="H663" s="12"/>
      <c r="I663" s="39" t="str">
        <f>IF(BuyAllowed="Yes",IF(AND(G663 = "No", C663&gt;D663), "Yes", "No"),"No")</f>
        <v>No</v>
      </c>
      <c r="J663" s="39" t="str">
        <f>IF(SellAllowed="Yes",IF(AND(G663 = "Yes", C663&lt;E663), "Yes", "No"),"No")</f>
        <v>No</v>
      </c>
      <c r="K663" s="39">
        <f>IF(I663 = "Yes", M662/(C663+CostBuy), IF(J663 = "Yes", 0, K662))</f>
        <v>21248.367834348799</v>
      </c>
      <c r="M663" s="19">
        <f>IF(I663 = "Yes", M662-(C663+CostBuy)*K663, IF(J663="Yes", M662+(C663-CostSell)*K662, M662+K663*Rate))</f>
        <v>7436.9287420220789</v>
      </c>
    </row>
    <row r="664" spans="2:13" s="11" customFormat="1" x14ac:dyDescent="0.2">
      <c r="B664" s="24">
        <v>1925.03</v>
      </c>
      <c r="C664" s="25">
        <v>10.39</v>
      </c>
      <c r="D664" s="40">
        <f t="shared" si="0"/>
        <v>9.9050000000000011</v>
      </c>
      <c r="E664" s="40">
        <f t="shared" si="1"/>
        <v>9.7249999999999996</v>
      </c>
      <c r="F664" s="12"/>
      <c r="G664" s="18" t="str">
        <f t="shared" si="2"/>
        <v>Yes</v>
      </c>
      <c r="H664" s="12"/>
      <c r="I664" s="39" t="str">
        <f>IF(BuyAllowed="Yes",IF(AND(G664 = "No", C664&gt;D664), "Yes", "No"),"No")</f>
        <v>No</v>
      </c>
      <c r="J664" s="39" t="str">
        <f>IF(SellAllowed="Yes",IF(AND(G664 = "Yes", C664&lt;E664), "Yes", "No"),"No")</f>
        <v>No</v>
      </c>
      <c r="K664" s="39">
        <f>IF(I664 = "Yes", M663/(C664+CostBuy), IF(J664 = "Yes", 0, K663))</f>
        <v>21248.367834348799</v>
      </c>
      <c r="M664" s="19">
        <f>IF(I664 = "Yes", M663-(C664+CostBuy)*K664, IF(J664="Yes", M663+(C664-CostSell)*K663, M663+K664*Rate))</f>
        <v>8499.3471337395185</v>
      </c>
    </row>
    <row r="665" spans="2:13" s="11" customFormat="1" x14ac:dyDescent="0.2">
      <c r="B665" s="24">
        <v>1925.04</v>
      </c>
      <c r="C665" s="25">
        <v>10.28</v>
      </c>
      <c r="D665" s="40">
        <f t="shared" si="0"/>
        <v>10.095000000000001</v>
      </c>
      <c r="E665" s="40">
        <f t="shared" si="1"/>
        <v>9.8949999999999996</v>
      </c>
      <c r="F665" s="12"/>
      <c r="G665" s="18" t="str">
        <f t="shared" si="2"/>
        <v>Yes</v>
      </c>
      <c r="H665" s="12"/>
      <c r="I665" s="39" t="str">
        <f>IF(BuyAllowed="Yes",IF(AND(G665 = "No", C665&gt;D665), "Yes", "No"),"No")</f>
        <v>No</v>
      </c>
      <c r="J665" s="39" t="str">
        <f>IF(SellAllowed="Yes",IF(AND(G665 = "Yes", C665&lt;E665), "Yes", "No"),"No")</f>
        <v>No</v>
      </c>
      <c r="K665" s="39">
        <f>IF(I665 = "Yes", M664/(C665+CostBuy), IF(J665 = "Yes", 0, K664))</f>
        <v>21248.367834348799</v>
      </c>
      <c r="M665" s="19">
        <f>IF(I665 = "Yes", M664-(C665+CostBuy)*K665, IF(J665="Yes", M664+(C665-CostSell)*K664, M664+K665*Rate))</f>
        <v>9561.7655254569581</v>
      </c>
    </row>
    <row r="666" spans="2:13" s="11" customFormat="1" x14ac:dyDescent="0.2">
      <c r="B666" s="24">
        <v>1925.05</v>
      </c>
      <c r="C666" s="25">
        <v>10.61</v>
      </c>
      <c r="D666" s="40">
        <f t="shared" si="0"/>
        <v>10.286666666666667</v>
      </c>
      <c r="E666" s="40">
        <f t="shared" si="1"/>
        <v>10.012500000000001</v>
      </c>
      <c r="F666" s="12"/>
      <c r="G666" s="18" t="str">
        <f t="shared" si="2"/>
        <v>Yes</v>
      </c>
      <c r="H666" s="12"/>
      <c r="I666" s="39" t="str">
        <f>IF(BuyAllowed="Yes",IF(AND(G666 = "No", C666&gt;D666), "Yes", "No"),"No")</f>
        <v>No</v>
      </c>
      <c r="J666" s="39" t="str">
        <f>IF(SellAllowed="Yes",IF(AND(G666 = "Yes", C666&lt;E666), "Yes", "No"),"No")</f>
        <v>No</v>
      </c>
      <c r="K666" s="39">
        <f>IF(I666 = "Yes", M665/(C666+CostBuy), IF(J666 = "Yes", 0, K665))</f>
        <v>21248.367834348799</v>
      </c>
      <c r="M666" s="19">
        <f>IF(I666 = "Yes", M665-(C666+CostBuy)*K666, IF(J666="Yes", M665+(C666-CostSell)*K665, M665+K666*Rate))</f>
        <v>10624.183917174398</v>
      </c>
    </row>
    <row r="667" spans="2:13" s="11" customFormat="1" x14ac:dyDescent="0.2">
      <c r="B667" s="24">
        <v>1925.06</v>
      </c>
      <c r="C667" s="25">
        <v>10.8</v>
      </c>
      <c r="D667" s="40">
        <f t="shared" ref="D667:D730" si="3">AVERAGE(C661:C666)</f>
        <v>10.448333333333334</v>
      </c>
      <c r="E667" s="40">
        <f t="shared" ref="E667:E730" si="4">AVERAGE(C659:C666)</f>
        <v>10.182500000000001</v>
      </c>
      <c r="F667" s="12"/>
      <c r="G667" s="18" t="str">
        <f t="shared" si="2"/>
        <v>Yes</v>
      </c>
      <c r="H667" s="12"/>
      <c r="I667" s="39" t="str">
        <f>IF(BuyAllowed="Yes",IF(AND(G667 = "No", C667&gt;D667), "Yes", "No"),"No")</f>
        <v>No</v>
      </c>
      <c r="J667" s="39" t="str">
        <f>IF(SellAllowed="Yes",IF(AND(G667 = "Yes", C667&lt;E667), "Yes", "No"),"No")</f>
        <v>No</v>
      </c>
      <c r="K667" s="39">
        <f>IF(I667 = "Yes", M666/(C667+CostBuy), IF(J667 = "Yes", 0, K666))</f>
        <v>21248.367834348799</v>
      </c>
      <c r="M667" s="19">
        <f>IF(I667 = "Yes", M666-(C667+CostBuy)*K667, IF(J667="Yes", M666+(C667-CostSell)*K666, M666+K667*Rate))</f>
        <v>11686.602308891837</v>
      </c>
    </row>
    <row r="668" spans="2:13" s="11" customFormat="1" x14ac:dyDescent="0.2">
      <c r="B668" s="24">
        <v>1925.07</v>
      </c>
      <c r="C668" s="25">
        <v>11.1</v>
      </c>
      <c r="D668" s="40">
        <f t="shared" si="3"/>
        <v>10.555</v>
      </c>
      <c r="E668" s="40">
        <f t="shared" si="4"/>
        <v>10.391250000000001</v>
      </c>
      <c r="F668" s="12"/>
      <c r="G668" s="18" t="str">
        <f t="shared" ref="G668:G731" si="5">IF(I667 = "Yes", "Yes", IF(J667="Yes", "No", G667))</f>
        <v>Yes</v>
      </c>
      <c r="H668" s="12"/>
      <c r="I668" s="39" t="str">
        <f>IF(BuyAllowed="Yes",IF(AND(G668 = "No", C668&gt;D668), "Yes", "No"),"No")</f>
        <v>No</v>
      </c>
      <c r="J668" s="39" t="str">
        <f>IF(SellAllowed="Yes",IF(AND(G668 = "Yes", C668&lt;E668), "Yes", "No"),"No")</f>
        <v>No</v>
      </c>
      <c r="K668" s="39">
        <f>IF(I668 = "Yes", M667/(C668+CostBuy), IF(J668 = "Yes", 0, K667))</f>
        <v>21248.367834348799</v>
      </c>
      <c r="M668" s="19">
        <f>IF(I668 = "Yes", M667-(C668+CostBuy)*K668, IF(J668="Yes", M667+(C668-CostSell)*K667, M667+K668*Rate))</f>
        <v>12749.020700609277</v>
      </c>
    </row>
    <row r="669" spans="2:13" s="11" customFormat="1" x14ac:dyDescent="0.2">
      <c r="B669" s="24">
        <v>1925.08</v>
      </c>
      <c r="C669" s="25">
        <v>11.25</v>
      </c>
      <c r="D669" s="40">
        <f t="shared" si="3"/>
        <v>10.641666666666667</v>
      </c>
      <c r="E669" s="40">
        <f t="shared" si="4"/>
        <v>10.57375</v>
      </c>
      <c r="F669" s="12"/>
      <c r="G669" s="18" t="str">
        <f t="shared" si="5"/>
        <v>Yes</v>
      </c>
      <c r="H669" s="12"/>
      <c r="I669" s="39" t="str">
        <f>IF(BuyAllowed="Yes",IF(AND(G669 = "No", C669&gt;D669), "Yes", "No"),"No")</f>
        <v>No</v>
      </c>
      <c r="J669" s="39" t="str">
        <f>IF(SellAllowed="Yes",IF(AND(G669 = "Yes", C669&lt;E669), "Yes", "No"),"No")</f>
        <v>No</v>
      </c>
      <c r="K669" s="39">
        <f>IF(I669 = "Yes", M668/(C669+CostBuy), IF(J669 = "Yes", 0, K668))</f>
        <v>21248.367834348799</v>
      </c>
      <c r="M669" s="19">
        <f>IF(I669 = "Yes", M668-(C669+CostBuy)*K669, IF(J669="Yes", M668+(C669-CostSell)*K668, M668+K669*Rate))</f>
        <v>13811.439092326716</v>
      </c>
    </row>
    <row r="670" spans="2:13" s="11" customFormat="1" x14ac:dyDescent="0.2">
      <c r="B670" s="24">
        <v>1925.09</v>
      </c>
      <c r="C670" s="25">
        <v>11.51</v>
      </c>
      <c r="D670" s="40">
        <f t="shared" si="3"/>
        <v>10.738333333333335</v>
      </c>
      <c r="E670" s="40">
        <f t="shared" si="4"/>
        <v>10.709999999999999</v>
      </c>
      <c r="F670" s="12"/>
      <c r="G670" s="18" t="str">
        <f t="shared" si="5"/>
        <v>Yes</v>
      </c>
      <c r="H670" s="12"/>
      <c r="I670" s="39" t="str">
        <f>IF(BuyAllowed="Yes",IF(AND(G670 = "No", C670&gt;D670), "Yes", "No"),"No")</f>
        <v>No</v>
      </c>
      <c r="J670" s="39" t="str">
        <f>IF(SellAllowed="Yes",IF(AND(G670 = "Yes", C670&lt;E670), "Yes", "No"),"No")</f>
        <v>No</v>
      </c>
      <c r="K670" s="39">
        <f>IF(I670 = "Yes", M669/(C670+CostBuy), IF(J670 = "Yes", 0, K669))</f>
        <v>21248.367834348799</v>
      </c>
      <c r="M670" s="19">
        <f>IF(I670 = "Yes", M669-(C670+CostBuy)*K670, IF(J670="Yes", M669+(C670-CostSell)*K669, M669+K670*Rate))</f>
        <v>14873.857484044156</v>
      </c>
    </row>
    <row r="671" spans="2:13" s="11" customFormat="1" x14ac:dyDescent="0.2">
      <c r="B671" s="24">
        <v>1925.1</v>
      </c>
      <c r="C671" s="25">
        <v>11.89</v>
      </c>
      <c r="D671" s="40">
        <f t="shared" si="3"/>
        <v>10.924999999999999</v>
      </c>
      <c r="E671" s="40">
        <f t="shared" si="4"/>
        <v>10.82625</v>
      </c>
      <c r="F671" s="12"/>
      <c r="G671" s="18" t="str">
        <f t="shared" si="5"/>
        <v>Yes</v>
      </c>
      <c r="H671" s="12"/>
      <c r="I671" s="39" t="str">
        <f>IF(BuyAllowed="Yes",IF(AND(G671 = "No", C671&gt;D671), "Yes", "No"),"No")</f>
        <v>No</v>
      </c>
      <c r="J671" s="39" t="str">
        <f>IF(SellAllowed="Yes",IF(AND(G671 = "Yes", C671&lt;E671), "Yes", "No"),"No")</f>
        <v>No</v>
      </c>
      <c r="K671" s="39">
        <f>IF(I671 = "Yes", M670/(C671+CostBuy), IF(J671 = "Yes", 0, K670))</f>
        <v>21248.367834348799</v>
      </c>
      <c r="M671" s="19">
        <f>IF(I671 = "Yes", M670-(C671+CostBuy)*K671, IF(J671="Yes", M670+(C671-CostSell)*K670, M670+K671*Rate))</f>
        <v>15936.275875761596</v>
      </c>
    </row>
    <row r="672" spans="2:13" s="11" customFormat="1" x14ac:dyDescent="0.2">
      <c r="B672" s="24">
        <v>1925.11</v>
      </c>
      <c r="C672" s="25">
        <v>12.26</v>
      </c>
      <c r="D672" s="40">
        <f t="shared" si="3"/>
        <v>11.193333333333333</v>
      </c>
      <c r="E672" s="40">
        <f t="shared" si="4"/>
        <v>10.978750000000002</v>
      </c>
      <c r="F672" s="12"/>
      <c r="G672" s="18" t="str">
        <f t="shared" si="5"/>
        <v>Yes</v>
      </c>
      <c r="H672" s="12"/>
      <c r="I672" s="39" t="str">
        <f>IF(BuyAllowed="Yes",IF(AND(G672 = "No", C672&gt;D672), "Yes", "No"),"No")</f>
        <v>No</v>
      </c>
      <c r="J672" s="39" t="str">
        <f>IF(SellAllowed="Yes",IF(AND(G672 = "Yes", C672&lt;E672), "Yes", "No"),"No")</f>
        <v>No</v>
      </c>
      <c r="K672" s="39">
        <f>IF(I672 = "Yes", M671/(C672+CostBuy), IF(J672 = "Yes", 0, K671))</f>
        <v>21248.367834348799</v>
      </c>
      <c r="M672" s="19">
        <f>IF(I672 = "Yes", M671-(C672+CostBuy)*K672, IF(J672="Yes", M671+(C672-CostSell)*K671, M671+K672*Rate))</f>
        <v>16998.694267479037</v>
      </c>
    </row>
    <row r="673" spans="2:13" s="11" customFormat="1" x14ac:dyDescent="0.2">
      <c r="B673" s="24">
        <v>1925.12</v>
      </c>
      <c r="C673" s="25">
        <v>12.46</v>
      </c>
      <c r="D673" s="40">
        <f t="shared" si="3"/>
        <v>11.468333333333334</v>
      </c>
      <c r="E673" s="40">
        <f t="shared" si="4"/>
        <v>11.2125</v>
      </c>
      <c r="F673" s="12"/>
      <c r="G673" s="18" t="str">
        <f t="shared" si="5"/>
        <v>Yes</v>
      </c>
      <c r="H673" s="12"/>
      <c r="I673" s="39" t="str">
        <f>IF(BuyAllowed="Yes",IF(AND(G673 = "No", C673&gt;D673), "Yes", "No"),"No")</f>
        <v>No</v>
      </c>
      <c r="J673" s="39" t="str">
        <f>IF(SellAllowed="Yes",IF(AND(G673 = "Yes", C673&lt;E673), "Yes", "No"),"No")</f>
        <v>No</v>
      </c>
      <c r="K673" s="39">
        <f>IF(I673 = "Yes", M672/(C673+CostBuy), IF(J673 = "Yes", 0, K672))</f>
        <v>21248.367834348799</v>
      </c>
      <c r="M673" s="19">
        <f>IF(I673 = "Yes", M672-(C673+CostBuy)*K673, IF(J673="Yes", M672+(C673-CostSell)*K672, M672+K673*Rate))</f>
        <v>18061.112659196478</v>
      </c>
    </row>
    <row r="674" spans="2:13" s="11" customFormat="1" x14ac:dyDescent="0.2">
      <c r="B674" s="24">
        <v>1926.01</v>
      </c>
      <c r="C674" s="25">
        <v>12.65</v>
      </c>
      <c r="D674" s="40">
        <f t="shared" si="3"/>
        <v>11.744999999999999</v>
      </c>
      <c r="E674" s="40">
        <f t="shared" si="4"/>
        <v>11.484999999999999</v>
      </c>
      <c r="F674" s="12"/>
      <c r="G674" s="18" t="str">
        <f t="shared" si="5"/>
        <v>Yes</v>
      </c>
      <c r="H674" s="12"/>
      <c r="I674" s="39" t="str">
        <f>IF(BuyAllowed="Yes",IF(AND(G674 = "No", C674&gt;D674), "Yes", "No"),"No")</f>
        <v>No</v>
      </c>
      <c r="J674" s="39" t="str">
        <f>IF(SellAllowed="Yes",IF(AND(G674 = "Yes", C674&lt;E674), "Yes", "No"),"No")</f>
        <v>No</v>
      </c>
      <c r="K674" s="39">
        <f>IF(I674 = "Yes", M673/(C674+CostBuy), IF(J674 = "Yes", 0, K673))</f>
        <v>21248.367834348799</v>
      </c>
      <c r="M674" s="19">
        <f>IF(I674 = "Yes", M673-(C674+CostBuy)*K674, IF(J674="Yes", M673+(C674-CostSell)*K673, M673+K674*Rate))</f>
        <v>19123.53105091392</v>
      </c>
    </row>
    <row r="675" spans="2:13" s="11" customFormat="1" x14ac:dyDescent="0.2">
      <c r="B675" s="24">
        <v>1926.02</v>
      </c>
      <c r="C675" s="25">
        <v>12.67</v>
      </c>
      <c r="D675" s="40">
        <f t="shared" si="3"/>
        <v>12.003333333333332</v>
      </c>
      <c r="E675" s="40">
        <f t="shared" si="4"/>
        <v>11.740000000000002</v>
      </c>
      <c r="F675" s="12"/>
      <c r="G675" s="18" t="str">
        <f t="shared" si="5"/>
        <v>Yes</v>
      </c>
      <c r="H675" s="12"/>
      <c r="I675" s="39" t="str">
        <f>IF(BuyAllowed="Yes",IF(AND(G675 = "No", C675&gt;D675), "Yes", "No"),"No")</f>
        <v>No</v>
      </c>
      <c r="J675" s="39" t="str">
        <f>IF(SellAllowed="Yes",IF(AND(G675 = "Yes", C675&lt;E675), "Yes", "No"),"No")</f>
        <v>No</v>
      </c>
      <c r="K675" s="39">
        <f>IF(I675 = "Yes", M674/(C675+CostBuy), IF(J675 = "Yes", 0, K674))</f>
        <v>21248.367834348799</v>
      </c>
      <c r="M675" s="19">
        <f>IF(I675 = "Yes", M674-(C675+CostBuy)*K675, IF(J675="Yes", M674+(C675-CostSell)*K674, M674+K675*Rate))</f>
        <v>20185.949442631361</v>
      </c>
    </row>
    <row r="676" spans="2:13" s="11" customFormat="1" x14ac:dyDescent="0.2">
      <c r="B676" s="24">
        <v>1926.03</v>
      </c>
      <c r="C676" s="25">
        <v>11.81</v>
      </c>
      <c r="D676" s="40">
        <f t="shared" si="3"/>
        <v>12.24</v>
      </c>
      <c r="E676" s="40">
        <f t="shared" si="4"/>
        <v>11.973750000000001</v>
      </c>
      <c r="F676" s="12"/>
      <c r="G676" s="18" t="str">
        <f t="shared" si="5"/>
        <v>Yes</v>
      </c>
      <c r="H676" s="12"/>
      <c r="I676" s="39" t="str">
        <f>IF(BuyAllowed="Yes",IF(AND(G676 = "No", C676&gt;D676), "Yes", "No"),"No")</f>
        <v>No</v>
      </c>
      <c r="J676" s="39" t="str">
        <f>IF(SellAllowed="Yes",IF(AND(G676 = "Yes", C676&lt;E676), "Yes", "No"),"No")</f>
        <v>Yes</v>
      </c>
      <c r="K676" s="39">
        <f>IF(I676 = "Yes", M675/(C676+CostBuy), IF(J676 = "Yes", 0, K675))</f>
        <v>0</v>
      </c>
      <c r="M676" s="19">
        <f>IF(I676 = "Yes", M675-(C676+CostBuy)*K676, IF(J676="Yes", M675+(C676-CostSell)*K675, M675+K676*Rate))</f>
        <v>269854.27149622975</v>
      </c>
    </row>
    <row r="677" spans="2:13" s="11" customFormat="1" x14ac:dyDescent="0.2">
      <c r="B677" s="24">
        <v>1926.04</v>
      </c>
      <c r="C677" s="25">
        <v>11.48</v>
      </c>
      <c r="D677" s="40">
        <f t="shared" si="3"/>
        <v>12.29</v>
      </c>
      <c r="E677" s="40">
        <f t="shared" si="4"/>
        <v>12.0625</v>
      </c>
      <c r="F677" s="12"/>
      <c r="G677" s="18" t="str">
        <f t="shared" si="5"/>
        <v>No</v>
      </c>
      <c r="H677" s="12"/>
      <c r="I677" s="39" t="str">
        <f>IF(BuyAllowed="Yes",IF(AND(G677 = "No", C677&gt;D677), "Yes", "No"),"No")</f>
        <v>No</v>
      </c>
      <c r="J677" s="39" t="str">
        <f>IF(SellAllowed="Yes",IF(AND(G677 = "Yes", C677&lt;E677), "Yes", "No"),"No")</f>
        <v>No</v>
      </c>
      <c r="K677" s="39">
        <f>IF(I677 = "Yes", M676/(C677+CostBuy), IF(J677 = "Yes", 0, K676))</f>
        <v>0</v>
      </c>
      <c r="M677" s="19">
        <f>IF(I677 = "Yes", M676-(C677+CostBuy)*K677, IF(J677="Yes", M676+(C677-CostSell)*K676, M676+K677*Rate))</f>
        <v>269854.27149622975</v>
      </c>
    </row>
    <row r="678" spans="2:13" s="11" customFormat="1" x14ac:dyDescent="0.2">
      <c r="B678" s="24">
        <v>1926.05</v>
      </c>
      <c r="C678" s="25">
        <v>11.56</v>
      </c>
      <c r="D678" s="40">
        <f t="shared" si="3"/>
        <v>12.221666666666666</v>
      </c>
      <c r="E678" s="40">
        <f t="shared" si="4"/>
        <v>12.09125</v>
      </c>
      <c r="F678" s="12"/>
      <c r="G678" s="18" t="str">
        <f t="shared" si="5"/>
        <v>No</v>
      </c>
      <c r="H678" s="12"/>
      <c r="I678" s="39" t="str">
        <f>IF(BuyAllowed="Yes",IF(AND(G678 = "No", C678&gt;D678), "Yes", "No"),"No")</f>
        <v>No</v>
      </c>
      <c r="J678" s="39" t="str">
        <f>IF(SellAllowed="Yes",IF(AND(G678 = "Yes", C678&lt;E678), "Yes", "No"),"No")</f>
        <v>No</v>
      </c>
      <c r="K678" s="39">
        <f>IF(I678 = "Yes", M677/(C678+CostBuy), IF(J678 = "Yes", 0, K677))</f>
        <v>0</v>
      </c>
      <c r="M678" s="19">
        <f>IF(I678 = "Yes", M677-(C678+CostBuy)*K678, IF(J678="Yes", M677+(C678-CostSell)*K677, M677+K678*Rate))</f>
        <v>269854.27149622975</v>
      </c>
    </row>
    <row r="679" spans="2:13" s="11" customFormat="1" x14ac:dyDescent="0.2">
      <c r="B679" s="24">
        <v>1926.06</v>
      </c>
      <c r="C679" s="25">
        <v>12.11</v>
      </c>
      <c r="D679" s="40">
        <f t="shared" si="3"/>
        <v>12.105000000000002</v>
      </c>
      <c r="E679" s="40">
        <f t="shared" si="4"/>
        <v>12.0975</v>
      </c>
      <c r="F679" s="12"/>
      <c r="G679" s="18" t="str">
        <f t="shared" si="5"/>
        <v>No</v>
      </c>
      <c r="H679" s="12"/>
      <c r="I679" s="39" t="str">
        <f>IF(BuyAllowed="Yes",IF(AND(G679 = "No", C679&gt;D679), "Yes", "No"),"No")</f>
        <v>Yes</v>
      </c>
      <c r="J679" s="39" t="str">
        <f>IF(SellAllowed="Yes",IF(AND(G679 = "Yes", C679&lt;E679), "Yes", "No"),"No")</f>
        <v>No</v>
      </c>
      <c r="K679" s="39">
        <f>IF(I679 = "Yes", M678/(C679+CostBuy), IF(J679 = "Yes", 0, K678))</f>
        <v>22228.523187498333</v>
      </c>
      <c r="M679" s="19">
        <f>IF(I679 = "Yes", M678-(C679+CostBuy)*K679, IF(J679="Yes", M678+(C679-CostSell)*K678, M678+K679*Rate))</f>
        <v>0</v>
      </c>
    </row>
    <row r="680" spans="2:13" s="11" customFormat="1" x14ac:dyDescent="0.2">
      <c r="B680" s="24">
        <v>1926.07</v>
      </c>
      <c r="C680" s="25">
        <v>12.62</v>
      </c>
      <c r="D680" s="40">
        <f t="shared" si="3"/>
        <v>12.046666666666667</v>
      </c>
      <c r="E680" s="40">
        <f t="shared" si="4"/>
        <v>12.125</v>
      </c>
      <c r="F680" s="12"/>
      <c r="G680" s="18" t="str">
        <f t="shared" si="5"/>
        <v>Yes</v>
      </c>
      <c r="H680" s="12"/>
      <c r="I680" s="39" t="str">
        <f>IF(BuyAllowed="Yes",IF(AND(G680 = "No", C680&gt;D680), "Yes", "No"),"No")</f>
        <v>No</v>
      </c>
      <c r="J680" s="39" t="str">
        <f>IF(SellAllowed="Yes",IF(AND(G680 = "Yes", C680&lt;E680), "Yes", "No"),"No")</f>
        <v>No</v>
      </c>
      <c r="K680" s="39">
        <f>IF(I680 = "Yes", M679/(C680+CostBuy), IF(J680 = "Yes", 0, K679))</f>
        <v>22228.523187498333</v>
      </c>
      <c r="M680" s="19">
        <f>IF(I680 = "Yes", M679-(C680+CostBuy)*K680, IF(J680="Yes", M679+(C680-CostSell)*K679, M679+K680*Rate))</f>
        <v>1111.4261593749168</v>
      </c>
    </row>
    <row r="681" spans="2:13" s="11" customFormat="1" x14ac:dyDescent="0.2">
      <c r="B681" s="24">
        <v>1926.08</v>
      </c>
      <c r="C681" s="25">
        <v>13.12</v>
      </c>
      <c r="D681" s="40">
        <f t="shared" si="3"/>
        <v>12.041666666666666</v>
      </c>
      <c r="E681" s="40">
        <f t="shared" si="4"/>
        <v>12.170000000000002</v>
      </c>
      <c r="F681" s="12"/>
      <c r="G681" s="18" t="str">
        <f t="shared" si="5"/>
        <v>Yes</v>
      </c>
      <c r="H681" s="12"/>
      <c r="I681" s="39" t="str">
        <f>IF(BuyAllowed="Yes",IF(AND(G681 = "No", C681&gt;D681), "Yes", "No"),"No")</f>
        <v>No</v>
      </c>
      <c r="J681" s="39" t="str">
        <f>IF(SellAllowed="Yes",IF(AND(G681 = "Yes", C681&lt;E681), "Yes", "No"),"No")</f>
        <v>No</v>
      </c>
      <c r="K681" s="39">
        <f>IF(I681 = "Yes", M680/(C681+CostBuy), IF(J681 = "Yes", 0, K680))</f>
        <v>22228.523187498333</v>
      </c>
      <c r="M681" s="19">
        <f>IF(I681 = "Yes", M680-(C681+CostBuy)*K681, IF(J681="Yes", M680+(C681-CostSell)*K680, M680+K681*Rate))</f>
        <v>2222.8523187498336</v>
      </c>
    </row>
    <row r="682" spans="2:13" s="11" customFormat="1" x14ac:dyDescent="0.2">
      <c r="B682" s="24">
        <v>1926.09</v>
      </c>
      <c r="C682" s="25">
        <v>13.32</v>
      </c>
      <c r="D682" s="40">
        <f t="shared" si="3"/>
        <v>12.116666666666667</v>
      </c>
      <c r="E682" s="40">
        <f t="shared" si="4"/>
        <v>12.252500000000001</v>
      </c>
      <c r="F682" s="12"/>
      <c r="G682" s="18" t="str">
        <f t="shared" si="5"/>
        <v>Yes</v>
      </c>
      <c r="H682" s="12"/>
      <c r="I682" s="39" t="str">
        <f>IF(BuyAllowed="Yes",IF(AND(G682 = "No", C682&gt;D682), "Yes", "No"),"No")</f>
        <v>No</v>
      </c>
      <c r="J682" s="39" t="str">
        <f>IF(SellAllowed="Yes",IF(AND(G682 = "Yes", C682&lt;E682), "Yes", "No"),"No")</f>
        <v>No</v>
      </c>
      <c r="K682" s="39">
        <f>IF(I682 = "Yes", M681/(C682+CostBuy), IF(J682 = "Yes", 0, K681))</f>
        <v>22228.523187498333</v>
      </c>
      <c r="M682" s="19">
        <f>IF(I682 = "Yes", M681-(C682+CostBuy)*K682, IF(J682="Yes", M681+(C682-CostSell)*K681, M681+K682*Rate))</f>
        <v>3334.2784781247501</v>
      </c>
    </row>
    <row r="683" spans="2:13" s="11" customFormat="1" x14ac:dyDescent="0.2">
      <c r="B683" s="24">
        <v>1926.1</v>
      </c>
      <c r="C683" s="25">
        <v>13.02</v>
      </c>
      <c r="D683" s="40">
        <f t="shared" si="3"/>
        <v>12.368333333333332</v>
      </c>
      <c r="E683" s="40">
        <f t="shared" si="4"/>
        <v>12.33625</v>
      </c>
      <c r="F683" s="12"/>
      <c r="G683" s="18" t="str">
        <f t="shared" si="5"/>
        <v>Yes</v>
      </c>
      <c r="H683" s="12"/>
      <c r="I683" s="39" t="str">
        <f>IF(BuyAllowed="Yes",IF(AND(G683 = "No", C683&gt;D683), "Yes", "No"),"No")</f>
        <v>No</v>
      </c>
      <c r="J683" s="39" t="str">
        <f>IF(SellAllowed="Yes",IF(AND(G683 = "Yes", C683&lt;E683), "Yes", "No"),"No")</f>
        <v>No</v>
      </c>
      <c r="K683" s="39">
        <f>IF(I683 = "Yes", M682/(C683+CostBuy), IF(J683 = "Yes", 0, K682))</f>
        <v>22228.523187498333</v>
      </c>
      <c r="M683" s="19">
        <f>IF(I683 = "Yes", M682-(C683+CostBuy)*K683, IF(J683="Yes", M682+(C683-CostSell)*K682, M682+K683*Rate))</f>
        <v>4445.7046374996671</v>
      </c>
    </row>
    <row r="684" spans="2:13" s="11" customFormat="1" x14ac:dyDescent="0.2">
      <c r="B684" s="24">
        <v>1926.11</v>
      </c>
      <c r="C684" s="25">
        <v>13.19</v>
      </c>
      <c r="D684" s="40">
        <f t="shared" si="3"/>
        <v>12.625</v>
      </c>
      <c r="E684" s="40">
        <f t="shared" si="4"/>
        <v>12.38</v>
      </c>
      <c r="F684" s="12"/>
      <c r="G684" s="18" t="str">
        <f t="shared" si="5"/>
        <v>Yes</v>
      </c>
      <c r="H684" s="12"/>
      <c r="I684" s="39" t="str">
        <f>IF(BuyAllowed="Yes",IF(AND(G684 = "No", C684&gt;D684), "Yes", "No"),"No")</f>
        <v>No</v>
      </c>
      <c r="J684" s="39" t="str">
        <f>IF(SellAllowed="Yes",IF(AND(G684 = "Yes", C684&lt;E684), "Yes", "No"),"No")</f>
        <v>No</v>
      </c>
      <c r="K684" s="39">
        <f>IF(I684 = "Yes", M683/(C684+CostBuy), IF(J684 = "Yes", 0, K683))</f>
        <v>22228.523187498333</v>
      </c>
      <c r="M684" s="19">
        <f>IF(I684 = "Yes", M683-(C684+CostBuy)*K684, IF(J684="Yes", M683+(C684-CostSell)*K683, M683+K684*Rate))</f>
        <v>5557.1307968745841</v>
      </c>
    </row>
    <row r="685" spans="2:13" s="11" customFormat="1" x14ac:dyDescent="0.2">
      <c r="B685" s="24">
        <v>1926.12</v>
      </c>
      <c r="C685" s="25">
        <v>13.49</v>
      </c>
      <c r="D685" s="40">
        <f t="shared" si="3"/>
        <v>12.896666666666667</v>
      </c>
      <c r="E685" s="40">
        <f t="shared" si="4"/>
        <v>12.552499999999998</v>
      </c>
      <c r="F685" s="12"/>
      <c r="G685" s="18" t="str">
        <f t="shared" si="5"/>
        <v>Yes</v>
      </c>
      <c r="H685" s="12"/>
      <c r="I685" s="39" t="str">
        <f>IF(BuyAllowed="Yes",IF(AND(G685 = "No", C685&gt;D685), "Yes", "No"),"No")</f>
        <v>No</v>
      </c>
      <c r="J685" s="39" t="str">
        <f>IF(SellAllowed="Yes",IF(AND(G685 = "Yes", C685&lt;E685), "Yes", "No"),"No")</f>
        <v>No</v>
      </c>
      <c r="K685" s="39">
        <f>IF(I685 = "Yes", M684/(C685+CostBuy), IF(J685 = "Yes", 0, K684))</f>
        <v>22228.523187498333</v>
      </c>
      <c r="M685" s="19">
        <f>IF(I685 = "Yes", M684-(C685+CostBuy)*K685, IF(J685="Yes", M684+(C685-CostSell)*K684, M684+K685*Rate))</f>
        <v>6668.5569562495011</v>
      </c>
    </row>
    <row r="686" spans="2:13" s="11" customFormat="1" x14ac:dyDescent="0.2">
      <c r="B686" s="24">
        <v>1927.01</v>
      </c>
      <c r="C686" s="25">
        <v>13.4</v>
      </c>
      <c r="D686" s="40">
        <f t="shared" si="3"/>
        <v>13.126666666666665</v>
      </c>
      <c r="E686" s="40">
        <f t="shared" si="4"/>
        <v>12.803749999999999</v>
      </c>
      <c r="F686" s="12"/>
      <c r="G686" s="18" t="str">
        <f t="shared" si="5"/>
        <v>Yes</v>
      </c>
      <c r="H686" s="12"/>
      <c r="I686" s="39" t="str">
        <f>IF(BuyAllowed="Yes",IF(AND(G686 = "No", C686&gt;D686), "Yes", "No"),"No")</f>
        <v>No</v>
      </c>
      <c r="J686" s="39" t="str">
        <f>IF(SellAllowed="Yes",IF(AND(G686 = "Yes", C686&lt;E686), "Yes", "No"),"No")</f>
        <v>No</v>
      </c>
      <c r="K686" s="39">
        <f>IF(I686 = "Yes", M685/(C686+CostBuy), IF(J686 = "Yes", 0, K685))</f>
        <v>22228.523187498333</v>
      </c>
      <c r="M686" s="19">
        <f>IF(I686 = "Yes", M685-(C686+CostBuy)*K686, IF(J686="Yes", M685+(C686-CostSell)*K685, M685+K686*Rate))</f>
        <v>7779.9831156244181</v>
      </c>
    </row>
    <row r="687" spans="2:13" s="11" customFormat="1" x14ac:dyDescent="0.2">
      <c r="B687" s="24">
        <v>1927.02</v>
      </c>
      <c r="C687" s="25">
        <v>13.66</v>
      </c>
      <c r="D687" s="40">
        <f t="shared" si="3"/>
        <v>13.256666666666666</v>
      </c>
      <c r="E687" s="40">
        <f t="shared" si="4"/>
        <v>13.03375</v>
      </c>
      <c r="F687" s="12"/>
      <c r="G687" s="18" t="str">
        <f t="shared" si="5"/>
        <v>Yes</v>
      </c>
      <c r="H687" s="12"/>
      <c r="I687" s="39" t="str">
        <f>IF(BuyAllowed="Yes",IF(AND(G687 = "No", C687&gt;D687), "Yes", "No"),"No")</f>
        <v>No</v>
      </c>
      <c r="J687" s="39" t="str">
        <f>IF(SellAllowed="Yes",IF(AND(G687 = "Yes", C687&lt;E687), "Yes", "No"),"No")</f>
        <v>No</v>
      </c>
      <c r="K687" s="39">
        <f>IF(I687 = "Yes", M686/(C687+CostBuy), IF(J687 = "Yes", 0, K686))</f>
        <v>22228.523187498333</v>
      </c>
      <c r="M687" s="19">
        <f>IF(I687 = "Yes", M686-(C687+CostBuy)*K687, IF(J687="Yes", M686+(C687-CostSell)*K686, M686+K687*Rate))</f>
        <v>8891.4092749993342</v>
      </c>
    </row>
    <row r="688" spans="2:13" s="11" customFormat="1" x14ac:dyDescent="0.2">
      <c r="B688" s="24">
        <v>1927.03</v>
      </c>
      <c r="C688" s="25">
        <v>13.87</v>
      </c>
      <c r="D688" s="40">
        <f t="shared" si="3"/>
        <v>13.346666666666666</v>
      </c>
      <c r="E688" s="40">
        <f t="shared" si="4"/>
        <v>13.227499999999999</v>
      </c>
      <c r="F688" s="12"/>
      <c r="G688" s="18" t="str">
        <f t="shared" si="5"/>
        <v>Yes</v>
      </c>
      <c r="H688" s="12"/>
      <c r="I688" s="39" t="str">
        <f>IF(BuyAllowed="Yes",IF(AND(G688 = "No", C688&gt;D688), "Yes", "No"),"No")</f>
        <v>No</v>
      </c>
      <c r="J688" s="39" t="str">
        <f>IF(SellAllowed="Yes",IF(AND(G688 = "Yes", C688&lt;E688), "Yes", "No"),"No")</f>
        <v>No</v>
      </c>
      <c r="K688" s="39">
        <f>IF(I688 = "Yes", M687/(C688+CostBuy), IF(J688 = "Yes", 0, K687))</f>
        <v>22228.523187498333</v>
      </c>
      <c r="M688" s="19">
        <f>IF(I688 = "Yes", M687-(C688+CostBuy)*K688, IF(J688="Yes", M687+(C688-CostSell)*K687, M687+K688*Rate))</f>
        <v>10002.83543437425</v>
      </c>
    </row>
    <row r="689" spans="2:13" s="11" customFormat="1" x14ac:dyDescent="0.2">
      <c r="B689" s="24">
        <v>1927.04</v>
      </c>
      <c r="C689" s="25">
        <v>14.21</v>
      </c>
      <c r="D689" s="40">
        <f t="shared" si="3"/>
        <v>13.438333333333334</v>
      </c>
      <c r="E689" s="40">
        <f t="shared" si="4"/>
        <v>13.383749999999999</v>
      </c>
      <c r="F689" s="12"/>
      <c r="G689" s="18" t="str">
        <f t="shared" si="5"/>
        <v>Yes</v>
      </c>
      <c r="H689" s="12"/>
      <c r="I689" s="39" t="str">
        <f>IF(BuyAllowed="Yes",IF(AND(G689 = "No", C689&gt;D689), "Yes", "No"),"No")</f>
        <v>No</v>
      </c>
      <c r="J689" s="39" t="str">
        <f>IF(SellAllowed="Yes",IF(AND(G689 = "Yes", C689&lt;E689), "Yes", "No"),"No")</f>
        <v>No</v>
      </c>
      <c r="K689" s="39">
        <f>IF(I689 = "Yes", M688/(C689+CostBuy), IF(J689 = "Yes", 0, K688))</f>
        <v>22228.523187498333</v>
      </c>
      <c r="M689" s="19">
        <f>IF(I689 = "Yes", M688-(C689+CostBuy)*K689, IF(J689="Yes", M688+(C689-CostSell)*K688, M688+K689*Rate))</f>
        <v>11114.261593749166</v>
      </c>
    </row>
    <row r="690" spans="2:13" s="11" customFormat="1" x14ac:dyDescent="0.2">
      <c r="B690" s="24">
        <v>1927.05</v>
      </c>
      <c r="C690" s="25">
        <v>14.7</v>
      </c>
      <c r="D690" s="40">
        <f t="shared" si="3"/>
        <v>13.636666666666665</v>
      </c>
      <c r="E690" s="40">
        <f t="shared" si="4"/>
        <v>13.52</v>
      </c>
      <c r="F690" s="12"/>
      <c r="G690" s="18" t="str">
        <f t="shared" si="5"/>
        <v>Yes</v>
      </c>
      <c r="H690" s="12"/>
      <c r="I690" s="39" t="str">
        <f>IF(BuyAllowed="Yes",IF(AND(G690 = "No", C690&gt;D690), "Yes", "No"),"No")</f>
        <v>No</v>
      </c>
      <c r="J690" s="39" t="str">
        <f>IF(SellAllowed="Yes",IF(AND(G690 = "Yes", C690&lt;E690), "Yes", "No"),"No")</f>
        <v>No</v>
      </c>
      <c r="K690" s="39">
        <f>IF(I690 = "Yes", M689/(C690+CostBuy), IF(J690 = "Yes", 0, K689))</f>
        <v>22228.523187498333</v>
      </c>
      <c r="M690" s="19">
        <f>IF(I690 = "Yes", M689-(C690+CostBuy)*K690, IF(J690="Yes", M689+(C690-CostSell)*K689, M689+K690*Rate))</f>
        <v>12225.687753124083</v>
      </c>
    </row>
    <row r="691" spans="2:13" s="11" customFormat="1" x14ac:dyDescent="0.2">
      <c r="B691" s="24">
        <v>1927.06</v>
      </c>
      <c r="C691" s="25">
        <v>14.89</v>
      </c>
      <c r="D691" s="40">
        <f t="shared" si="3"/>
        <v>13.888333333333334</v>
      </c>
      <c r="E691" s="40">
        <f t="shared" si="4"/>
        <v>13.692500000000001</v>
      </c>
      <c r="F691" s="12"/>
      <c r="G691" s="18" t="str">
        <f t="shared" si="5"/>
        <v>Yes</v>
      </c>
      <c r="H691" s="12"/>
      <c r="I691" s="39" t="str">
        <f>IF(BuyAllowed="Yes",IF(AND(G691 = "No", C691&gt;D691), "Yes", "No"),"No")</f>
        <v>No</v>
      </c>
      <c r="J691" s="39" t="str">
        <f>IF(SellAllowed="Yes",IF(AND(G691 = "Yes", C691&lt;E691), "Yes", "No"),"No")</f>
        <v>No</v>
      </c>
      <c r="K691" s="39">
        <f>IF(I691 = "Yes", M690/(C691+CostBuy), IF(J691 = "Yes", 0, K690))</f>
        <v>22228.523187498333</v>
      </c>
      <c r="M691" s="19">
        <f>IF(I691 = "Yes", M690-(C691+CostBuy)*K691, IF(J691="Yes", M690+(C691-CostSell)*K690, M690+K691*Rate))</f>
        <v>13337.113912498999</v>
      </c>
    </row>
    <row r="692" spans="2:13" s="11" customFormat="1" x14ac:dyDescent="0.2">
      <c r="B692" s="24">
        <v>1927.07</v>
      </c>
      <c r="C692" s="25">
        <v>15.22</v>
      </c>
      <c r="D692" s="40">
        <f t="shared" si="3"/>
        <v>14.121666666666668</v>
      </c>
      <c r="E692" s="40">
        <f t="shared" si="4"/>
        <v>13.92625</v>
      </c>
      <c r="F692" s="12"/>
      <c r="G692" s="18" t="str">
        <f t="shared" si="5"/>
        <v>Yes</v>
      </c>
      <c r="H692" s="12"/>
      <c r="I692" s="39" t="str">
        <f>IF(BuyAllowed="Yes",IF(AND(G692 = "No", C692&gt;D692), "Yes", "No"),"No")</f>
        <v>No</v>
      </c>
      <c r="J692" s="39" t="str">
        <f>IF(SellAllowed="Yes",IF(AND(G692 = "Yes", C692&lt;E692), "Yes", "No"),"No")</f>
        <v>No</v>
      </c>
      <c r="K692" s="39">
        <f>IF(I692 = "Yes", M691/(C692+CostBuy), IF(J692 = "Yes", 0, K691))</f>
        <v>22228.523187498333</v>
      </c>
      <c r="M692" s="19">
        <f>IF(I692 = "Yes", M691-(C692+CostBuy)*K692, IF(J692="Yes", M691+(C692-CostSell)*K691, M691+K692*Rate))</f>
        <v>14448.540071873915</v>
      </c>
    </row>
    <row r="693" spans="2:13" s="11" customFormat="1" x14ac:dyDescent="0.2">
      <c r="B693" s="24">
        <v>1927.08</v>
      </c>
      <c r="C693" s="25">
        <v>16.03</v>
      </c>
      <c r="D693" s="40">
        <f t="shared" si="3"/>
        <v>14.424999999999999</v>
      </c>
      <c r="E693" s="40">
        <f t="shared" si="4"/>
        <v>14.18</v>
      </c>
      <c r="F693" s="12"/>
      <c r="G693" s="18" t="str">
        <f t="shared" si="5"/>
        <v>Yes</v>
      </c>
      <c r="H693" s="12"/>
      <c r="I693" s="39" t="str">
        <f>IF(BuyAllowed="Yes",IF(AND(G693 = "No", C693&gt;D693), "Yes", "No"),"No")</f>
        <v>No</v>
      </c>
      <c r="J693" s="39" t="str">
        <f>IF(SellAllowed="Yes",IF(AND(G693 = "Yes", C693&lt;E693), "Yes", "No"),"No")</f>
        <v>No</v>
      </c>
      <c r="K693" s="39">
        <f>IF(I693 = "Yes", M692/(C693+CostBuy), IF(J693 = "Yes", 0, K692))</f>
        <v>22228.523187498333</v>
      </c>
      <c r="M693" s="19">
        <f>IF(I693 = "Yes", M692-(C693+CostBuy)*K693, IF(J693="Yes", M692+(C693-CostSell)*K692, M692+K693*Rate))</f>
        <v>15559.966231248831</v>
      </c>
    </row>
    <row r="694" spans="2:13" s="11" customFormat="1" x14ac:dyDescent="0.2">
      <c r="B694" s="24">
        <v>1927.09</v>
      </c>
      <c r="C694" s="25">
        <v>16.940000000000001</v>
      </c>
      <c r="D694" s="40">
        <f t="shared" si="3"/>
        <v>14.82</v>
      </c>
      <c r="E694" s="40">
        <f t="shared" si="4"/>
        <v>14.4975</v>
      </c>
      <c r="F694" s="12"/>
      <c r="G694" s="18" t="str">
        <f t="shared" si="5"/>
        <v>Yes</v>
      </c>
      <c r="H694" s="12"/>
      <c r="I694" s="39" t="str">
        <f>IF(BuyAllowed="Yes",IF(AND(G694 = "No", C694&gt;D694), "Yes", "No"),"No")</f>
        <v>No</v>
      </c>
      <c r="J694" s="39" t="str">
        <f>IF(SellAllowed="Yes",IF(AND(G694 = "Yes", C694&lt;E694), "Yes", "No"),"No")</f>
        <v>No</v>
      </c>
      <c r="K694" s="39">
        <f>IF(I694 = "Yes", M693/(C694+CostBuy), IF(J694 = "Yes", 0, K693))</f>
        <v>22228.523187498333</v>
      </c>
      <c r="M694" s="19">
        <f>IF(I694 = "Yes", M693-(C694+CostBuy)*K694, IF(J694="Yes", M693+(C694-CostSell)*K693, M693+K694*Rate))</f>
        <v>16671.392390623747</v>
      </c>
    </row>
    <row r="695" spans="2:13" s="11" customFormat="1" x14ac:dyDescent="0.2">
      <c r="B695" s="24">
        <v>1927.1</v>
      </c>
      <c r="C695" s="25">
        <v>16.68</v>
      </c>
      <c r="D695" s="40">
        <f t="shared" si="3"/>
        <v>15.331666666666665</v>
      </c>
      <c r="E695" s="40">
        <f t="shared" si="4"/>
        <v>14.94</v>
      </c>
      <c r="F695" s="12"/>
      <c r="G695" s="18" t="str">
        <f t="shared" si="5"/>
        <v>Yes</v>
      </c>
      <c r="H695" s="12"/>
      <c r="I695" s="39" t="str">
        <f>IF(BuyAllowed="Yes",IF(AND(G695 = "No", C695&gt;D695), "Yes", "No"),"No")</f>
        <v>No</v>
      </c>
      <c r="J695" s="39" t="str">
        <f>IF(SellAllowed="Yes",IF(AND(G695 = "Yes", C695&lt;E695), "Yes", "No"),"No")</f>
        <v>No</v>
      </c>
      <c r="K695" s="39">
        <f>IF(I695 = "Yes", M694/(C695+CostBuy), IF(J695 = "Yes", 0, K694))</f>
        <v>22228.523187498333</v>
      </c>
      <c r="M695" s="19">
        <f>IF(I695 = "Yes", M694-(C695+CostBuy)*K695, IF(J695="Yes", M694+(C695-CostSell)*K694, M694+K695*Rate))</f>
        <v>17782.818549998665</v>
      </c>
    </row>
    <row r="696" spans="2:13" s="11" customFormat="1" x14ac:dyDescent="0.2">
      <c r="B696" s="24">
        <v>1927.11</v>
      </c>
      <c r="C696" s="25">
        <v>17.059999999999999</v>
      </c>
      <c r="D696" s="40">
        <f t="shared" si="3"/>
        <v>15.743333333333334</v>
      </c>
      <c r="E696" s="40">
        <f t="shared" si="4"/>
        <v>15.317499999999999</v>
      </c>
      <c r="F696" s="12"/>
      <c r="G696" s="18" t="str">
        <f t="shared" si="5"/>
        <v>Yes</v>
      </c>
      <c r="H696" s="12"/>
      <c r="I696" s="39" t="str">
        <f>IF(BuyAllowed="Yes",IF(AND(G696 = "No", C696&gt;D696), "Yes", "No"),"No")</f>
        <v>No</v>
      </c>
      <c r="J696" s="39" t="str">
        <f>IF(SellAllowed="Yes",IF(AND(G696 = "Yes", C696&lt;E696), "Yes", "No"),"No")</f>
        <v>No</v>
      </c>
      <c r="K696" s="39">
        <f>IF(I696 = "Yes", M695/(C696+CostBuy), IF(J696 = "Yes", 0, K695))</f>
        <v>22228.523187498333</v>
      </c>
      <c r="M696" s="19">
        <f>IF(I696 = "Yes", M695-(C696+CostBuy)*K696, IF(J696="Yes", M695+(C696-CostSell)*K695, M695+K696*Rate))</f>
        <v>18894.244709373583</v>
      </c>
    </row>
    <row r="697" spans="2:13" s="11" customFormat="1" x14ac:dyDescent="0.2">
      <c r="B697" s="24">
        <v>1927.12</v>
      </c>
      <c r="C697" s="25">
        <v>17.46</v>
      </c>
      <c r="D697" s="40">
        <f t="shared" si="3"/>
        <v>16.136666666666667</v>
      </c>
      <c r="E697" s="40">
        <f t="shared" si="4"/>
        <v>15.716249999999999</v>
      </c>
      <c r="F697" s="12"/>
      <c r="G697" s="18" t="str">
        <f t="shared" si="5"/>
        <v>Yes</v>
      </c>
      <c r="H697" s="12"/>
      <c r="I697" s="39" t="str">
        <f>IF(BuyAllowed="Yes",IF(AND(G697 = "No", C697&gt;D697), "Yes", "No"),"No")</f>
        <v>No</v>
      </c>
      <c r="J697" s="39" t="str">
        <f>IF(SellAllowed="Yes",IF(AND(G697 = "Yes", C697&lt;E697), "Yes", "No"),"No")</f>
        <v>No</v>
      </c>
      <c r="K697" s="39">
        <f>IF(I697 = "Yes", M696/(C697+CostBuy), IF(J697 = "Yes", 0, K696))</f>
        <v>22228.523187498333</v>
      </c>
      <c r="M697" s="19">
        <f>IF(I697 = "Yes", M696-(C697+CostBuy)*K697, IF(J697="Yes", M696+(C697-CostSell)*K696, M696+K697*Rate))</f>
        <v>20005.670868748501</v>
      </c>
    </row>
    <row r="698" spans="2:13" s="11" customFormat="1" x14ac:dyDescent="0.2">
      <c r="B698" s="24">
        <v>1928.01</v>
      </c>
      <c r="C698" s="25">
        <v>17.53</v>
      </c>
      <c r="D698" s="40">
        <f t="shared" si="3"/>
        <v>16.565000000000001</v>
      </c>
      <c r="E698" s="40">
        <f t="shared" si="4"/>
        <v>16.122500000000002</v>
      </c>
      <c r="F698" s="12"/>
      <c r="G698" s="18" t="str">
        <f t="shared" si="5"/>
        <v>Yes</v>
      </c>
      <c r="H698" s="12"/>
      <c r="I698" s="39" t="str">
        <f>IF(BuyAllowed="Yes",IF(AND(G698 = "No", C698&gt;D698), "Yes", "No"),"No")</f>
        <v>No</v>
      </c>
      <c r="J698" s="39" t="str">
        <f>IF(SellAllowed="Yes",IF(AND(G698 = "Yes", C698&lt;E698), "Yes", "No"),"No")</f>
        <v>No</v>
      </c>
      <c r="K698" s="39">
        <f>IF(I698 = "Yes", M697/(C698+CostBuy), IF(J698 = "Yes", 0, K697))</f>
        <v>22228.523187498333</v>
      </c>
      <c r="M698" s="19">
        <f>IF(I698 = "Yes", M697-(C698+CostBuy)*K698, IF(J698="Yes", M697+(C698-CostSell)*K697, M697+K698*Rate))</f>
        <v>21117.097028123419</v>
      </c>
    </row>
    <row r="699" spans="2:13" s="11" customFormat="1" x14ac:dyDescent="0.2">
      <c r="B699" s="24">
        <v>1928.02</v>
      </c>
      <c r="C699" s="25">
        <v>17.32</v>
      </c>
      <c r="D699" s="40">
        <f t="shared" si="3"/>
        <v>16.95</v>
      </c>
      <c r="E699" s="40">
        <f t="shared" si="4"/>
        <v>16.47625</v>
      </c>
      <c r="F699" s="12"/>
      <c r="G699" s="18" t="str">
        <f t="shared" si="5"/>
        <v>Yes</v>
      </c>
      <c r="H699" s="12"/>
      <c r="I699" s="39" t="str">
        <f>IF(BuyAllowed="Yes",IF(AND(G699 = "No", C699&gt;D699), "Yes", "No"),"No")</f>
        <v>No</v>
      </c>
      <c r="J699" s="39" t="str">
        <f>IF(SellAllowed="Yes",IF(AND(G699 = "Yes", C699&lt;E699), "Yes", "No"),"No")</f>
        <v>No</v>
      </c>
      <c r="K699" s="39">
        <f>IF(I699 = "Yes", M698/(C699+CostBuy), IF(J699 = "Yes", 0, K698))</f>
        <v>22228.523187498333</v>
      </c>
      <c r="M699" s="19">
        <f>IF(I699 = "Yes", M698-(C699+CostBuy)*K699, IF(J699="Yes", M698+(C699-CostSell)*K698, M698+K699*Rate))</f>
        <v>22228.523187498336</v>
      </c>
    </row>
    <row r="700" spans="2:13" s="11" customFormat="1" x14ac:dyDescent="0.2">
      <c r="B700" s="24">
        <v>1928.03</v>
      </c>
      <c r="C700" s="25">
        <v>18.25</v>
      </c>
      <c r="D700" s="40">
        <f t="shared" si="3"/>
        <v>17.165000000000003</v>
      </c>
      <c r="E700" s="40">
        <f t="shared" si="4"/>
        <v>16.78</v>
      </c>
      <c r="F700" s="12"/>
      <c r="G700" s="18" t="str">
        <f t="shared" si="5"/>
        <v>Yes</v>
      </c>
      <c r="H700" s="12"/>
      <c r="I700" s="39" t="str">
        <f>IF(BuyAllowed="Yes",IF(AND(G700 = "No", C700&gt;D700), "Yes", "No"),"No")</f>
        <v>No</v>
      </c>
      <c r="J700" s="39" t="str">
        <f>IF(SellAllowed="Yes",IF(AND(G700 = "Yes", C700&lt;E700), "Yes", "No"),"No")</f>
        <v>No</v>
      </c>
      <c r="K700" s="39">
        <f>IF(I700 = "Yes", M699/(C700+CostBuy), IF(J700 = "Yes", 0, K699))</f>
        <v>22228.523187498333</v>
      </c>
      <c r="M700" s="19">
        <f>IF(I700 = "Yes", M699-(C700+CostBuy)*K700, IF(J700="Yes", M699+(C700-CostSell)*K699, M699+K700*Rate))</f>
        <v>23339.949346873254</v>
      </c>
    </row>
    <row r="701" spans="2:13" s="11" customFormat="1" x14ac:dyDescent="0.2">
      <c r="B701" s="24">
        <v>1928.04</v>
      </c>
      <c r="C701" s="25">
        <v>19.399999999999999</v>
      </c>
      <c r="D701" s="40">
        <f t="shared" si="3"/>
        <v>17.383333333333329</v>
      </c>
      <c r="E701" s="40">
        <f t="shared" si="4"/>
        <v>17.158749999999998</v>
      </c>
      <c r="F701" s="12"/>
      <c r="G701" s="18" t="str">
        <f t="shared" si="5"/>
        <v>Yes</v>
      </c>
      <c r="H701" s="12"/>
      <c r="I701" s="39" t="str">
        <f>IF(BuyAllowed="Yes",IF(AND(G701 = "No", C701&gt;D701), "Yes", "No"),"No")</f>
        <v>No</v>
      </c>
      <c r="J701" s="39" t="str">
        <f>IF(SellAllowed="Yes",IF(AND(G701 = "Yes", C701&lt;E701), "Yes", "No"),"No")</f>
        <v>No</v>
      </c>
      <c r="K701" s="39">
        <f>IF(I701 = "Yes", M700/(C701+CostBuy), IF(J701 = "Yes", 0, K700))</f>
        <v>22228.523187498333</v>
      </c>
      <c r="M701" s="19">
        <f>IF(I701 = "Yes", M700-(C701+CostBuy)*K701, IF(J701="Yes", M700+(C701-CostSell)*K700, M700+K701*Rate))</f>
        <v>24451.375506248172</v>
      </c>
    </row>
    <row r="702" spans="2:13" s="11" customFormat="1" x14ac:dyDescent="0.2">
      <c r="B702" s="24">
        <v>1928.05</v>
      </c>
      <c r="C702" s="25">
        <v>20</v>
      </c>
      <c r="D702" s="40">
        <f t="shared" si="3"/>
        <v>17.83666666666667</v>
      </c>
      <c r="E702" s="40">
        <f t="shared" si="4"/>
        <v>17.580000000000002</v>
      </c>
      <c r="F702" s="12"/>
      <c r="G702" s="18" t="str">
        <f t="shared" si="5"/>
        <v>Yes</v>
      </c>
      <c r="H702" s="12"/>
      <c r="I702" s="39" t="str">
        <f>IF(BuyAllowed="Yes",IF(AND(G702 = "No", C702&gt;D702), "Yes", "No"),"No")</f>
        <v>No</v>
      </c>
      <c r="J702" s="39" t="str">
        <f>IF(SellAllowed="Yes",IF(AND(G702 = "Yes", C702&lt;E702), "Yes", "No"),"No")</f>
        <v>No</v>
      </c>
      <c r="K702" s="39">
        <f>IF(I702 = "Yes", M701/(C702+CostBuy), IF(J702 = "Yes", 0, K701))</f>
        <v>22228.523187498333</v>
      </c>
      <c r="M702" s="19">
        <f>IF(I702 = "Yes", M701-(C702+CostBuy)*K702, IF(J702="Yes", M701+(C702-CostSell)*K701, M701+K702*Rate))</f>
        <v>25562.80166562309</v>
      </c>
    </row>
    <row r="703" spans="2:13" s="11" customFormat="1" x14ac:dyDescent="0.2">
      <c r="B703" s="24">
        <v>1928.06</v>
      </c>
      <c r="C703" s="25">
        <v>19.02</v>
      </c>
      <c r="D703" s="40">
        <f t="shared" si="3"/>
        <v>18.326666666666668</v>
      </c>
      <c r="E703" s="40">
        <f t="shared" si="4"/>
        <v>17.962499999999999</v>
      </c>
      <c r="F703" s="12"/>
      <c r="G703" s="18" t="str">
        <f t="shared" si="5"/>
        <v>Yes</v>
      </c>
      <c r="H703" s="12"/>
      <c r="I703" s="39" t="str">
        <f>IF(BuyAllowed="Yes",IF(AND(G703 = "No", C703&gt;D703), "Yes", "No"),"No")</f>
        <v>No</v>
      </c>
      <c r="J703" s="39" t="str">
        <f>IF(SellAllowed="Yes",IF(AND(G703 = "Yes", C703&lt;E703), "Yes", "No"),"No")</f>
        <v>No</v>
      </c>
      <c r="K703" s="39">
        <f>IF(I703 = "Yes", M702/(C703+CostBuy), IF(J703 = "Yes", 0, K702))</f>
        <v>22228.523187498333</v>
      </c>
      <c r="M703" s="19">
        <f>IF(I703 = "Yes", M702-(C703+CostBuy)*K703, IF(J703="Yes", M702+(C703-CostSell)*K702, M702+K703*Rate))</f>
        <v>26674.227824998008</v>
      </c>
    </row>
    <row r="704" spans="2:13" s="11" customFormat="1" x14ac:dyDescent="0.2">
      <c r="B704" s="24">
        <v>1928.07</v>
      </c>
      <c r="C704" s="25">
        <v>19.16</v>
      </c>
      <c r="D704" s="40">
        <f t="shared" si="3"/>
        <v>18.586666666666666</v>
      </c>
      <c r="E704" s="40">
        <f t="shared" si="4"/>
        <v>18.255000000000003</v>
      </c>
      <c r="F704" s="12"/>
      <c r="G704" s="18" t="str">
        <f t="shared" si="5"/>
        <v>Yes</v>
      </c>
      <c r="H704" s="12"/>
      <c r="I704" s="39" t="str">
        <f>IF(BuyAllowed="Yes",IF(AND(G704 = "No", C704&gt;D704), "Yes", "No"),"No")</f>
        <v>No</v>
      </c>
      <c r="J704" s="39" t="str">
        <f>IF(SellAllowed="Yes",IF(AND(G704 = "Yes", C704&lt;E704), "Yes", "No"),"No")</f>
        <v>No</v>
      </c>
      <c r="K704" s="39">
        <f>IF(I704 = "Yes", M703/(C704+CostBuy), IF(J704 = "Yes", 0, K703))</f>
        <v>22228.523187498333</v>
      </c>
      <c r="M704" s="19">
        <f>IF(I704 = "Yes", M703-(C704+CostBuy)*K704, IF(J704="Yes", M703+(C704-CostSell)*K703, M703+K704*Rate))</f>
        <v>27785.653984372926</v>
      </c>
    </row>
    <row r="705" spans="2:13" s="11" customFormat="1" x14ac:dyDescent="0.2">
      <c r="B705" s="24">
        <v>1928.08</v>
      </c>
      <c r="C705" s="25">
        <v>19.78</v>
      </c>
      <c r="D705" s="40">
        <f t="shared" si="3"/>
        <v>18.858333333333331</v>
      </c>
      <c r="E705" s="40">
        <f t="shared" si="4"/>
        <v>18.517500000000002</v>
      </c>
      <c r="F705" s="12"/>
      <c r="G705" s="18" t="str">
        <f t="shared" si="5"/>
        <v>Yes</v>
      </c>
      <c r="H705" s="12"/>
      <c r="I705" s="39" t="str">
        <f>IF(BuyAllowed="Yes",IF(AND(G705 = "No", C705&gt;D705), "Yes", "No"),"No")</f>
        <v>No</v>
      </c>
      <c r="J705" s="39" t="str">
        <f>IF(SellAllowed="Yes",IF(AND(G705 = "Yes", C705&lt;E705), "Yes", "No"),"No")</f>
        <v>No</v>
      </c>
      <c r="K705" s="39">
        <f>IF(I705 = "Yes", M704/(C705+CostBuy), IF(J705 = "Yes", 0, K704))</f>
        <v>22228.523187498333</v>
      </c>
      <c r="M705" s="19">
        <f>IF(I705 = "Yes", M704-(C705+CostBuy)*K705, IF(J705="Yes", M704+(C705-CostSell)*K704, M704+K705*Rate))</f>
        <v>28897.080143747844</v>
      </c>
    </row>
    <row r="706" spans="2:13" s="11" customFormat="1" x14ac:dyDescent="0.2">
      <c r="B706" s="24">
        <v>1928.09</v>
      </c>
      <c r="C706" s="25">
        <v>21.17</v>
      </c>
      <c r="D706" s="40">
        <f t="shared" si="3"/>
        <v>19.268333333333334</v>
      </c>
      <c r="E706" s="40">
        <f t="shared" si="4"/>
        <v>18.807500000000001</v>
      </c>
      <c r="F706" s="12"/>
      <c r="G706" s="18" t="str">
        <f t="shared" si="5"/>
        <v>Yes</v>
      </c>
      <c r="H706" s="12"/>
      <c r="I706" s="39" t="str">
        <f>IF(BuyAllowed="Yes",IF(AND(G706 = "No", C706&gt;D706), "Yes", "No"),"No")</f>
        <v>No</v>
      </c>
      <c r="J706" s="39" t="str">
        <f>IF(SellAllowed="Yes",IF(AND(G706 = "Yes", C706&lt;E706), "Yes", "No"),"No")</f>
        <v>No</v>
      </c>
      <c r="K706" s="39">
        <f>IF(I706 = "Yes", M705/(C706+CostBuy), IF(J706 = "Yes", 0, K705))</f>
        <v>22228.523187498333</v>
      </c>
      <c r="M706" s="19">
        <f>IF(I706 = "Yes", M705-(C706+CostBuy)*K706, IF(J706="Yes", M705+(C706-CostSell)*K705, M705+K706*Rate))</f>
        <v>30008.506303122762</v>
      </c>
    </row>
    <row r="707" spans="2:13" s="11" customFormat="1" x14ac:dyDescent="0.2">
      <c r="B707" s="24">
        <v>1928.1</v>
      </c>
      <c r="C707" s="25">
        <v>21.6</v>
      </c>
      <c r="D707" s="40">
        <f t="shared" si="3"/>
        <v>19.754999999999999</v>
      </c>
      <c r="E707" s="40">
        <f t="shared" si="4"/>
        <v>19.262500000000003</v>
      </c>
      <c r="F707" s="12"/>
      <c r="G707" s="18" t="str">
        <f t="shared" si="5"/>
        <v>Yes</v>
      </c>
      <c r="H707" s="12"/>
      <c r="I707" s="39" t="str">
        <f>IF(BuyAllowed="Yes",IF(AND(G707 = "No", C707&gt;D707), "Yes", "No"),"No")</f>
        <v>No</v>
      </c>
      <c r="J707" s="39" t="str">
        <f>IF(SellAllowed="Yes",IF(AND(G707 = "Yes", C707&lt;E707), "Yes", "No"),"No")</f>
        <v>No</v>
      </c>
      <c r="K707" s="39">
        <f>IF(I707 = "Yes", M706/(C707+CostBuy), IF(J707 = "Yes", 0, K706))</f>
        <v>22228.523187498333</v>
      </c>
      <c r="M707" s="19">
        <f>IF(I707 = "Yes", M706-(C707+CostBuy)*K707, IF(J707="Yes", M706+(C707-CostSell)*K706, M706+K707*Rate))</f>
        <v>31119.93246249768</v>
      </c>
    </row>
    <row r="708" spans="2:13" s="11" customFormat="1" x14ac:dyDescent="0.2">
      <c r="B708" s="24">
        <v>1928.11</v>
      </c>
      <c r="C708" s="25">
        <v>23.06</v>
      </c>
      <c r="D708" s="40">
        <f t="shared" si="3"/>
        <v>20.121666666666666</v>
      </c>
      <c r="E708" s="40">
        <f t="shared" si="4"/>
        <v>19.797499999999999</v>
      </c>
      <c r="F708" s="12"/>
      <c r="G708" s="18" t="str">
        <f t="shared" si="5"/>
        <v>Yes</v>
      </c>
      <c r="H708" s="12"/>
      <c r="I708" s="39" t="str">
        <f>IF(BuyAllowed="Yes",IF(AND(G708 = "No", C708&gt;D708), "Yes", "No"),"No")</f>
        <v>No</v>
      </c>
      <c r="J708" s="39" t="str">
        <f>IF(SellAllowed="Yes",IF(AND(G708 = "Yes", C708&lt;E708), "Yes", "No"),"No")</f>
        <v>No</v>
      </c>
      <c r="K708" s="39">
        <f>IF(I708 = "Yes", M707/(C708+CostBuy), IF(J708 = "Yes", 0, K707))</f>
        <v>22228.523187498333</v>
      </c>
      <c r="M708" s="19">
        <f>IF(I708 = "Yes", M707-(C708+CostBuy)*K708, IF(J708="Yes", M707+(C708-CostSell)*K707, M707+K708*Rate))</f>
        <v>32231.358621872598</v>
      </c>
    </row>
    <row r="709" spans="2:13" s="11" customFormat="1" x14ac:dyDescent="0.2">
      <c r="B709" s="24">
        <v>1928.12</v>
      </c>
      <c r="C709" s="25">
        <v>23.15</v>
      </c>
      <c r="D709" s="40">
        <f t="shared" si="3"/>
        <v>20.631666666666664</v>
      </c>
      <c r="E709" s="40">
        <f t="shared" si="4"/>
        <v>20.39875</v>
      </c>
      <c r="F709" s="12"/>
      <c r="G709" s="18" t="str">
        <f t="shared" si="5"/>
        <v>Yes</v>
      </c>
      <c r="H709" s="12"/>
      <c r="I709" s="39" t="str">
        <f>IF(BuyAllowed="Yes",IF(AND(G709 = "No", C709&gt;D709), "Yes", "No"),"No")</f>
        <v>No</v>
      </c>
      <c r="J709" s="39" t="str">
        <f>IF(SellAllowed="Yes",IF(AND(G709 = "Yes", C709&lt;E709), "Yes", "No"),"No")</f>
        <v>No</v>
      </c>
      <c r="K709" s="39">
        <f>IF(I709 = "Yes", M708/(C709+CostBuy), IF(J709 = "Yes", 0, K708))</f>
        <v>22228.523187498333</v>
      </c>
      <c r="M709" s="19">
        <f>IF(I709 = "Yes", M708-(C709+CostBuy)*K709, IF(J709="Yes", M708+(C709-CostSell)*K708, M708+K709*Rate))</f>
        <v>33342.784781247516</v>
      </c>
    </row>
    <row r="710" spans="2:13" s="11" customFormat="1" x14ac:dyDescent="0.2">
      <c r="B710" s="24">
        <v>1929.01</v>
      </c>
      <c r="C710" s="25">
        <v>24.86</v>
      </c>
      <c r="D710" s="40">
        <f t="shared" si="3"/>
        <v>21.320000000000004</v>
      </c>
      <c r="E710" s="40">
        <f t="shared" si="4"/>
        <v>20.8675</v>
      </c>
      <c r="F710" s="12"/>
      <c r="G710" s="18" t="str">
        <f t="shared" si="5"/>
        <v>Yes</v>
      </c>
      <c r="H710" s="12"/>
      <c r="I710" s="39" t="str">
        <f>IF(BuyAllowed="Yes",IF(AND(G710 = "No", C710&gt;D710), "Yes", "No"),"No")</f>
        <v>No</v>
      </c>
      <c r="J710" s="39" t="str">
        <f>IF(SellAllowed="Yes",IF(AND(G710 = "Yes", C710&lt;E710), "Yes", "No"),"No")</f>
        <v>No</v>
      </c>
      <c r="K710" s="39">
        <f>IF(I710 = "Yes", M709/(C710+CostBuy), IF(J710 = "Yes", 0, K709))</f>
        <v>22228.523187498333</v>
      </c>
      <c r="M710" s="19">
        <f>IF(I710 = "Yes", M709-(C710+CostBuy)*K710, IF(J710="Yes", M709+(C710-CostSell)*K709, M709+K710*Rate))</f>
        <v>34454.210940622434</v>
      </c>
    </row>
    <row r="711" spans="2:13" s="11" customFormat="1" x14ac:dyDescent="0.2">
      <c r="B711" s="24">
        <v>1929.02</v>
      </c>
      <c r="C711" s="25">
        <v>24.99</v>
      </c>
      <c r="D711" s="40">
        <f t="shared" si="3"/>
        <v>22.27</v>
      </c>
      <c r="E711" s="40">
        <f t="shared" si="4"/>
        <v>21.475000000000001</v>
      </c>
      <c r="F711" s="12"/>
      <c r="G711" s="18" t="str">
        <f t="shared" si="5"/>
        <v>Yes</v>
      </c>
      <c r="H711" s="12"/>
      <c r="I711" s="39" t="str">
        <f>IF(BuyAllowed="Yes",IF(AND(G711 = "No", C711&gt;D711), "Yes", "No"),"No")</f>
        <v>No</v>
      </c>
      <c r="J711" s="39" t="str">
        <f>IF(SellAllowed="Yes",IF(AND(G711 = "Yes", C711&lt;E711), "Yes", "No"),"No")</f>
        <v>No</v>
      </c>
      <c r="K711" s="39">
        <f>IF(I711 = "Yes", M710/(C711+CostBuy), IF(J711 = "Yes", 0, K710))</f>
        <v>22228.523187498333</v>
      </c>
      <c r="M711" s="19">
        <f>IF(I711 = "Yes", M710-(C711+CostBuy)*K711, IF(J711="Yes", M710+(C711-CostSell)*K710, M710+K711*Rate))</f>
        <v>35565.637099997351</v>
      </c>
    </row>
    <row r="712" spans="2:13" s="11" customFormat="1" x14ac:dyDescent="0.2">
      <c r="B712" s="24">
        <v>1929.03</v>
      </c>
      <c r="C712" s="25">
        <v>25.43</v>
      </c>
      <c r="D712" s="40">
        <f t="shared" si="3"/>
        <v>23.138333333333332</v>
      </c>
      <c r="E712" s="40">
        <f t="shared" si="4"/>
        <v>22.221250000000005</v>
      </c>
      <c r="F712" s="12"/>
      <c r="G712" s="18" t="str">
        <f t="shared" si="5"/>
        <v>Yes</v>
      </c>
      <c r="H712" s="12"/>
      <c r="I712" s="39" t="str">
        <f>IF(BuyAllowed="Yes",IF(AND(G712 = "No", C712&gt;D712), "Yes", "No"),"No")</f>
        <v>No</v>
      </c>
      <c r="J712" s="39" t="str">
        <f>IF(SellAllowed="Yes",IF(AND(G712 = "Yes", C712&lt;E712), "Yes", "No"),"No")</f>
        <v>No</v>
      </c>
      <c r="K712" s="39">
        <f>IF(I712 = "Yes", M711/(C712+CostBuy), IF(J712 = "Yes", 0, K711))</f>
        <v>22228.523187498333</v>
      </c>
      <c r="M712" s="19">
        <f>IF(I712 = "Yes", M711-(C712+CostBuy)*K712, IF(J712="Yes", M711+(C712-CostSell)*K711, M711+K712*Rate))</f>
        <v>36677.063259372269</v>
      </c>
    </row>
    <row r="713" spans="2:13" s="11" customFormat="1" x14ac:dyDescent="0.2">
      <c r="B713" s="24">
        <v>1929.04</v>
      </c>
      <c r="C713" s="25">
        <v>25.28</v>
      </c>
      <c r="D713" s="40">
        <f t="shared" si="3"/>
        <v>23.848333333333333</v>
      </c>
      <c r="E713" s="40">
        <f t="shared" si="4"/>
        <v>23.005000000000003</v>
      </c>
      <c r="F713" s="12"/>
      <c r="G713" s="18" t="str">
        <f t="shared" si="5"/>
        <v>Yes</v>
      </c>
      <c r="H713" s="12"/>
      <c r="I713" s="39" t="str">
        <f>IF(BuyAllowed="Yes",IF(AND(G713 = "No", C713&gt;D713), "Yes", "No"),"No")</f>
        <v>No</v>
      </c>
      <c r="J713" s="39" t="str">
        <f>IF(SellAllowed="Yes",IF(AND(G713 = "Yes", C713&lt;E713), "Yes", "No"),"No")</f>
        <v>No</v>
      </c>
      <c r="K713" s="39">
        <f>IF(I713 = "Yes", M712/(C713+CostBuy), IF(J713 = "Yes", 0, K712))</f>
        <v>22228.523187498333</v>
      </c>
      <c r="M713" s="19">
        <f>IF(I713 = "Yes", M712-(C713+CostBuy)*K713, IF(J713="Yes", M712+(C713-CostSell)*K712, M712+K713*Rate))</f>
        <v>37788.489418747187</v>
      </c>
    </row>
    <row r="714" spans="2:13" s="11" customFormat="1" x14ac:dyDescent="0.2">
      <c r="B714" s="24">
        <v>1929.05</v>
      </c>
      <c r="C714" s="25">
        <v>25.66</v>
      </c>
      <c r="D714" s="40">
        <f t="shared" si="3"/>
        <v>24.461666666666662</v>
      </c>
      <c r="E714" s="40">
        <f t="shared" si="4"/>
        <v>23.692499999999999</v>
      </c>
      <c r="F714" s="12"/>
      <c r="G714" s="18" t="str">
        <f t="shared" si="5"/>
        <v>Yes</v>
      </c>
      <c r="H714" s="12"/>
      <c r="I714" s="39" t="str">
        <f>IF(BuyAllowed="Yes",IF(AND(G714 = "No", C714&gt;D714), "Yes", "No"),"No")</f>
        <v>No</v>
      </c>
      <c r="J714" s="39" t="str">
        <f>IF(SellAllowed="Yes",IF(AND(G714 = "Yes", C714&lt;E714), "Yes", "No"),"No")</f>
        <v>No</v>
      </c>
      <c r="K714" s="39">
        <f>IF(I714 = "Yes", M713/(C714+CostBuy), IF(J714 = "Yes", 0, K713))</f>
        <v>22228.523187498333</v>
      </c>
      <c r="M714" s="19">
        <f>IF(I714 = "Yes", M713-(C714+CostBuy)*K714, IF(J714="Yes", M713+(C714-CostSell)*K713, M713+K714*Rate))</f>
        <v>38899.915578122105</v>
      </c>
    </row>
    <row r="715" spans="2:13" s="11" customFormat="1" x14ac:dyDescent="0.2">
      <c r="B715" s="24">
        <v>1929.06</v>
      </c>
      <c r="C715" s="25">
        <v>26.15</v>
      </c>
      <c r="D715" s="40">
        <f t="shared" si="3"/>
        <v>24.895</v>
      </c>
      <c r="E715" s="40">
        <f t="shared" si="4"/>
        <v>24.25375</v>
      </c>
      <c r="F715" s="12"/>
      <c r="G715" s="18" t="str">
        <f t="shared" si="5"/>
        <v>Yes</v>
      </c>
      <c r="H715" s="12"/>
      <c r="I715" s="39" t="str">
        <f>IF(BuyAllowed="Yes",IF(AND(G715 = "No", C715&gt;D715), "Yes", "No"),"No")</f>
        <v>No</v>
      </c>
      <c r="J715" s="39" t="str">
        <f>IF(SellAllowed="Yes",IF(AND(G715 = "Yes", C715&lt;E715), "Yes", "No"),"No")</f>
        <v>No</v>
      </c>
      <c r="K715" s="39">
        <f>IF(I715 = "Yes", M714/(C715+CostBuy), IF(J715 = "Yes", 0, K714))</f>
        <v>22228.523187498333</v>
      </c>
      <c r="M715" s="19">
        <f>IF(I715 = "Yes", M714-(C715+CostBuy)*K715, IF(J715="Yes", M714+(C715-CostSell)*K714, M714+K715*Rate))</f>
        <v>40011.341737497023</v>
      </c>
    </row>
    <row r="716" spans="2:13" s="11" customFormat="1" x14ac:dyDescent="0.2">
      <c r="B716" s="24">
        <v>1929.07</v>
      </c>
      <c r="C716" s="25">
        <v>28.48</v>
      </c>
      <c r="D716" s="40">
        <f t="shared" si="3"/>
        <v>25.395</v>
      </c>
      <c r="E716" s="40">
        <f t="shared" si="4"/>
        <v>24.822499999999998</v>
      </c>
      <c r="F716" s="12"/>
      <c r="G716" s="18" t="str">
        <f t="shared" si="5"/>
        <v>Yes</v>
      </c>
      <c r="H716" s="12"/>
      <c r="I716" s="39" t="str">
        <f>IF(BuyAllowed="Yes",IF(AND(G716 = "No", C716&gt;D716), "Yes", "No"),"No")</f>
        <v>No</v>
      </c>
      <c r="J716" s="39" t="str">
        <f>IF(SellAllowed="Yes",IF(AND(G716 = "Yes", C716&lt;E716), "Yes", "No"),"No")</f>
        <v>No</v>
      </c>
      <c r="K716" s="39">
        <f>IF(I716 = "Yes", M715/(C716+CostBuy), IF(J716 = "Yes", 0, K715))</f>
        <v>22228.523187498333</v>
      </c>
      <c r="M716" s="19">
        <f>IF(I716 = "Yes", M715-(C716+CostBuy)*K716, IF(J716="Yes", M715+(C716-CostSell)*K715, M715+K716*Rate))</f>
        <v>41122.767896871941</v>
      </c>
    </row>
    <row r="717" spans="2:13" s="11" customFormat="1" x14ac:dyDescent="0.2">
      <c r="B717" s="24">
        <v>1929.08</v>
      </c>
      <c r="C717" s="25">
        <v>30.1</v>
      </c>
      <c r="D717" s="40">
        <f t="shared" si="3"/>
        <v>25.998333333333331</v>
      </c>
      <c r="E717" s="40">
        <f t="shared" si="4"/>
        <v>25.5</v>
      </c>
      <c r="F717" s="12"/>
      <c r="G717" s="18" t="str">
        <f t="shared" si="5"/>
        <v>Yes</v>
      </c>
      <c r="H717" s="12"/>
      <c r="I717" s="39" t="str">
        <f>IF(BuyAllowed="Yes",IF(AND(G717 = "No", C717&gt;D717), "Yes", "No"),"No")</f>
        <v>No</v>
      </c>
      <c r="J717" s="39" t="str">
        <f>IF(SellAllowed="Yes",IF(AND(G717 = "Yes", C717&lt;E717), "Yes", "No"),"No")</f>
        <v>No</v>
      </c>
      <c r="K717" s="39">
        <f>IF(I717 = "Yes", M716/(C717+CostBuy), IF(J717 = "Yes", 0, K716))</f>
        <v>22228.523187498333</v>
      </c>
      <c r="M717" s="19">
        <f>IF(I717 = "Yes", M716-(C717+CostBuy)*K717, IF(J717="Yes", M716+(C717-CostSell)*K716, M716+K717*Rate))</f>
        <v>42234.194056246859</v>
      </c>
    </row>
    <row r="718" spans="2:13" s="11" customFormat="1" x14ac:dyDescent="0.2">
      <c r="B718" s="24">
        <v>1929.09</v>
      </c>
      <c r="C718" s="25">
        <v>31.3</v>
      </c>
      <c r="D718" s="40">
        <f t="shared" si="3"/>
        <v>26.849999999999998</v>
      </c>
      <c r="E718" s="40">
        <f t="shared" si="4"/>
        <v>26.368749999999999</v>
      </c>
      <c r="F718" s="12"/>
      <c r="G718" s="18" t="str">
        <f t="shared" si="5"/>
        <v>Yes</v>
      </c>
      <c r="H718" s="12"/>
      <c r="I718" s="39" t="str">
        <f>IF(BuyAllowed="Yes",IF(AND(G718 = "No", C718&gt;D718), "Yes", "No"),"No")</f>
        <v>No</v>
      </c>
      <c r="J718" s="39" t="str">
        <f>IF(SellAllowed="Yes",IF(AND(G718 = "Yes", C718&lt;E718), "Yes", "No"),"No")</f>
        <v>No</v>
      </c>
      <c r="K718" s="39">
        <f>IF(I718 = "Yes", M717/(C718+CostBuy), IF(J718 = "Yes", 0, K717))</f>
        <v>22228.523187498333</v>
      </c>
      <c r="M718" s="19">
        <f>IF(I718 = "Yes", M717-(C718+CostBuy)*K718, IF(J718="Yes", M717+(C718-CostSell)*K717, M717+K718*Rate))</f>
        <v>43345.620215621777</v>
      </c>
    </row>
    <row r="719" spans="2:13" s="11" customFormat="1" x14ac:dyDescent="0.2">
      <c r="B719" s="24">
        <v>1929.1</v>
      </c>
      <c r="C719" s="25">
        <v>27.99</v>
      </c>
      <c r="D719" s="40">
        <f t="shared" si="3"/>
        <v>27.828333333333337</v>
      </c>
      <c r="E719" s="40">
        <f t="shared" si="4"/>
        <v>27.173749999999998</v>
      </c>
      <c r="F719" s="12"/>
      <c r="G719" s="18" t="str">
        <f t="shared" si="5"/>
        <v>Yes</v>
      </c>
      <c r="H719" s="12"/>
      <c r="I719" s="39" t="str">
        <f>IF(BuyAllowed="Yes",IF(AND(G719 = "No", C719&gt;D719), "Yes", "No"),"No")</f>
        <v>No</v>
      </c>
      <c r="J719" s="39" t="str">
        <f>IF(SellAllowed="Yes",IF(AND(G719 = "Yes", C719&lt;E719), "Yes", "No"),"No")</f>
        <v>No</v>
      </c>
      <c r="K719" s="39">
        <f>IF(I719 = "Yes", M718/(C719+CostBuy), IF(J719 = "Yes", 0, K718))</f>
        <v>22228.523187498333</v>
      </c>
      <c r="M719" s="19">
        <f>IF(I719 = "Yes", M718-(C719+CostBuy)*K719, IF(J719="Yes", M718+(C719-CostSell)*K718, M718+K719*Rate))</f>
        <v>44457.046374996695</v>
      </c>
    </row>
    <row r="720" spans="2:13" s="11" customFormat="1" x14ac:dyDescent="0.2">
      <c r="B720" s="24">
        <v>1929.11</v>
      </c>
      <c r="C720" s="25">
        <v>20.58</v>
      </c>
      <c r="D720" s="40">
        <f t="shared" si="3"/>
        <v>28.280000000000005</v>
      </c>
      <c r="E720" s="40">
        <f t="shared" si="4"/>
        <v>27.548750000000002</v>
      </c>
      <c r="F720" s="12"/>
      <c r="G720" s="18" t="str">
        <f t="shared" si="5"/>
        <v>Yes</v>
      </c>
      <c r="H720" s="12"/>
      <c r="I720" s="39" t="str">
        <f>IF(BuyAllowed="Yes",IF(AND(G720 = "No", C720&gt;D720), "Yes", "No"),"No")</f>
        <v>No</v>
      </c>
      <c r="J720" s="39" t="str">
        <f>IF(SellAllowed="Yes",IF(AND(G720 = "Yes", C720&lt;E720), "Yes", "No"),"No")</f>
        <v>Yes</v>
      </c>
      <c r="K720" s="39">
        <f>IF(I720 = "Yes", M719/(C720+CostBuy), IF(J720 = "Yes", 0, K719))</f>
        <v>0</v>
      </c>
      <c r="M720" s="19">
        <f>IF(I720 = "Yes", M719-(C720+CostBuy)*K720, IF(J720="Yes", M719+(C720-CostSell)*K719, M719+K720*Rate))</f>
        <v>500586.34218246251</v>
      </c>
    </row>
    <row r="721" spans="2:13" s="11" customFormat="1" x14ac:dyDescent="0.2">
      <c r="B721" s="24">
        <v>1929.12</v>
      </c>
      <c r="C721" s="25">
        <v>21.4</v>
      </c>
      <c r="D721" s="40">
        <f t="shared" si="3"/>
        <v>27.433333333333326</v>
      </c>
      <c r="E721" s="40">
        <f t="shared" si="4"/>
        <v>26.942500000000003</v>
      </c>
      <c r="F721" s="12"/>
      <c r="G721" s="18" t="str">
        <f t="shared" si="5"/>
        <v>No</v>
      </c>
      <c r="H721" s="12"/>
      <c r="I721" s="39" t="str">
        <f>IF(BuyAllowed="Yes",IF(AND(G721 = "No", C721&gt;D721), "Yes", "No"),"No")</f>
        <v>No</v>
      </c>
      <c r="J721" s="39" t="str">
        <f>IF(SellAllowed="Yes",IF(AND(G721 = "Yes", C721&lt;E721), "Yes", "No"),"No")</f>
        <v>No</v>
      </c>
      <c r="K721" s="39">
        <f>IF(I721 = "Yes", M720/(C721+CostBuy), IF(J721 = "Yes", 0, K720))</f>
        <v>0</v>
      </c>
      <c r="M721" s="19">
        <f>IF(I721 = "Yes", M720-(C721+CostBuy)*K721, IF(J721="Yes", M720+(C721-CostSell)*K720, M720+K721*Rate))</f>
        <v>500586.34218246251</v>
      </c>
    </row>
    <row r="722" spans="2:13" s="11" customFormat="1" x14ac:dyDescent="0.2">
      <c r="B722" s="24">
        <v>1930.01</v>
      </c>
      <c r="C722" s="25">
        <v>21.71</v>
      </c>
      <c r="D722" s="40">
        <f t="shared" si="3"/>
        <v>26.641666666666666</v>
      </c>
      <c r="E722" s="40">
        <f t="shared" si="4"/>
        <v>26.457500000000007</v>
      </c>
      <c r="F722" s="12"/>
      <c r="G722" s="18" t="str">
        <f t="shared" si="5"/>
        <v>No</v>
      </c>
      <c r="H722" s="12"/>
      <c r="I722" s="39" t="str">
        <f>IF(BuyAllowed="Yes",IF(AND(G722 = "No", C722&gt;D722), "Yes", "No"),"No")</f>
        <v>No</v>
      </c>
      <c r="J722" s="39" t="str">
        <f>IF(SellAllowed="Yes",IF(AND(G722 = "Yes", C722&lt;E722), "Yes", "No"),"No")</f>
        <v>No</v>
      </c>
      <c r="K722" s="39">
        <f>IF(I722 = "Yes", M721/(C722+CostBuy), IF(J722 = "Yes", 0, K721))</f>
        <v>0</v>
      </c>
      <c r="M722" s="19">
        <f>IF(I722 = "Yes", M721-(C722+CostBuy)*K722, IF(J722="Yes", M721+(C722-CostSell)*K721, M721+K722*Rate))</f>
        <v>500586.34218246251</v>
      </c>
    </row>
    <row r="723" spans="2:13" s="11" customFormat="1" x14ac:dyDescent="0.2">
      <c r="B723" s="24">
        <v>1930.02</v>
      </c>
      <c r="C723" s="25">
        <v>23.07</v>
      </c>
      <c r="D723" s="40">
        <f t="shared" si="3"/>
        <v>25.513333333333335</v>
      </c>
      <c r="E723" s="40">
        <f t="shared" si="4"/>
        <v>25.963749999999997</v>
      </c>
      <c r="F723" s="12"/>
      <c r="G723" s="18" t="str">
        <f t="shared" si="5"/>
        <v>No</v>
      </c>
      <c r="H723" s="12"/>
      <c r="I723" s="39" t="str">
        <f>IF(BuyAllowed="Yes",IF(AND(G723 = "No", C723&gt;D723), "Yes", "No"),"No")</f>
        <v>No</v>
      </c>
      <c r="J723" s="39" t="str">
        <f>IF(SellAllowed="Yes",IF(AND(G723 = "Yes", C723&lt;E723), "Yes", "No"),"No")</f>
        <v>No</v>
      </c>
      <c r="K723" s="39">
        <f>IF(I723 = "Yes", M722/(C723+CostBuy), IF(J723 = "Yes", 0, K722))</f>
        <v>0</v>
      </c>
      <c r="M723" s="19">
        <f>IF(I723 = "Yes", M722-(C723+CostBuy)*K723, IF(J723="Yes", M722+(C723-CostSell)*K722, M722+K723*Rate))</f>
        <v>500586.34218246251</v>
      </c>
    </row>
    <row r="724" spans="2:13" s="11" customFormat="1" x14ac:dyDescent="0.2">
      <c r="B724" s="24">
        <v>1930.03</v>
      </c>
      <c r="C724" s="25">
        <v>23.94</v>
      </c>
      <c r="D724" s="40">
        <f t="shared" si="3"/>
        <v>24.341666666666669</v>
      </c>
      <c r="E724" s="40">
        <f t="shared" si="4"/>
        <v>25.578749999999999</v>
      </c>
      <c r="F724" s="12"/>
      <c r="G724" s="18" t="str">
        <f t="shared" si="5"/>
        <v>No</v>
      </c>
      <c r="H724" s="12"/>
      <c r="I724" s="39" t="str">
        <f>IF(BuyAllowed="Yes",IF(AND(G724 = "No", C724&gt;D724), "Yes", "No"),"No")</f>
        <v>No</v>
      </c>
      <c r="J724" s="39" t="str">
        <f>IF(SellAllowed="Yes",IF(AND(G724 = "Yes", C724&lt;E724), "Yes", "No"),"No")</f>
        <v>No</v>
      </c>
      <c r="K724" s="39">
        <f>IF(I724 = "Yes", M723/(C724+CostBuy), IF(J724 = "Yes", 0, K723))</f>
        <v>0</v>
      </c>
      <c r="M724" s="19">
        <f>IF(I724 = "Yes", M723-(C724+CostBuy)*K724, IF(J724="Yes", M723+(C724-CostSell)*K723, M723+K724*Rate))</f>
        <v>500586.34218246251</v>
      </c>
    </row>
    <row r="725" spans="2:13" s="11" customFormat="1" x14ac:dyDescent="0.2">
      <c r="B725" s="24">
        <v>1930.04</v>
      </c>
      <c r="C725" s="25">
        <v>25.46</v>
      </c>
      <c r="D725" s="40">
        <f t="shared" si="3"/>
        <v>23.114999999999998</v>
      </c>
      <c r="E725" s="40">
        <f t="shared" si="4"/>
        <v>25.01125</v>
      </c>
      <c r="F725" s="12"/>
      <c r="G725" s="18" t="str">
        <f t="shared" si="5"/>
        <v>No</v>
      </c>
      <c r="H725" s="12"/>
      <c r="I725" s="39" t="str">
        <f>IF(BuyAllowed="Yes",IF(AND(G725 = "No", C725&gt;D725), "Yes", "No"),"No")</f>
        <v>Yes</v>
      </c>
      <c r="J725" s="39" t="str">
        <f>IF(SellAllowed="Yes",IF(AND(G725 = "Yes", C725&lt;E725), "Yes", "No"),"No")</f>
        <v>No</v>
      </c>
      <c r="K725" s="39">
        <f>IF(I725 = "Yes", M724/(C725+CostBuy), IF(J725 = "Yes", 0, K724))</f>
        <v>19638.538335914574</v>
      </c>
      <c r="M725" s="19">
        <f>IF(I725 = "Yes", M724-(C725+CostBuy)*K725, IF(J725="Yes", M724+(C725-CostSell)*K724, M724+K725*Rate))</f>
        <v>-5.8207660913467407E-11</v>
      </c>
    </row>
    <row r="726" spans="2:13" s="11" customFormat="1" x14ac:dyDescent="0.2">
      <c r="B726" s="24">
        <v>1930.05</v>
      </c>
      <c r="C726" s="25">
        <v>23.94</v>
      </c>
      <c r="D726" s="40">
        <f t="shared" si="3"/>
        <v>22.693333333333332</v>
      </c>
      <c r="E726" s="40">
        <f t="shared" si="4"/>
        <v>24.431250000000002</v>
      </c>
      <c r="F726" s="12"/>
      <c r="G726" s="18" t="str">
        <f t="shared" si="5"/>
        <v>Yes</v>
      </c>
      <c r="H726" s="12"/>
      <c r="I726" s="39" t="str">
        <f>IF(BuyAllowed="Yes",IF(AND(G726 = "No", C726&gt;D726), "Yes", "No"),"No")</f>
        <v>No</v>
      </c>
      <c r="J726" s="39" t="str">
        <f>IF(SellAllowed="Yes",IF(AND(G726 = "Yes", C726&lt;E726), "Yes", "No"),"No")</f>
        <v>Yes</v>
      </c>
      <c r="K726" s="39">
        <f>IF(I726 = "Yes", M725/(C726+CostBuy), IF(J726 = "Yes", 0, K725))</f>
        <v>0</v>
      </c>
      <c r="M726" s="19">
        <f>IF(I726 = "Yes", M725-(C726+CostBuy)*K726, IF(J726="Yes", M725+(C726-CostSell)*K725, M725+K726*Rate))</f>
        <v>468968.29546164005</v>
      </c>
    </row>
    <row r="727" spans="2:13" s="11" customFormat="1" x14ac:dyDescent="0.2">
      <c r="B727" s="24">
        <v>1930.06</v>
      </c>
      <c r="C727" s="25">
        <v>21.52</v>
      </c>
      <c r="D727" s="40">
        <f t="shared" si="3"/>
        <v>23.253333333333334</v>
      </c>
      <c r="E727" s="40">
        <f t="shared" si="4"/>
        <v>23.51125</v>
      </c>
      <c r="F727" s="12"/>
      <c r="G727" s="18" t="str">
        <f t="shared" si="5"/>
        <v>No</v>
      </c>
      <c r="H727" s="12"/>
      <c r="I727" s="39" t="str">
        <f>IF(BuyAllowed="Yes",IF(AND(G727 = "No", C727&gt;D727), "Yes", "No"),"No")</f>
        <v>No</v>
      </c>
      <c r="J727" s="39" t="str">
        <f>IF(SellAllowed="Yes",IF(AND(G727 = "Yes", C727&lt;E727), "Yes", "No"),"No")</f>
        <v>No</v>
      </c>
      <c r="K727" s="39">
        <f>IF(I727 = "Yes", M726/(C727+CostBuy), IF(J727 = "Yes", 0, K726))</f>
        <v>0</v>
      </c>
      <c r="M727" s="19">
        <f>IF(I727 = "Yes", M726-(C727+CostBuy)*K727, IF(J727="Yes", M726+(C727-CostSell)*K726, M726+K727*Rate))</f>
        <v>468968.29546164005</v>
      </c>
    </row>
    <row r="728" spans="2:13" s="11" customFormat="1" x14ac:dyDescent="0.2">
      <c r="B728" s="24">
        <v>1930.07</v>
      </c>
      <c r="C728" s="25">
        <v>21.06</v>
      </c>
      <c r="D728" s="40">
        <f t="shared" si="3"/>
        <v>23.273333333333337</v>
      </c>
      <c r="E728" s="40">
        <f t="shared" si="4"/>
        <v>22.702500000000001</v>
      </c>
      <c r="F728" s="12"/>
      <c r="G728" s="18" t="str">
        <f t="shared" si="5"/>
        <v>No</v>
      </c>
      <c r="H728" s="12"/>
      <c r="I728" s="39" t="str">
        <f>IF(BuyAllowed="Yes",IF(AND(G728 = "No", C728&gt;D728), "Yes", "No"),"No")</f>
        <v>No</v>
      </c>
      <c r="J728" s="39" t="str">
        <f>IF(SellAllowed="Yes",IF(AND(G728 = "Yes", C728&lt;E728), "Yes", "No"),"No")</f>
        <v>No</v>
      </c>
      <c r="K728" s="39">
        <f>IF(I728 = "Yes", M727/(C728+CostBuy), IF(J728 = "Yes", 0, K727))</f>
        <v>0</v>
      </c>
      <c r="M728" s="19">
        <f>IF(I728 = "Yes", M727-(C728+CostBuy)*K728, IF(J728="Yes", M727+(C728-CostSell)*K727, M727+K728*Rate))</f>
        <v>468968.29546164005</v>
      </c>
    </row>
    <row r="729" spans="2:13" s="11" customFormat="1" x14ac:dyDescent="0.2">
      <c r="B729" s="24">
        <v>1930.08</v>
      </c>
      <c r="C729" s="25">
        <v>20.79</v>
      </c>
      <c r="D729" s="40">
        <f t="shared" si="3"/>
        <v>23.164999999999996</v>
      </c>
      <c r="E729" s="40">
        <f t="shared" si="4"/>
        <v>22.762500000000003</v>
      </c>
      <c r="F729" s="12"/>
      <c r="G729" s="18" t="str">
        <f t="shared" si="5"/>
        <v>No</v>
      </c>
      <c r="H729" s="12"/>
      <c r="I729" s="39" t="str">
        <f>IF(BuyAllowed="Yes",IF(AND(G729 = "No", C729&gt;D729), "Yes", "No"),"No")</f>
        <v>No</v>
      </c>
      <c r="J729" s="39" t="str">
        <f>IF(SellAllowed="Yes",IF(AND(G729 = "Yes", C729&lt;E729), "Yes", "No"),"No")</f>
        <v>No</v>
      </c>
      <c r="K729" s="39">
        <f>IF(I729 = "Yes", M728/(C729+CostBuy), IF(J729 = "Yes", 0, K728))</f>
        <v>0</v>
      </c>
      <c r="M729" s="19">
        <f>IF(I729 = "Yes", M728-(C729+CostBuy)*K729, IF(J729="Yes", M728+(C729-CostSell)*K728, M728+K729*Rate))</f>
        <v>468968.29546164005</v>
      </c>
    </row>
    <row r="730" spans="2:13" s="11" customFormat="1" x14ac:dyDescent="0.2">
      <c r="B730" s="24">
        <v>1930.09</v>
      </c>
      <c r="C730" s="25">
        <v>20.78</v>
      </c>
      <c r="D730" s="40">
        <f t="shared" si="3"/>
        <v>22.785</v>
      </c>
      <c r="E730" s="40">
        <f t="shared" si="4"/>
        <v>22.686250000000001</v>
      </c>
      <c r="F730" s="12"/>
      <c r="G730" s="18" t="str">
        <f t="shared" si="5"/>
        <v>No</v>
      </c>
      <c r="H730" s="12"/>
      <c r="I730" s="39" t="str">
        <f>IF(BuyAllowed="Yes",IF(AND(G730 = "No", C730&gt;D730), "Yes", "No"),"No")</f>
        <v>No</v>
      </c>
      <c r="J730" s="39" t="str">
        <f>IF(SellAllowed="Yes",IF(AND(G730 = "Yes", C730&lt;E730), "Yes", "No"),"No")</f>
        <v>No</v>
      </c>
      <c r="K730" s="39">
        <f>IF(I730 = "Yes", M729/(C730+CostBuy), IF(J730 = "Yes", 0, K729))</f>
        <v>0</v>
      </c>
      <c r="M730" s="19">
        <f>IF(I730 = "Yes", M729-(C730+CostBuy)*K730, IF(J730="Yes", M729+(C730-CostSell)*K729, M729+K730*Rate))</f>
        <v>468968.29546164005</v>
      </c>
    </row>
    <row r="731" spans="2:13" s="11" customFormat="1" x14ac:dyDescent="0.2">
      <c r="B731" s="24">
        <v>1930.1</v>
      </c>
      <c r="C731" s="25">
        <v>17.920000000000002</v>
      </c>
      <c r="D731" s="40">
        <f t="shared" ref="D731:D794" si="6">AVERAGE(C725:C730)</f>
        <v>22.258333333333336</v>
      </c>
      <c r="E731" s="40">
        <f t="shared" ref="E731:E794" si="7">AVERAGE(C723:C730)</f>
        <v>22.569999999999997</v>
      </c>
      <c r="F731" s="12"/>
      <c r="G731" s="18" t="str">
        <f t="shared" si="5"/>
        <v>No</v>
      </c>
      <c r="H731" s="12"/>
      <c r="I731" s="39" t="str">
        <f>IF(BuyAllowed="Yes",IF(AND(G731 = "No", C731&gt;D731), "Yes", "No"),"No")</f>
        <v>No</v>
      </c>
      <c r="J731" s="39" t="str">
        <f>IF(SellAllowed="Yes",IF(AND(G731 = "Yes", C731&lt;E731), "Yes", "No"),"No")</f>
        <v>No</v>
      </c>
      <c r="K731" s="39">
        <f>IF(I731 = "Yes", M730/(C731+CostBuy), IF(J731 = "Yes", 0, K730))</f>
        <v>0</v>
      </c>
      <c r="M731" s="19">
        <f>IF(I731 = "Yes", M730-(C731+CostBuy)*K731, IF(J731="Yes", M730+(C731-CostSell)*K730, M730+K731*Rate))</f>
        <v>468968.29546164005</v>
      </c>
    </row>
    <row r="732" spans="2:13" s="11" customFormat="1" x14ac:dyDescent="0.2">
      <c r="B732" s="24">
        <v>1930.11</v>
      </c>
      <c r="C732" s="25">
        <v>16.62</v>
      </c>
      <c r="D732" s="40">
        <f t="shared" si="6"/>
        <v>21.001666666666669</v>
      </c>
      <c r="E732" s="40">
        <f t="shared" si="7"/>
        <v>21.926250000000003</v>
      </c>
      <c r="F732" s="12"/>
      <c r="G732" s="18" t="str">
        <f t="shared" ref="G732:G795" si="8">IF(I731 = "Yes", "Yes", IF(J731="Yes", "No", G731))</f>
        <v>No</v>
      </c>
      <c r="H732" s="12"/>
      <c r="I732" s="39" t="str">
        <f>IF(BuyAllowed="Yes",IF(AND(G732 = "No", C732&gt;D732), "Yes", "No"),"No")</f>
        <v>No</v>
      </c>
      <c r="J732" s="39" t="str">
        <f>IF(SellAllowed="Yes",IF(AND(G732 = "Yes", C732&lt;E732), "Yes", "No"),"No")</f>
        <v>No</v>
      </c>
      <c r="K732" s="39">
        <f>IF(I732 = "Yes", M731/(C732+CostBuy), IF(J732 = "Yes", 0, K731))</f>
        <v>0</v>
      </c>
      <c r="M732" s="19">
        <f>IF(I732 = "Yes", M731-(C732+CostBuy)*K732, IF(J732="Yes", M731+(C732-CostSell)*K731, M731+K732*Rate))</f>
        <v>468968.29546164005</v>
      </c>
    </row>
    <row r="733" spans="2:13" s="11" customFormat="1" x14ac:dyDescent="0.2">
      <c r="B733" s="24">
        <v>1930.12</v>
      </c>
      <c r="C733" s="25">
        <v>15.51</v>
      </c>
      <c r="D733" s="40">
        <f t="shared" si="6"/>
        <v>19.78166666666667</v>
      </c>
      <c r="E733" s="40">
        <f t="shared" si="7"/>
        <v>21.011250000000004</v>
      </c>
      <c r="F733" s="12"/>
      <c r="G733" s="18" t="str">
        <f t="shared" si="8"/>
        <v>No</v>
      </c>
      <c r="H733" s="12"/>
      <c r="I733" s="39" t="str">
        <f>IF(BuyAllowed="Yes",IF(AND(G733 = "No", C733&gt;D733), "Yes", "No"),"No")</f>
        <v>No</v>
      </c>
      <c r="J733" s="39" t="str">
        <f>IF(SellAllowed="Yes",IF(AND(G733 = "Yes", C733&lt;E733), "Yes", "No"),"No")</f>
        <v>No</v>
      </c>
      <c r="K733" s="39">
        <f>IF(I733 = "Yes", M732/(C733+CostBuy), IF(J733 = "Yes", 0, K732))</f>
        <v>0</v>
      </c>
      <c r="M733" s="19">
        <f>IF(I733 = "Yes", M732-(C733+CostBuy)*K733, IF(J733="Yes", M732+(C733-CostSell)*K732, M732+K733*Rate))</f>
        <v>468968.29546164005</v>
      </c>
    </row>
    <row r="734" spans="2:13" s="11" customFormat="1" x14ac:dyDescent="0.2">
      <c r="B734" s="24">
        <v>1931.01</v>
      </c>
      <c r="C734" s="25">
        <v>15.98</v>
      </c>
      <c r="D734" s="40">
        <f t="shared" si="6"/>
        <v>18.78</v>
      </c>
      <c r="E734" s="40">
        <f t="shared" si="7"/>
        <v>19.767499999999998</v>
      </c>
      <c r="F734" s="12"/>
      <c r="G734" s="18" t="str">
        <f t="shared" si="8"/>
        <v>No</v>
      </c>
      <c r="H734" s="12"/>
      <c r="I734" s="39" t="str">
        <f>IF(BuyAllowed="Yes",IF(AND(G734 = "No", C734&gt;D734), "Yes", "No"),"No")</f>
        <v>No</v>
      </c>
      <c r="J734" s="39" t="str">
        <f>IF(SellAllowed="Yes",IF(AND(G734 = "Yes", C734&lt;E734), "Yes", "No"),"No")</f>
        <v>No</v>
      </c>
      <c r="K734" s="39">
        <f>IF(I734 = "Yes", M733/(C734+CostBuy), IF(J734 = "Yes", 0, K733))</f>
        <v>0</v>
      </c>
      <c r="M734" s="19">
        <f>IF(I734 = "Yes", M733-(C734+CostBuy)*K734, IF(J734="Yes", M733+(C734-CostSell)*K733, M733+K734*Rate))</f>
        <v>468968.29546164005</v>
      </c>
    </row>
    <row r="735" spans="2:13" s="11" customFormat="1" x14ac:dyDescent="0.2">
      <c r="B735" s="24">
        <v>1931.02</v>
      </c>
      <c r="C735" s="25">
        <v>17.2</v>
      </c>
      <c r="D735" s="40">
        <f t="shared" si="6"/>
        <v>17.933333333333334</v>
      </c>
      <c r="E735" s="40">
        <f t="shared" si="7"/>
        <v>18.772500000000001</v>
      </c>
      <c r="F735" s="12"/>
      <c r="G735" s="18" t="str">
        <f t="shared" si="8"/>
        <v>No</v>
      </c>
      <c r="H735" s="12"/>
      <c r="I735" s="39" t="str">
        <f>IF(BuyAllowed="Yes",IF(AND(G735 = "No", C735&gt;D735), "Yes", "No"),"No")</f>
        <v>No</v>
      </c>
      <c r="J735" s="39" t="str">
        <f>IF(SellAllowed="Yes",IF(AND(G735 = "Yes", C735&lt;E735), "Yes", "No"),"No")</f>
        <v>No</v>
      </c>
      <c r="K735" s="39">
        <f>IF(I735 = "Yes", M734/(C735+CostBuy), IF(J735 = "Yes", 0, K734))</f>
        <v>0</v>
      </c>
      <c r="M735" s="19">
        <f>IF(I735 = "Yes", M734-(C735+CostBuy)*K735, IF(J735="Yes", M734+(C735-CostSell)*K734, M734+K735*Rate))</f>
        <v>468968.29546164005</v>
      </c>
    </row>
    <row r="736" spans="2:13" s="11" customFormat="1" x14ac:dyDescent="0.2">
      <c r="B736" s="24">
        <v>1931.03</v>
      </c>
      <c r="C736" s="25">
        <v>17.53</v>
      </c>
      <c r="D736" s="40">
        <f t="shared" si="6"/>
        <v>17.335000000000004</v>
      </c>
      <c r="E736" s="40">
        <f t="shared" si="7"/>
        <v>18.232499999999998</v>
      </c>
      <c r="F736" s="12"/>
      <c r="G736" s="18" t="str">
        <f t="shared" si="8"/>
        <v>No</v>
      </c>
      <c r="H736" s="12"/>
      <c r="I736" s="39" t="str">
        <f>IF(BuyAllowed="Yes",IF(AND(G736 = "No", C736&gt;D736), "Yes", "No"),"No")</f>
        <v>Yes</v>
      </c>
      <c r="J736" s="39" t="str">
        <f>IF(SellAllowed="Yes",IF(AND(G736 = "Yes", C736&lt;E736), "Yes", "No"),"No")</f>
        <v>No</v>
      </c>
      <c r="K736" s="39">
        <f>IF(I736 = "Yes", M735/(C736+CostBuy), IF(J736 = "Yes", 0, K735))</f>
        <v>26706.622748384965</v>
      </c>
      <c r="M736" s="19">
        <f>IF(I736 = "Yes", M735-(C736+CostBuy)*K736, IF(J736="Yes", M735+(C736-CostSell)*K735, M735+K736*Rate))</f>
        <v>0</v>
      </c>
    </row>
    <row r="737" spans="2:13" s="11" customFormat="1" x14ac:dyDescent="0.2">
      <c r="B737" s="24">
        <v>1931.04</v>
      </c>
      <c r="C737" s="25">
        <v>15.86</v>
      </c>
      <c r="D737" s="40">
        <f t="shared" si="6"/>
        <v>16.793333333333333</v>
      </c>
      <c r="E737" s="40">
        <f t="shared" si="7"/>
        <v>17.791250000000002</v>
      </c>
      <c r="F737" s="12"/>
      <c r="G737" s="18" t="str">
        <f t="shared" si="8"/>
        <v>Yes</v>
      </c>
      <c r="H737" s="12"/>
      <c r="I737" s="39" t="str">
        <f>IF(BuyAllowed="Yes",IF(AND(G737 = "No", C737&gt;D737), "Yes", "No"),"No")</f>
        <v>No</v>
      </c>
      <c r="J737" s="39" t="str">
        <f>IF(SellAllowed="Yes",IF(AND(G737 = "Yes", C737&lt;E737), "Yes", "No"),"No")</f>
        <v>Yes</v>
      </c>
      <c r="K737" s="39">
        <f>IF(I737 = "Yes", M736/(C737+CostBuy), IF(J737 = "Yes", 0, K736))</f>
        <v>0</v>
      </c>
      <c r="M737" s="19">
        <f>IF(I737 = "Yes", M736-(C737+CostBuy)*K737, IF(J737="Yes", M736+(C737-CostSell)*K736, M736+K737*Rate))</f>
        <v>421964.63942448242</v>
      </c>
    </row>
    <row r="738" spans="2:13" s="11" customFormat="1" x14ac:dyDescent="0.2">
      <c r="B738" s="24">
        <v>1931.05</v>
      </c>
      <c r="C738" s="25">
        <v>14.33</v>
      </c>
      <c r="D738" s="40">
        <f t="shared" si="6"/>
        <v>16.45</v>
      </c>
      <c r="E738" s="40">
        <f t="shared" si="7"/>
        <v>17.175000000000004</v>
      </c>
      <c r="F738" s="12"/>
      <c r="G738" s="18" t="str">
        <f t="shared" si="8"/>
        <v>No</v>
      </c>
      <c r="H738" s="12"/>
      <c r="I738" s="39" t="str">
        <f>IF(BuyAllowed="Yes",IF(AND(G738 = "No", C738&gt;D738), "Yes", "No"),"No")</f>
        <v>No</v>
      </c>
      <c r="J738" s="39" t="str">
        <f>IF(SellAllowed="Yes",IF(AND(G738 = "Yes", C738&lt;E738), "Yes", "No"),"No")</f>
        <v>No</v>
      </c>
      <c r="K738" s="39">
        <f>IF(I738 = "Yes", M737/(C738+CostBuy), IF(J738 = "Yes", 0, K737))</f>
        <v>0</v>
      </c>
      <c r="M738" s="19">
        <f>IF(I738 = "Yes", M737-(C738+CostBuy)*K738, IF(J738="Yes", M737+(C738-CostSell)*K737, M737+K738*Rate))</f>
        <v>421964.63942448242</v>
      </c>
    </row>
    <row r="739" spans="2:13" s="11" customFormat="1" x14ac:dyDescent="0.2">
      <c r="B739" s="24">
        <v>1931.06</v>
      </c>
      <c r="C739" s="25">
        <v>13.87</v>
      </c>
      <c r="D739" s="40">
        <f t="shared" si="6"/>
        <v>16.068333333333332</v>
      </c>
      <c r="E739" s="40">
        <f t="shared" si="7"/>
        <v>16.368750000000002</v>
      </c>
      <c r="F739" s="12"/>
      <c r="G739" s="18" t="str">
        <f t="shared" si="8"/>
        <v>No</v>
      </c>
      <c r="H739" s="12"/>
      <c r="I739" s="39" t="str">
        <f>IF(BuyAllowed="Yes",IF(AND(G739 = "No", C739&gt;D739), "Yes", "No"),"No")</f>
        <v>No</v>
      </c>
      <c r="J739" s="39" t="str">
        <f>IF(SellAllowed="Yes",IF(AND(G739 = "Yes", C739&lt;E739), "Yes", "No"),"No")</f>
        <v>No</v>
      </c>
      <c r="K739" s="39">
        <f>IF(I739 = "Yes", M738/(C739+CostBuy), IF(J739 = "Yes", 0, K738))</f>
        <v>0</v>
      </c>
      <c r="M739" s="19">
        <f>IF(I739 = "Yes", M738-(C739+CostBuy)*K739, IF(J739="Yes", M738+(C739-CostSell)*K738, M738+K739*Rate))</f>
        <v>421964.63942448242</v>
      </c>
    </row>
    <row r="740" spans="2:13" s="11" customFormat="1" x14ac:dyDescent="0.2">
      <c r="B740" s="24">
        <v>1931.07</v>
      </c>
      <c r="C740" s="25">
        <v>14.33</v>
      </c>
      <c r="D740" s="40">
        <f t="shared" si="6"/>
        <v>15.795</v>
      </c>
      <c r="E740" s="40">
        <f t="shared" si="7"/>
        <v>15.862500000000001</v>
      </c>
      <c r="F740" s="12"/>
      <c r="G740" s="18" t="str">
        <f t="shared" si="8"/>
        <v>No</v>
      </c>
      <c r="H740" s="12"/>
      <c r="I740" s="39" t="str">
        <f>IF(BuyAllowed="Yes",IF(AND(G740 = "No", C740&gt;D740), "Yes", "No"),"No")</f>
        <v>No</v>
      </c>
      <c r="J740" s="39" t="str">
        <f>IF(SellAllowed="Yes",IF(AND(G740 = "Yes", C740&lt;E740), "Yes", "No"),"No")</f>
        <v>No</v>
      </c>
      <c r="K740" s="39">
        <f>IF(I740 = "Yes", M739/(C740+CostBuy), IF(J740 = "Yes", 0, K739))</f>
        <v>0</v>
      </c>
      <c r="M740" s="19">
        <f>IF(I740 = "Yes", M739-(C740+CostBuy)*K740, IF(J740="Yes", M739+(C740-CostSell)*K739, M739+K740*Rate))</f>
        <v>421964.63942448242</v>
      </c>
    </row>
    <row r="741" spans="2:13" s="11" customFormat="1" x14ac:dyDescent="0.2">
      <c r="B741" s="24">
        <v>1931.08</v>
      </c>
      <c r="C741" s="25">
        <v>13.9</v>
      </c>
      <c r="D741" s="40">
        <f t="shared" si="6"/>
        <v>15.520000000000001</v>
      </c>
      <c r="E741" s="40">
        <f t="shared" si="7"/>
        <v>15.57625</v>
      </c>
      <c r="F741" s="12"/>
      <c r="G741" s="18" t="str">
        <f t="shared" si="8"/>
        <v>No</v>
      </c>
      <c r="H741" s="12"/>
      <c r="I741" s="39" t="str">
        <f>IF(BuyAllowed="Yes",IF(AND(G741 = "No", C741&gt;D741), "Yes", "No"),"No")</f>
        <v>No</v>
      </c>
      <c r="J741" s="39" t="str">
        <f>IF(SellAllowed="Yes",IF(AND(G741 = "Yes", C741&lt;E741), "Yes", "No"),"No")</f>
        <v>No</v>
      </c>
      <c r="K741" s="39">
        <f>IF(I741 = "Yes", M740/(C741+CostBuy), IF(J741 = "Yes", 0, K740))</f>
        <v>0</v>
      </c>
      <c r="M741" s="19">
        <f>IF(I741 = "Yes", M740-(C741+CostBuy)*K741, IF(J741="Yes", M740+(C741-CostSell)*K740, M740+K741*Rate))</f>
        <v>421964.63942448242</v>
      </c>
    </row>
    <row r="742" spans="2:13" s="11" customFormat="1" x14ac:dyDescent="0.2">
      <c r="B742" s="24">
        <v>1931.09</v>
      </c>
      <c r="C742" s="25">
        <v>11.83</v>
      </c>
      <c r="D742" s="40">
        <f t="shared" si="6"/>
        <v>14.97</v>
      </c>
      <c r="E742" s="40">
        <f t="shared" si="7"/>
        <v>15.375</v>
      </c>
      <c r="F742" s="12"/>
      <c r="G742" s="18" t="str">
        <f t="shared" si="8"/>
        <v>No</v>
      </c>
      <c r="H742" s="12"/>
      <c r="I742" s="39" t="str">
        <f>IF(BuyAllowed="Yes",IF(AND(G742 = "No", C742&gt;D742), "Yes", "No"),"No")</f>
        <v>No</v>
      </c>
      <c r="J742" s="39" t="str">
        <f>IF(SellAllowed="Yes",IF(AND(G742 = "Yes", C742&lt;E742), "Yes", "No"),"No")</f>
        <v>No</v>
      </c>
      <c r="K742" s="39">
        <f>IF(I742 = "Yes", M741/(C742+CostBuy), IF(J742 = "Yes", 0, K741))</f>
        <v>0</v>
      </c>
      <c r="M742" s="19">
        <f>IF(I742 = "Yes", M741-(C742+CostBuy)*K742, IF(J742="Yes", M741+(C742-CostSell)*K741, M741+K742*Rate))</f>
        <v>421964.63942448242</v>
      </c>
    </row>
    <row r="743" spans="2:13" s="11" customFormat="1" x14ac:dyDescent="0.2">
      <c r="B743" s="24">
        <v>1931.1</v>
      </c>
      <c r="C743" s="25">
        <v>10.25</v>
      </c>
      <c r="D743" s="40">
        <f t="shared" si="6"/>
        <v>14.019999999999998</v>
      </c>
      <c r="E743" s="40">
        <f t="shared" si="7"/>
        <v>14.856250000000001</v>
      </c>
      <c r="F743" s="12"/>
      <c r="G743" s="18" t="str">
        <f t="shared" si="8"/>
        <v>No</v>
      </c>
      <c r="H743" s="12"/>
      <c r="I743" s="39" t="str">
        <f>IF(BuyAllowed="Yes",IF(AND(G743 = "No", C743&gt;D743), "Yes", "No"),"No")</f>
        <v>No</v>
      </c>
      <c r="J743" s="39" t="str">
        <f>IF(SellAllowed="Yes",IF(AND(G743 = "Yes", C743&lt;E743), "Yes", "No"),"No")</f>
        <v>No</v>
      </c>
      <c r="K743" s="39">
        <f>IF(I743 = "Yes", M742/(C743+CostBuy), IF(J743 = "Yes", 0, K742))</f>
        <v>0</v>
      </c>
      <c r="M743" s="19">
        <f>IF(I743 = "Yes", M742-(C743+CostBuy)*K743, IF(J743="Yes", M742+(C743-CostSell)*K742, M742+K743*Rate))</f>
        <v>421964.63942448242</v>
      </c>
    </row>
    <row r="744" spans="2:13" s="11" customFormat="1" x14ac:dyDescent="0.2">
      <c r="B744" s="24">
        <v>1931.11</v>
      </c>
      <c r="C744" s="25">
        <v>10.39</v>
      </c>
      <c r="D744" s="40">
        <f t="shared" si="6"/>
        <v>13.085000000000001</v>
      </c>
      <c r="E744" s="40">
        <f t="shared" si="7"/>
        <v>13.987500000000001</v>
      </c>
      <c r="F744" s="12"/>
      <c r="G744" s="18" t="str">
        <f t="shared" si="8"/>
        <v>No</v>
      </c>
      <c r="H744" s="12"/>
      <c r="I744" s="39" t="str">
        <f>IF(BuyAllowed="Yes",IF(AND(G744 = "No", C744&gt;D744), "Yes", "No"),"No")</f>
        <v>No</v>
      </c>
      <c r="J744" s="39" t="str">
        <f>IF(SellAllowed="Yes",IF(AND(G744 = "Yes", C744&lt;E744), "Yes", "No"),"No")</f>
        <v>No</v>
      </c>
      <c r="K744" s="39">
        <f>IF(I744 = "Yes", M743/(C744+CostBuy), IF(J744 = "Yes", 0, K743))</f>
        <v>0</v>
      </c>
      <c r="M744" s="19">
        <f>IF(I744 = "Yes", M743-(C744+CostBuy)*K744, IF(J744="Yes", M743+(C744-CostSell)*K743, M743+K744*Rate))</f>
        <v>421964.63942448242</v>
      </c>
    </row>
    <row r="745" spans="2:13" s="11" customFormat="1" x14ac:dyDescent="0.2">
      <c r="B745" s="24">
        <v>1931.12</v>
      </c>
      <c r="C745" s="25">
        <v>8.44</v>
      </c>
      <c r="D745" s="40">
        <f t="shared" si="6"/>
        <v>12.428333333333335</v>
      </c>
      <c r="E745" s="40">
        <f t="shared" si="7"/>
        <v>13.094999999999999</v>
      </c>
      <c r="F745" s="12"/>
      <c r="G745" s="18" t="str">
        <f t="shared" si="8"/>
        <v>No</v>
      </c>
      <c r="H745" s="12"/>
      <c r="I745" s="39" t="str">
        <f>IF(BuyAllowed="Yes",IF(AND(G745 = "No", C745&gt;D745), "Yes", "No"),"No")</f>
        <v>No</v>
      </c>
      <c r="J745" s="39" t="str">
        <f>IF(SellAllowed="Yes",IF(AND(G745 = "Yes", C745&lt;E745), "Yes", "No"),"No")</f>
        <v>No</v>
      </c>
      <c r="K745" s="39">
        <f>IF(I745 = "Yes", M744/(C745+CostBuy), IF(J745 = "Yes", 0, K744))</f>
        <v>0</v>
      </c>
      <c r="M745" s="19">
        <f>IF(I745 = "Yes", M744-(C745+CostBuy)*K745, IF(J745="Yes", M744+(C745-CostSell)*K744, M744+K745*Rate))</f>
        <v>421964.63942448242</v>
      </c>
    </row>
    <row r="746" spans="2:13" s="11" customFormat="1" x14ac:dyDescent="0.2">
      <c r="B746" s="24">
        <v>1932.01</v>
      </c>
      <c r="C746" s="25">
        <v>8.3000000000000007</v>
      </c>
      <c r="D746" s="40">
        <f t="shared" si="6"/>
        <v>11.523333333333333</v>
      </c>
      <c r="E746" s="40">
        <f t="shared" si="7"/>
        <v>12.1675</v>
      </c>
      <c r="F746" s="12"/>
      <c r="G746" s="18" t="str">
        <f t="shared" si="8"/>
        <v>No</v>
      </c>
      <c r="H746" s="12"/>
      <c r="I746" s="39" t="str">
        <f>IF(BuyAllowed="Yes",IF(AND(G746 = "No", C746&gt;D746), "Yes", "No"),"No")</f>
        <v>No</v>
      </c>
      <c r="J746" s="39" t="str">
        <f>IF(SellAllowed="Yes",IF(AND(G746 = "Yes", C746&lt;E746), "Yes", "No"),"No")</f>
        <v>No</v>
      </c>
      <c r="K746" s="39">
        <f>IF(I746 = "Yes", M745/(C746+CostBuy), IF(J746 = "Yes", 0, K745))</f>
        <v>0</v>
      </c>
      <c r="M746" s="19">
        <f>IF(I746 = "Yes", M745-(C746+CostBuy)*K746, IF(J746="Yes", M745+(C746-CostSell)*K745, M745+K746*Rate))</f>
        <v>421964.63942448242</v>
      </c>
    </row>
    <row r="747" spans="2:13" s="11" customFormat="1" x14ac:dyDescent="0.2">
      <c r="B747" s="24">
        <v>1932.02</v>
      </c>
      <c r="C747" s="25">
        <v>8.23</v>
      </c>
      <c r="D747" s="40">
        <f t="shared" si="6"/>
        <v>10.518333333333333</v>
      </c>
      <c r="E747" s="40">
        <f t="shared" si="7"/>
        <v>11.41375</v>
      </c>
      <c r="F747" s="12"/>
      <c r="G747" s="18" t="str">
        <f t="shared" si="8"/>
        <v>No</v>
      </c>
      <c r="H747" s="12"/>
      <c r="I747" s="39" t="str">
        <f>IF(BuyAllowed="Yes",IF(AND(G747 = "No", C747&gt;D747), "Yes", "No"),"No")</f>
        <v>No</v>
      </c>
      <c r="J747" s="39" t="str">
        <f>IF(SellAllowed="Yes",IF(AND(G747 = "Yes", C747&lt;E747), "Yes", "No"),"No")</f>
        <v>No</v>
      </c>
      <c r="K747" s="39">
        <f>IF(I747 = "Yes", M746/(C747+CostBuy), IF(J747 = "Yes", 0, K746))</f>
        <v>0</v>
      </c>
      <c r="M747" s="19">
        <f>IF(I747 = "Yes", M746-(C747+CostBuy)*K747, IF(J747="Yes", M746+(C747-CostSell)*K746, M746+K747*Rate))</f>
        <v>421964.63942448242</v>
      </c>
    </row>
    <row r="748" spans="2:13" s="11" customFormat="1" x14ac:dyDescent="0.2">
      <c r="B748" s="24">
        <v>1932.03</v>
      </c>
      <c r="C748" s="25">
        <v>8.26</v>
      </c>
      <c r="D748" s="40">
        <f t="shared" si="6"/>
        <v>9.5733333333333324</v>
      </c>
      <c r="E748" s="40">
        <f t="shared" si="7"/>
        <v>10.70875</v>
      </c>
      <c r="F748" s="12"/>
      <c r="G748" s="18" t="str">
        <f t="shared" si="8"/>
        <v>No</v>
      </c>
      <c r="H748" s="12"/>
      <c r="I748" s="39" t="str">
        <f>IF(BuyAllowed="Yes",IF(AND(G748 = "No", C748&gt;D748), "Yes", "No"),"No")</f>
        <v>No</v>
      </c>
      <c r="J748" s="39" t="str">
        <f>IF(SellAllowed="Yes",IF(AND(G748 = "Yes", C748&lt;E748), "Yes", "No"),"No")</f>
        <v>No</v>
      </c>
      <c r="K748" s="39">
        <f>IF(I748 = "Yes", M747/(C748+CostBuy), IF(J748 = "Yes", 0, K747))</f>
        <v>0</v>
      </c>
      <c r="M748" s="19">
        <f>IF(I748 = "Yes", M747-(C748+CostBuy)*K748, IF(J748="Yes", M747+(C748-CostSell)*K747, M747+K748*Rate))</f>
        <v>421964.63942448242</v>
      </c>
    </row>
    <row r="749" spans="2:13" s="11" customFormat="1" x14ac:dyDescent="0.2">
      <c r="B749" s="24">
        <v>1932.04</v>
      </c>
      <c r="C749" s="25">
        <v>6.28</v>
      </c>
      <c r="D749" s="40">
        <f t="shared" si="6"/>
        <v>8.9783333333333335</v>
      </c>
      <c r="E749" s="40">
        <f t="shared" si="7"/>
        <v>9.9500000000000011</v>
      </c>
      <c r="F749" s="12"/>
      <c r="G749" s="18" t="str">
        <f t="shared" si="8"/>
        <v>No</v>
      </c>
      <c r="H749" s="12"/>
      <c r="I749" s="39" t="str">
        <f>IF(BuyAllowed="Yes",IF(AND(G749 = "No", C749&gt;D749), "Yes", "No"),"No")</f>
        <v>No</v>
      </c>
      <c r="J749" s="39" t="str">
        <f>IF(SellAllowed="Yes",IF(AND(G749 = "Yes", C749&lt;E749), "Yes", "No"),"No")</f>
        <v>No</v>
      </c>
      <c r="K749" s="39">
        <f>IF(I749 = "Yes", M748/(C749+CostBuy), IF(J749 = "Yes", 0, K748))</f>
        <v>0</v>
      </c>
      <c r="M749" s="19">
        <f>IF(I749 = "Yes", M748-(C749+CostBuy)*K749, IF(J749="Yes", M748+(C749-CostSell)*K748, M748+K749*Rate))</f>
        <v>421964.63942448242</v>
      </c>
    </row>
    <row r="750" spans="2:13" s="11" customFormat="1" x14ac:dyDescent="0.2">
      <c r="B750" s="24">
        <v>1932.05</v>
      </c>
      <c r="C750" s="25">
        <v>5.51</v>
      </c>
      <c r="D750" s="40">
        <f t="shared" si="6"/>
        <v>8.3166666666666664</v>
      </c>
      <c r="E750" s="40">
        <f t="shared" si="7"/>
        <v>8.9975000000000005</v>
      </c>
      <c r="F750" s="12"/>
      <c r="G750" s="18" t="str">
        <f t="shared" si="8"/>
        <v>No</v>
      </c>
      <c r="H750" s="12"/>
      <c r="I750" s="39" t="str">
        <f>IF(BuyAllowed="Yes",IF(AND(G750 = "No", C750&gt;D750), "Yes", "No"),"No")</f>
        <v>No</v>
      </c>
      <c r="J750" s="39" t="str">
        <f>IF(SellAllowed="Yes",IF(AND(G750 = "Yes", C750&lt;E750), "Yes", "No"),"No")</f>
        <v>No</v>
      </c>
      <c r="K750" s="39">
        <f>IF(I750 = "Yes", M749/(C750+CostBuy), IF(J750 = "Yes", 0, K749))</f>
        <v>0</v>
      </c>
      <c r="M750" s="19">
        <f>IF(I750 = "Yes", M749-(C750+CostBuy)*K750, IF(J750="Yes", M749+(C750-CostSell)*K749, M749+K750*Rate))</f>
        <v>421964.63942448242</v>
      </c>
    </row>
    <row r="751" spans="2:13" s="11" customFormat="1" x14ac:dyDescent="0.2">
      <c r="B751" s="24">
        <v>1932.06</v>
      </c>
      <c r="C751" s="25">
        <v>4.7699999999999996</v>
      </c>
      <c r="D751" s="40">
        <f t="shared" si="6"/>
        <v>7.5033333333333339</v>
      </c>
      <c r="E751" s="40">
        <f t="shared" si="7"/>
        <v>8.2074999999999996</v>
      </c>
      <c r="F751" s="12"/>
      <c r="G751" s="18" t="str">
        <f t="shared" si="8"/>
        <v>No</v>
      </c>
      <c r="H751" s="12"/>
      <c r="I751" s="39" t="str">
        <f>IF(BuyAllowed="Yes",IF(AND(G751 = "No", C751&gt;D751), "Yes", "No"),"No")</f>
        <v>No</v>
      </c>
      <c r="J751" s="39" t="str">
        <f>IF(SellAllowed="Yes",IF(AND(G751 = "Yes", C751&lt;E751), "Yes", "No"),"No")</f>
        <v>No</v>
      </c>
      <c r="K751" s="39">
        <f>IF(I751 = "Yes", M750/(C751+CostBuy), IF(J751 = "Yes", 0, K750))</f>
        <v>0</v>
      </c>
      <c r="M751" s="19">
        <f>IF(I751 = "Yes", M750-(C751+CostBuy)*K751, IF(J751="Yes", M750+(C751-CostSell)*K750, M750+K751*Rate))</f>
        <v>421964.63942448242</v>
      </c>
    </row>
    <row r="752" spans="2:13" s="11" customFormat="1" x14ac:dyDescent="0.2">
      <c r="B752" s="24">
        <v>1932.07</v>
      </c>
      <c r="C752" s="25">
        <v>5.01</v>
      </c>
      <c r="D752" s="40">
        <f t="shared" si="6"/>
        <v>6.8916666666666657</v>
      </c>
      <c r="E752" s="40">
        <f t="shared" si="7"/>
        <v>7.5224999999999991</v>
      </c>
      <c r="F752" s="12"/>
      <c r="G752" s="18" t="str">
        <f t="shared" si="8"/>
        <v>No</v>
      </c>
      <c r="H752" s="12"/>
      <c r="I752" s="39" t="str">
        <f>IF(BuyAllowed="Yes",IF(AND(G752 = "No", C752&gt;D752), "Yes", "No"),"No")</f>
        <v>No</v>
      </c>
      <c r="J752" s="39" t="str">
        <f>IF(SellAllowed="Yes",IF(AND(G752 = "Yes", C752&lt;E752), "Yes", "No"),"No")</f>
        <v>No</v>
      </c>
      <c r="K752" s="39">
        <f>IF(I752 = "Yes", M751/(C752+CostBuy), IF(J752 = "Yes", 0, K751))</f>
        <v>0</v>
      </c>
      <c r="M752" s="19">
        <f>IF(I752 = "Yes", M751-(C752+CostBuy)*K752, IF(J752="Yes", M751+(C752-CostSell)*K751, M751+K752*Rate))</f>
        <v>421964.63942448242</v>
      </c>
    </row>
    <row r="753" spans="2:13" s="11" customFormat="1" x14ac:dyDescent="0.2">
      <c r="B753" s="24">
        <v>1932.08</v>
      </c>
      <c r="C753" s="25">
        <v>7.53</v>
      </c>
      <c r="D753" s="40">
        <f t="shared" si="6"/>
        <v>6.3433333333333328</v>
      </c>
      <c r="E753" s="40">
        <f t="shared" si="7"/>
        <v>6.8500000000000005</v>
      </c>
      <c r="F753" s="12"/>
      <c r="G753" s="18" t="str">
        <f t="shared" si="8"/>
        <v>No</v>
      </c>
      <c r="H753" s="12"/>
      <c r="I753" s="39" t="str">
        <f>IF(BuyAllowed="Yes",IF(AND(G753 = "No", C753&gt;D753), "Yes", "No"),"No")</f>
        <v>Yes</v>
      </c>
      <c r="J753" s="39" t="str">
        <f>IF(SellAllowed="Yes",IF(AND(G753 = "Yes", C753&lt;E753), "Yes", "No"),"No")</f>
        <v>No</v>
      </c>
      <c r="K753" s="39">
        <f>IF(I753 = "Yes", M752/(C753+CostBuy), IF(J753 = "Yes", 0, K752))</f>
        <v>55815.428495301901</v>
      </c>
      <c r="M753" s="19">
        <f>IF(I753 = "Yes", M752-(C753+CostBuy)*K753, IF(J753="Yes", M752+(C753-CostSell)*K752, M752+K753*Rate))</f>
        <v>0</v>
      </c>
    </row>
    <row r="754" spans="2:13" s="11" customFormat="1" x14ac:dyDescent="0.2">
      <c r="B754" s="24">
        <v>1932.09</v>
      </c>
      <c r="C754" s="25">
        <v>8.26</v>
      </c>
      <c r="D754" s="40">
        <f t="shared" si="6"/>
        <v>6.2266666666666666</v>
      </c>
      <c r="E754" s="40">
        <f t="shared" si="7"/>
        <v>6.7362499999999992</v>
      </c>
      <c r="F754" s="12"/>
      <c r="G754" s="18" t="str">
        <f t="shared" si="8"/>
        <v>Yes</v>
      </c>
      <c r="H754" s="12"/>
      <c r="I754" s="39" t="str">
        <f>IF(BuyAllowed="Yes",IF(AND(G754 = "No", C754&gt;D754), "Yes", "No"),"No")</f>
        <v>No</v>
      </c>
      <c r="J754" s="39" t="str">
        <f>IF(SellAllowed="Yes",IF(AND(G754 = "Yes", C754&lt;E754), "Yes", "No"),"No")</f>
        <v>No</v>
      </c>
      <c r="K754" s="39">
        <f>IF(I754 = "Yes", M753/(C754+CostBuy), IF(J754 = "Yes", 0, K753))</f>
        <v>55815.428495301901</v>
      </c>
      <c r="M754" s="19">
        <f>IF(I754 = "Yes", M753-(C754+CostBuy)*K754, IF(J754="Yes", M753+(C754-CostSell)*K753, M753+K754*Rate))</f>
        <v>2790.7714247650952</v>
      </c>
    </row>
    <row r="755" spans="2:13" s="11" customFormat="1" x14ac:dyDescent="0.2">
      <c r="B755" s="24">
        <v>1932.1</v>
      </c>
      <c r="C755" s="25">
        <v>7.12</v>
      </c>
      <c r="D755" s="40">
        <f t="shared" si="6"/>
        <v>6.2266666666666666</v>
      </c>
      <c r="E755" s="40">
        <f t="shared" si="7"/>
        <v>6.7312499999999993</v>
      </c>
      <c r="F755" s="12"/>
      <c r="G755" s="18" t="str">
        <f t="shared" si="8"/>
        <v>Yes</v>
      </c>
      <c r="H755" s="12"/>
      <c r="I755" s="39" t="str">
        <f>IF(BuyAllowed="Yes",IF(AND(G755 = "No", C755&gt;D755), "Yes", "No"),"No")</f>
        <v>No</v>
      </c>
      <c r="J755" s="39" t="str">
        <f>IF(SellAllowed="Yes",IF(AND(G755 = "Yes", C755&lt;E755), "Yes", "No"),"No")</f>
        <v>No</v>
      </c>
      <c r="K755" s="39">
        <f>IF(I755 = "Yes", M754/(C755+CostBuy), IF(J755 = "Yes", 0, K754))</f>
        <v>55815.428495301901</v>
      </c>
      <c r="M755" s="19">
        <f>IF(I755 = "Yes", M754-(C755+CostBuy)*K755, IF(J755="Yes", M754+(C755-CostSell)*K754, M754+K755*Rate))</f>
        <v>5581.5428495301903</v>
      </c>
    </row>
    <row r="756" spans="2:13" s="11" customFormat="1" x14ac:dyDescent="0.2">
      <c r="B756" s="24">
        <v>1932.11</v>
      </c>
      <c r="C756" s="25">
        <v>7.05</v>
      </c>
      <c r="D756" s="40">
        <f t="shared" si="6"/>
        <v>6.3666666666666663</v>
      </c>
      <c r="E756" s="40">
        <f t="shared" si="7"/>
        <v>6.5924999999999994</v>
      </c>
      <c r="F756" s="12"/>
      <c r="G756" s="18" t="str">
        <f t="shared" si="8"/>
        <v>Yes</v>
      </c>
      <c r="H756" s="12"/>
      <c r="I756" s="39" t="str">
        <f>IF(BuyAllowed="Yes",IF(AND(G756 = "No", C756&gt;D756), "Yes", "No"),"No")</f>
        <v>No</v>
      </c>
      <c r="J756" s="39" t="str">
        <f>IF(SellAllowed="Yes",IF(AND(G756 = "Yes", C756&lt;E756), "Yes", "No"),"No")</f>
        <v>No</v>
      </c>
      <c r="K756" s="39">
        <f>IF(I756 = "Yes", M755/(C756+CostBuy), IF(J756 = "Yes", 0, K755))</f>
        <v>55815.428495301901</v>
      </c>
      <c r="M756" s="19">
        <f>IF(I756 = "Yes", M755-(C756+CostBuy)*K756, IF(J756="Yes", M755+(C756-CostSell)*K755, M755+K756*Rate))</f>
        <v>8372.3142742952859</v>
      </c>
    </row>
    <row r="757" spans="2:13" s="11" customFormat="1" x14ac:dyDescent="0.2">
      <c r="B757" s="24">
        <v>1932.12</v>
      </c>
      <c r="C757" s="25">
        <v>6.82</v>
      </c>
      <c r="D757" s="40">
        <f t="shared" si="6"/>
        <v>6.6233333333333322</v>
      </c>
      <c r="E757" s="40">
        <f t="shared" si="7"/>
        <v>6.4412499999999993</v>
      </c>
      <c r="F757" s="12"/>
      <c r="G757" s="18" t="str">
        <f t="shared" si="8"/>
        <v>Yes</v>
      </c>
      <c r="H757" s="12"/>
      <c r="I757" s="39" t="str">
        <f>IF(BuyAllowed="Yes",IF(AND(G757 = "No", C757&gt;D757), "Yes", "No"),"No")</f>
        <v>No</v>
      </c>
      <c r="J757" s="39" t="str">
        <f>IF(SellAllowed="Yes",IF(AND(G757 = "Yes", C757&lt;E757), "Yes", "No"),"No")</f>
        <v>No</v>
      </c>
      <c r="K757" s="39">
        <f>IF(I757 = "Yes", M756/(C757+CostBuy), IF(J757 = "Yes", 0, K756))</f>
        <v>55815.428495301901</v>
      </c>
      <c r="M757" s="19">
        <f>IF(I757 = "Yes", M756-(C757+CostBuy)*K757, IF(J757="Yes", M756+(C757-CostSell)*K756, M756+K757*Rate))</f>
        <v>11163.085699060381</v>
      </c>
    </row>
    <row r="758" spans="2:13" s="11" customFormat="1" x14ac:dyDescent="0.2">
      <c r="B758" s="24">
        <v>1933.01</v>
      </c>
      <c r="C758" s="25">
        <v>7.09</v>
      </c>
      <c r="D758" s="40">
        <f t="shared" si="6"/>
        <v>6.9649999999999999</v>
      </c>
      <c r="E758" s="40">
        <f t="shared" si="7"/>
        <v>6.5087499999999991</v>
      </c>
      <c r="F758" s="12"/>
      <c r="G758" s="18" t="str">
        <f t="shared" si="8"/>
        <v>Yes</v>
      </c>
      <c r="H758" s="12"/>
      <c r="I758" s="39" t="str">
        <f>IF(BuyAllowed="Yes",IF(AND(G758 = "No", C758&gt;D758), "Yes", "No"),"No")</f>
        <v>No</v>
      </c>
      <c r="J758" s="39" t="str">
        <f>IF(SellAllowed="Yes",IF(AND(G758 = "Yes", C758&lt;E758), "Yes", "No"),"No")</f>
        <v>No</v>
      </c>
      <c r="K758" s="39">
        <f>IF(I758 = "Yes", M757/(C758+CostBuy), IF(J758 = "Yes", 0, K757))</f>
        <v>55815.428495301901</v>
      </c>
      <c r="M758" s="19">
        <f>IF(I758 = "Yes", M757-(C758+CostBuy)*K758, IF(J758="Yes", M757+(C758-CostSell)*K757, M757+K758*Rate))</f>
        <v>13953.857123825475</v>
      </c>
    </row>
    <row r="759" spans="2:13" s="11" customFormat="1" x14ac:dyDescent="0.2">
      <c r="B759" s="24">
        <v>1933.02</v>
      </c>
      <c r="C759" s="25">
        <v>6.25</v>
      </c>
      <c r="D759" s="40">
        <f t="shared" si="6"/>
        <v>7.3116666666666674</v>
      </c>
      <c r="E759" s="40">
        <f t="shared" si="7"/>
        <v>6.7062499999999989</v>
      </c>
      <c r="F759" s="12"/>
      <c r="G759" s="18" t="str">
        <f t="shared" si="8"/>
        <v>Yes</v>
      </c>
      <c r="H759" s="12"/>
      <c r="I759" s="39" t="str">
        <f>IF(BuyAllowed="Yes",IF(AND(G759 = "No", C759&gt;D759), "Yes", "No"),"No")</f>
        <v>No</v>
      </c>
      <c r="J759" s="39" t="str">
        <f>IF(SellAllowed="Yes",IF(AND(G759 = "Yes", C759&lt;E759), "Yes", "No"),"No")</f>
        <v>Yes</v>
      </c>
      <c r="K759" s="39">
        <f>IF(I759 = "Yes", M758/(C759+CostBuy), IF(J759 = "Yes", 0, K758))</f>
        <v>0</v>
      </c>
      <c r="M759" s="19">
        <f>IF(I759 = "Yes", M758-(C759+CostBuy)*K759, IF(J759="Yes", M758+(C759-CostSell)*K758, M758+K759*Rate))</f>
        <v>359451.35950974427</v>
      </c>
    </row>
    <row r="760" spans="2:13" s="11" customFormat="1" x14ac:dyDescent="0.2">
      <c r="B760" s="24">
        <v>1933.03</v>
      </c>
      <c r="C760" s="25">
        <v>6.23</v>
      </c>
      <c r="D760" s="40">
        <f t="shared" si="6"/>
        <v>7.0983333333333336</v>
      </c>
      <c r="E760" s="40">
        <f t="shared" si="7"/>
        <v>6.8912499999999994</v>
      </c>
      <c r="F760" s="12"/>
      <c r="G760" s="18" t="str">
        <f t="shared" si="8"/>
        <v>No</v>
      </c>
      <c r="H760" s="12"/>
      <c r="I760" s="39" t="str">
        <f>IF(BuyAllowed="Yes",IF(AND(G760 = "No", C760&gt;D760), "Yes", "No"),"No")</f>
        <v>No</v>
      </c>
      <c r="J760" s="39" t="str">
        <f>IF(SellAllowed="Yes",IF(AND(G760 = "Yes", C760&lt;E760), "Yes", "No"),"No")</f>
        <v>No</v>
      </c>
      <c r="K760" s="39">
        <f>IF(I760 = "Yes", M759/(C760+CostBuy), IF(J760 = "Yes", 0, K759))</f>
        <v>0</v>
      </c>
      <c r="M760" s="19">
        <f>IF(I760 = "Yes", M759-(C760+CostBuy)*K760, IF(J760="Yes", M759+(C760-CostSell)*K759, M759+K760*Rate))</f>
        <v>359451.35950974427</v>
      </c>
    </row>
    <row r="761" spans="2:13" s="11" customFormat="1" x14ac:dyDescent="0.2">
      <c r="B761" s="24">
        <v>1933.04</v>
      </c>
      <c r="C761" s="25">
        <v>6.89</v>
      </c>
      <c r="D761" s="40">
        <f t="shared" si="6"/>
        <v>6.7600000000000007</v>
      </c>
      <c r="E761" s="40">
        <f t="shared" si="7"/>
        <v>7.0437500000000011</v>
      </c>
      <c r="F761" s="12"/>
      <c r="G761" s="18" t="str">
        <f t="shared" si="8"/>
        <v>No</v>
      </c>
      <c r="H761" s="12"/>
      <c r="I761" s="39" t="str">
        <f>IF(BuyAllowed="Yes",IF(AND(G761 = "No", C761&gt;D761), "Yes", "No"),"No")</f>
        <v>Yes</v>
      </c>
      <c r="J761" s="39" t="str">
        <f>IF(SellAllowed="Yes",IF(AND(G761 = "Yes", C761&lt;E761), "Yes", "No"),"No")</f>
        <v>No</v>
      </c>
      <c r="K761" s="39">
        <f>IF(I761 = "Yes", M760/(C761+CostBuy), IF(J761 = "Yes", 0, K760))</f>
        <v>51943.838079442816</v>
      </c>
      <c r="M761" s="19">
        <f>IF(I761 = "Yes", M760-(C761+CostBuy)*K761, IF(J761="Yes", M760+(C761-CostSell)*K760, M760+K761*Rate))</f>
        <v>0</v>
      </c>
    </row>
    <row r="762" spans="2:13" s="11" customFormat="1" x14ac:dyDescent="0.2">
      <c r="B762" s="24">
        <v>1933.05</v>
      </c>
      <c r="C762" s="25">
        <v>8.8699999999999992</v>
      </c>
      <c r="D762" s="40">
        <f t="shared" si="6"/>
        <v>6.7216666666666667</v>
      </c>
      <c r="E762" s="40">
        <f t="shared" si="7"/>
        <v>6.963750000000001</v>
      </c>
      <c r="F762" s="12"/>
      <c r="G762" s="18" t="str">
        <f t="shared" si="8"/>
        <v>Yes</v>
      </c>
      <c r="H762" s="12"/>
      <c r="I762" s="39" t="str">
        <f>IF(BuyAllowed="Yes",IF(AND(G762 = "No", C762&gt;D762), "Yes", "No"),"No")</f>
        <v>No</v>
      </c>
      <c r="J762" s="39" t="str">
        <f>IF(SellAllowed="Yes",IF(AND(G762 = "Yes", C762&lt;E762), "Yes", "No"),"No")</f>
        <v>No</v>
      </c>
      <c r="K762" s="39">
        <f>IF(I762 = "Yes", M761/(C762+CostBuy), IF(J762 = "Yes", 0, K761))</f>
        <v>51943.838079442816</v>
      </c>
      <c r="M762" s="19">
        <f>IF(I762 = "Yes", M761-(C762+CostBuy)*K762, IF(J762="Yes", M761+(C762-CostSell)*K761, M761+K762*Rate))</f>
        <v>2597.1919039721411</v>
      </c>
    </row>
    <row r="763" spans="2:13" s="11" customFormat="1" x14ac:dyDescent="0.2">
      <c r="B763" s="24">
        <v>1933.06</v>
      </c>
      <c r="C763" s="25">
        <v>10.39</v>
      </c>
      <c r="D763" s="40">
        <f t="shared" si="6"/>
        <v>7.0249999999999995</v>
      </c>
      <c r="E763" s="40">
        <f t="shared" si="7"/>
        <v>7.04</v>
      </c>
      <c r="F763" s="12"/>
      <c r="G763" s="18" t="str">
        <f t="shared" si="8"/>
        <v>Yes</v>
      </c>
      <c r="H763" s="12"/>
      <c r="I763" s="39" t="str">
        <f>IF(BuyAllowed="Yes",IF(AND(G763 = "No", C763&gt;D763), "Yes", "No"),"No")</f>
        <v>No</v>
      </c>
      <c r="J763" s="39" t="str">
        <f>IF(SellAllowed="Yes",IF(AND(G763 = "Yes", C763&lt;E763), "Yes", "No"),"No")</f>
        <v>No</v>
      </c>
      <c r="K763" s="39">
        <f>IF(I763 = "Yes", M762/(C763+CostBuy), IF(J763 = "Yes", 0, K762))</f>
        <v>51943.838079442816</v>
      </c>
      <c r="M763" s="19">
        <f>IF(I763 = "Yes", M762-(C763+CostBuy)*K763, IF(J763="Yes", M762+(C763-CostSell)*K762, M762+K763*Rate))</f>
        <v>5194.3838079442821</v>
      </c>
    </row>
    <row r="764" spans="2:13" s="11" customFormat="1" x14ac:dyDescent="0.2">
      <c r="B764" s="24">
        <v>1933.07</v>
      </c>
      <c r="C764" s="25">
        <v>11.23</v>
      </c>
      <c r="D764" s="40">
        <f t="shared" si="6"/>
        <v>7.62</v>
      </c>
      <c r="E764" s="40">
        <f t="shared" si="7"/>
        <v>7.4487499999999995</v>
      </c>
      <c r="F764" s="12"/>
      <c r="G764" s="18" t="str">
        <f t="shared" si="8"/>
        <v>Yes</v>
      </c>
      <c r="H764" s="12"/>
      <c r="I764" s="39" t="str">
        <f>IF(BuyAllowed="Yes",IF(AND(G764 = "No", C764&gt;D764), "Yes", "No"),"No")</f>
        <v>No</v>
      </c>
      <c r="J764" s="39" t="str">
        <f>IF(SellAllowed="Yes",IF(AND(G764 = "Yes", C764&lt;E764), "Yes", "No"),"No")</f>
        <v>No</v>
      </c>
      <c r="K764" s="39">
        <f>IF(I764 = "Yes", M763/(C764+CostBuy), IF(J764 = "Yes", 0, K763))</f>
        <v>51943.838079442816</v>
      </c>
      <c r="M764" s="19">
        <f>IF(I764 = "Yes", M763-(C764+CostBuy)*K764, IF(J764="Yes", M763+(C764-CostSell)*K763, M763+K764*Rate))</f>
        <v>7791.5757119164227</v>
      </c>
    </row>
    <row r="765" spans="2:13" s="11" customFormat="1" x14ac:dyDescent="0.2">
      <c r="B765" s="24">
        <v>1933.08</v>
      </c>
      <c r="C765" s="25">
        <v>10.67</v>
      </c>
      <c r="D765" s="40">
        <f t="shared" si="6"/>
        <v>8.31</v>
      </c>
      <c r="E765" s="40">
        <f t="shared" si="7"/>
        <v>7.9712499999999995</v>
      </c>
      <c r="F765" s="12"/>
      <c r="G765" s="18" t="str">
        <f t="shared" si="8"/>
        <v>Yes</v>
      </c>
      <c r="H765" s="12"/>
      <c r="I765" s="39" t="str">
        <f>IF(BuyAllowed="Yes",IF(AND(G765 = "No", C765&gt;D765), "Yes", "No"),"No")</f>
        <v>No</v>
      </c>
      <c r="J765" s="39" t="str">
        <f>IF(SellAllowed="Yes",IF(AND(G765 = "Yes", C765&lt;E765), "Yes", "No"),"No")</f>
        <v>No</v>
      </c>
      <c r="K765" s="39">
        <f>IF(I765 = "Yes", M764/(C765+CostBuy), IF(J765 = "Yes", 0, K764))</f>
        <v>51943.838079442816</v>
      </c>
      <c r="M765" s="19">
        <f>IF(I765 = "Yes", M764-(C765+CostBuy)*K765, IF(J765="Yes", M764+(C765-CostSell)*K764, M764+K765*Rate))</f>
        <v>10388.767615888564</v>
      </c>
    </row>
    <row r="766" spans="2:13" s="11" customFormat="1" x14ac:dyDescent="0.2">
      <c r="B766" s="24">
        <v>1933.09</v>
      </c>
      <c r="C766" s="25">
        <v>10.58</v>
      </c>
      <c r="D766" s="40">
        <f t="shared" si="6"/>
        <v>9.0466666666666669</v>
      </c>
      <c r="E766" s="40">
        <f t="shared" si="7"/>
        <v>8.4525000000000006</v>
      </c>
      <c r="F766" s="12"/>
      <c r="G766" s="18" t="str">
        <f t="shared" si="8"/>
        <v>Yes</v>
      </c>
      <c r="H766" s="12"/>
      <c r="I766" s="39" t="str">
        <f>IF(BuyAllowed="Yes",IF(AND(G766 = "No", C766&gt;D766), "Yes", "No"),"No")</f>
        <v>No</v>
      </c>
      <c r="J766" s="39" t="str">
        <f>IF(SellAllowed="Yes",IF(AND(G766 = "Yes", C766&lt;E766), "Yes", "No"),"No")</f>
        <v>No</v>
      </c>
      <c r="K766" s="39">
        <f>IF(I766 = "Yes", M765/(C766+CostBuy), IF(J766 = "Yes", 0, K765))</f>
        <v>51943.838079442816</v>
      </c>
      <c r="M766" s="19">
        <f>IF(I766 = "Yes", M765-(C766+CostBuy)*K766, IF(J766="Yes", M765+(C766-CostSell)*K765, M765+K766*Rate))</f>
        <v>12985.959519860706</v>
      </c>
    </row>
    <row r="767" spans="2:13" s="11" customFormat="1" x14ac:dyDescent="0.2">
      <c r="B767" s="24">
        <v>1933.1</v>
      </c>
      <c r="C767" s="25">
        <v>9.5500000000000007</v>
      </c>
      <c r="D767" s="40">
        <f t="shared" si="6"/>
        <v>9.7716666666666665</v>
      </c>
      <c r="E767" s="40">
        <f t="shared" si="7"/>
        <v>8.8887499999999999</v>
      </c>
      <c r="F767" s="12"/>
      <c r="G767" s="18" t="str">
        <f t="shared" si="8"/>
        <v>Yes</v>
      </c>
      <c r="H767" s="12"/>
      <c r="I767" s="39" t="str">
        <f>IF(BuyAllowed="Yes",IF(AND(G767 = "No", C767&gt;D767), "Yes", "No"),"No")</f>
        <v>No</v>
      </c>
      <c r="J767" s="39" t="str">
        <f>IF(SellAllowed="Yes",IF(AND(G767 = "Yes", C767&lt;E767), "Yes", "No"),"No")</f>
        <v>No</v>
      </c>
      <c r="K767" s="39">
        <f>IF(I767 = "Yes", M766/(C767+CostBuy), IF(J767 = "Yes", 0, K766))</f>
        <v>51943.838079442816</v>
      </c>
      <c r="M767" s="19">
        <f>IF(I767 = "Yes", M766-(C767+CostBuy)*K767, IF(J767="Yes", M766+(C767-CostSell)*K766, M766+K767*Rate))</f>
        <v>15583.151423832847</v>
      </c>
    </row>
    <row r="768" spans="2:13" s="11" customFormat="1" x14ac:dyDescent="0.2">
      <c r="B768" s="24">
        <v>1933.11</v>
      </c>
      <c r="C768" s="25">
        <v>9.7799999999999994</v>
      </c>
      <c r="D768" s="40">
        <f t="shared" si="6"/>
        <v>10.214999999999998</v>
      </c>
      <c r="E768" s="40">
        <f t="shared" si="7"/>
        <v>9.3012499999999996</v>
      </c>
      <c r="F768" s="12"/>
      <c r="G768" s="18" t="str">
        <f t="shared" si="8"/>
        <v>Yes</v>
      </c>
      <c r="H768" s="12"/>
      <c r="I768" s="39" t="str">
        <f>IF(BuyAllowed="Yes",IF(AND(G768 = "No", C768&gt;D768), "Yes", "No"),"No")</f>
        <v>No</v>
      </c>
      <c r="J768" s="39" t="str">
        <f>IF(SellAllowed="Yes",IF(AND(G768 = "Yes", C768&lt;E768), "Yes", "No"),"No")</f>
        <v>No</v>
      </c>
      <c r="K768" s="39">
        <f>IF(I768 = "Yes", M767/(C768+CostBuy), IF(J768 = "Yes", 0, K767))</f>
        <v>51943.838079442816</v>
      </c>
      <c r="M768" s="19">
        <f>IF(I768 = "Yes", M767-(C768+CostBuy)*K768, IF(J768="Yes", M767+(C768-CostSell)*K767, M767+K768*Rate))</f>
        <v>18180.343327804989</v>
      </c>
    </row>
    <row r="769" spans="2:13" s="11" customFormat="1" x14ac:dyDescent="0.2">
      <c r="B769" s="24">
        <v>1933.12</v>
      </c>
      <c r="C769" s="25">
        <v>9.9700000000000006</v>
      </c>
      <c r="D769" s="40">
        <f t="shared" si="6"/>
        <v>10.366666666666667</v>
      </c>
      <c r="E769" s="40">
        <f t="shared" si="7"/>
        <v>9.7449999999999992</v>
      </c>
      <c r="F769" s="12"/>
      <c r="G769" s="18" t="str">
        <f t="shared" si="8"/>
        <v>Yes</v>
      </c>
      <c r="H769" s="12"/>
      <c r="I769" s="39" t="str">
        <f>IF(BuyAllowed="Yes",IF(AND(G769 = "No", C769&gt;D769), "Yes", "No"),"No")</f>
        <v>No</v>
      </c>
      <c r="J769" s="39" t="str">
        <f>IF(SellAllowed="Yes",IF(AND(G769 = "Yes", C769&lt;E769), "Yes", "No"),"No")</f>
        <v>No</v>
      </c>
      <c r="K769" s="39">
        <f>IF(I769 = "Yes", M768/(C769+CostBuy), IF(J769 = "Yes", 0, K768))</f>
        <v>51943.838079442816</v>
      </c>
      <c r="M769" s="19">
        <f>IF(I769 = "Yes", M768-(C769+CostBuy)*K769, IF(J769="Yes", M768+(C769-CostSell)*K768, M768+K769*Rate))</f>
        <v>20777.535231777129</v>
      </c>
    </row>
    <row r="770" spans="2:13" s="11" customFormat="1" x14ac:dyDescent="0.2">
      <c r="B770" s="24">
        <v>1934.01</v>
      </c>
      <c r="C770" s="25">
        <v>10.54</v>
      </c>
      <c r="D770" s="40">
        <f t="shared" si="6"/>
        <v>10.296666666666667</v>
      </c>
      <c r="E770" s="40">
        <f t="shared" si="7"/>
        <v>10.129999999999999</v>
      </c>
      <c r="F770" s="12"/>
      <c r="G770" s="18" t="str">
        <f t="shared" si="8"/>
        <v>Yes</v>
      </c>
      <c r="H770" s="12"/>
      <c r="I770" s="39" t="str">
        <f>IF(BuyAllowed="Yes",IF(AND(G770 = "No", C770&gt;D770), "Yes", "No"),"No")</f>
        <v>No</v>
      </c>
      <c r="J770" s="39" t="str">
        <f>IF(SellAllowed="Yes",IF(AND(G770 = "Yes", C770&lt;E770), "Yes", "No"),"No")</f>
        <v>No</v>
      </c>
      <c r="K770" s="39">
        <f>IF(I770 = "Yes", M769/(C770+CostBuy), IF(J770 = "Yes", 0, K769))</f>
        <v>51943.838079442816</v>
      </c>
      <c r="M770" s="19">
        <f>IF(I770 = "Yes", M769-(C770+CostBuy)*K770, IF(J770="Yes", M769+(C770-CostSell)*K769, M769+K770*Rate))</f>
        <v>23374.727135749268</v>
      </c>
    </row>
    <row r="771" spans="2:13" s="11" customFormat="1" x14ac:dyDescent="0.2">
      <c r="B771" s="24">
        <v>1934.02</v>
      </c>
      <c r="C771" s="25">
        <v>11.32</v>
      </c>
      <c r="D771" s="40">
        <f t="shared" si="6"/>
        <v>10.181666666666667</v>
      </c>
      <c r="E771" s="40">
        <f t="shared" si="7"/>
        <v>10.338750000000001</v>
      </c>
      <c r="F771" s="12"/>
      <c r="G771" s="18" t="str">
        <f t="shared" si="8"/>
        <v>Yes</v>
      </c>
      <c r="H771" s="12"/>
      <c r="I771" s="39" t="str">
        <f>IF(BuyAllowed="Yes",IF(AND(G771 = "No", C771&gt;D771), "Yes", "No"),"No")</f>
        <v>No</v>
      </c>
      <c r="J771" s="39" t="str">
        <f>IF(SellAllowed="Yes",IF(AND(G771 = "Yes", C771&lt;E771), "Yes", "No"),"No")</f>
        <v>No</v>
      </c>
      <c r="K771" s="39">
        <f>IF(I771 = "Yes", M770/(C771+CostBuy), IF(J771 = "Yes", 0, K770))</f>
        <v>51943.838079442816</v>
      </c>
      <c r="M771" s="19">
        <f>IF(I771 = "Yes", M770-(C771+CostBuy)*K771, IF(J771="Yes", M770+(C771-CostSell)*K770, M770+K771*Rate))</f>
        <v>25971.919039721408</v>
      </c>
    </row>
    <row r="772" spans="2:13" s="11" customFormat="1" x14ac:dyDescent="0.2">
      <c r="B772" s="24">
        <v>1934.03</v>
      </c>
      <c r="C772" s="25">
        <v>10.74</v>
      </c>
      <c r="D772" s="40">
        <f t="shared" si="6"/>
        <v>10.290000000000001</v>
      </c>
      <c r="E772" s="40">
        <f t="shared" si="7"/>
        <v>10.454999999999998</v>
      </c>
      <c r="F772" s="12"/>
      <c r="G772" s="18" t="str">
        <f t="shared" si="8"/>
        <v>Yes</v>
      </c>
      <c r="H772" s="12"/>
      <c r="I772" s="39" t="str">
        <f>IF(BuyAllowed="Yes",IF(AND(G772 = "No", C772&gt;D772), "Yes", "No"),"No")</f>
        <v>No</v>
      </c>
      <c r="J772" s="39" t="str">
        <f>IF(SellAllowed="Yes",IF(AND(G772 = "Yes", C772&lt;E772), "Yes", "No"),"No")</f>
        <v>No</v>
      </c>
      <c r="K772" s="39">
        <f>IF(I772 = "Yes", M771/(C772+CostBuy), IF(J772 = "Yes", 0, K771))</f>
        <v>51943.838079442816</v>
      </c>
      <c r="M772" s="19">
        <f>IF(I772 = "Yes", M771-(C772+CostBuy)*K772, IF(J772="Yes", M771+(C772-CostSell)*K771, M771+K772*Rate))</f>
        <v>28569.110943693548</v>
      </c>
    </row>
    <row r="773" spans="2:13" s="11" customFormat="1" x14ac:dyDescent="0.2">
      <c r="B773" s="24">
        <v>1934.04</v>
      </c>
      <c r="C773" s="25">
        <v>10.92</v>
      </c>
      <c r="D773" s="40">
        <f t="shared" si="6"/>
        <v>10.316666666666666</v>
      </c>
      <c r="E773" s="40">
        <f t="shared" si="7"/>
        <v>10.393749999999999</v>
      </c>
      <c r="F773" s="12"/>
      <c r="G773" s="18" t="str">
        <f t="shared" si="8"/>
        <v>Yes</v>
      </c>
      <c r="H773" s="12"/>
      <c r="I773" s="39" t="str">
        <f>IF(BuyAllowed="Yes",IF(AND(G773 = "No", C773&gt;D773), "Yes", "No"),"No")</f>
        <v>No</v>
      </c>
      <c r="J773" s="39" t="str">
        <f>IF(SellAllowed="Yes",IF(AND(G773 = "Yes", C773&lt;E773), "Yes", "No"),"No")</f>
        <v>No</v>
      </c>
      <c r="K773" s="39">
        <f>IF(I773 = "Yes", M772/(C773+CostBuy), IF(J773 = "Yes", 0, K772))</f>
        <v>51943.838079442816</v>
      </c>
      <c r="M773" s="19">
        <f>IF(I773 = "Yes", M772-(C773+CostBuy)*K773, IF(J773="Yes", M772+(C773-CostSell)*K772, M772+K773*Rate))</f>
        <v>31166.302847665687</v>
      </c>
    </row>
    <row r="774" spans="2:13" s="11" customFormat="1" x14ac:dyDescent="0.2">
      <c r="B774" s="24">
        <v>1934.05</v>
      </c>
      <c r="C774" s="25">
        <v>9.81</v>
      </c>
      <c r="D774" s="40">
        <f t="shared" si="6"/>
        <v>10.545</v>
      </c>
      <c r="E774" s="40">
        <f t="shared" si="7"/>
        <v>10.425000000000001</v>
      </c>
      <c r="F774" s="12"/>
      <c r="G774" s="18" t="str">
        <f t="shared" si="8"/>
        <v>Yes</v>
      </c>
      <c r="H774" s="12"/>
      <c r="I774" s="39" t="str">
        <f>IF(BuyAllowed="Yes",IF(AND(G774 = "No", C774&gt;D774), "Yes", "No"),"No")</f>
        <v>No</v>
      </c>
      <c r="J774" s="39" t="str">
        <f>IF(SellAllowed="Yes",IF(AND(G774 = "Yes", C774&lt;E774), "Yes", "No"),"No")</f>
        <v>Yes</v>
      </c>
      <c r="K774" s="39">
        <f>IF(I774 = "Yes", M773/(C774+CostBuy), IF(J774 = "Yes", 0, K773))</f>
        <v>0</v>
      </c>
      <c r="M774" s="19">
        <f>IF(I774 = "Yes", M773-(C774+CostBuy)*K774, IF(J774="Yes", M773+(C774-CostSell)*K773, M773+K774*Rate))</f>
        <v>537618.72412223311</v>
      </c>
    </row>
    <row r="775" spans="2:13" s="11" customFormat="1" x14ac:dyDescent="0.2">
      <c r="B775" s="24">
        <v>1934.06</v>
      </c>
      <c r="C775" s="25">
        <v>9.94</v>
      </c>
      <c r="D775" s="40">
        <f t="shared" si="6"/>
        <v>10.55</v>
      </c>
      <c r="E775" s="40">
        <f t="shared" si="7"/>
        <v>10.328749999999999</v>
      </c>
      <c r="F775" s="12"/>
      <c r="G775" s="18" t="str">
        <f t="shared" si="8"/>
        <v>No</v>
      </c>
      <c r="H775" s="12"/>
      <c r="I775" s="39" t="str">
        <f>IF(BuyAllowed="Yes",IF(AND(G775 = "No", C775&gt;D775), "Yes", "No"),"No")</f>
        <v>No</v>
      </c>
      <c r="J775" s="39" t="str">
        <f>IF(SellAllowed="Yes",IF(AND(G775 = "Yes", C775&lt;E775), "Yes", "No"),"No")</f>
        <v>No</v>
      </c>
      <c r="K775" s="39">
        <f>IF(I775 = "Yes", M774/(C775+CostBuy), IF(J775 = "Yes", 0, K774))</f>
        <v>0</v>
      </c>
      <c r="M775" s="19">
        <f>IF(I775 = "Yes", M774-(C775+CostBuy)*K775, IF(J775="Yes", M774+(C775-CostSell)*K774, M774+K775*Rate))</f>
        <v>537618.72412223311</v>
      </c>
    </row>
    <row r="776" spans="2:13" s="11" customFormat="1" x14ac:dyDescent="0.2">
      <c r="B776" s="24">
        <v>1934.07</v>
      </c>
      <c r="C776" s="25">
        <v>9.4700000000000006</v>
      </c>
      <c r="D776" s="40">
        <f t="shared" si="6"/>
        <v>10.545</v>
      </c>
      <c r="E776" s="40">
        <f t="shared" si="7"/>
        <v>10.3775</v>
      </c>
      <c r="F776" s="12"/>
      <c r="G776" s="18" t="str">
        <f t="shared" si="8"/>
        <v>No</v>
      </c>
      <c r="H776" s="12"/>
      <c r="I776" s="39" t="str">
        <f>IF(BuyAllowed="Yes",IF(AND(G776 = "No", C776&gt;D776), "Yes", "No"),"No")</f>
        <v>No</v>
      </c>
      <c r="J776" s="39" t="str">
        <f>IF(SellAllowed="Yes",IF(AND(G776 = "Yes", C776&lt;E776), "Yes", "No"),"No")</f>
        <v>No</v>
      </c>
      <c r="K776" s="39">
        <f>IF(I776 = "Yes", M775/(C776+CostBuy), IF(J776 = "Yes", 0, K775))</f>
        <v>0</v>
      </c>
      <c r="M776" s="19">
        <f>IF(I776 = "Yes", M775-(C776+CostBuy)*K776, IF(J776="Yes", M775+(C776-CostSell)*K775, M775+K776*Rate))</f>
        <v>537618.72412223311</v>
      </c>
    </row>
    <row r="777" spans="2:13" s="11" customFormat="1" x14ac:dyDescent="0.2">
      <c r="B777" s="24">
        <v>1934.08</v>
      </c>
      <c r="C777" s="25">
        <v>9.1</v>
      </c>
      <c r="D777" s="40">
        <f t="shared" si="6"/>
        <v>10.366666666666667</v>
      </c>
      <c r="E777" s="40">
        <f t="shared" si="7"/>
        <v>10.338750000000001</v>
      </c>
      <c r="F777" s="12"/>
      <c r="G777" s="18" t="str">
        <f t="shared" si="8"/>
        <v>No</v>
      </c>
      <c r="H777" s="12"/>
      <c r="I777" s="39" t="str">
        <f>IF(BuyAllowed="Yes",IF(AND(G777 = "No", C777&gt;D777), "Yes", "No"),"No")</f>
        <v>No</v>
      </c>
      <c r="J777" s="39" t="str">
        <f>IF(SellAllowed="Yes",IF(AND(G777 = "Yes", C777&lt;E777), "Yes", "No"),"No")</f>
        <v>No</v>
      </c>
      <c r="K777" s="39">
        <f>IF(I777 = "Yes", M776/(C777+CostBuy), IF(J777 = "Yes", 0, K776))</f>
        <v>0</v>
      </c>
      <c r="M777" s="19">
        <f>IF(I777 = "Yes", M776-(C777+CostBuy)*K777, IF(J777="Yes", M776+(C777-CostSell)*K776, M776+K777*Rate))</f>
        <v>537618.72412223311</v>
      </c>
    </row>
    <row r="778" spans="2:13" s="11" customFormat="1" x14ac:dyDescent="0.2">
      <c r="B778" s="24">
        <v>1934.09</v>
      </c>
      <c r="C778" s="25">
        <v>8.8800000000000008</v>
      </c>
      <c r="D778" s="40">
        <f t="shared" si="6"/>
        <v>9.9966666666666661</v>
      </c>
      <c r="E778" s="40">
        <f t="shared" si="7"/>
        <v>10.23</v>
      </c>
      <c r="F778" s="12"/>
      <c r="G778" s="18" t="str">
        <f t="shared" si="8"/>
        <v>No</v>
      </c>
      <c r="H778" s="12"/>
      <c r="I778" s="39" t="str">
        <f>IF(BuyAllowed="Yes",IF(AND(G778 = "No", C778&gt;D778), "Yes", "No"),"No")</f>
        <v>No</v>
      </c>
      <c r="J778" s="39" t="str">
        <f>IF(SellAllowed="Yes",IF(AND(G778 = "Yes", C778&lt;E778), "Yes", "No"),"No")</f>
        <v>No</v>
      </c>
      <c r="K778" s="39">
        <f>IF(I778 = "Yes", M777/(C778+CostBuy), IF(J778 = "Yes", 0, K777))</f>
        <v>0</v>
      </c>
      <c r="M778" s="19">
        <f>IF(I778 = "Yes", M777-(C778+CostBuy)*K778, IF(J778="Yes", M777+(C778-CostSell)*K777, M777+K778*Rate))</f>
        <v>537618.72412223311</v>
      </c>
    </row>
    <row r="779" spans="2:13" s="11" customFormat="1" x14ac:dyDescent="0.2">
      <c r="B779" s="24">
        <v>1934.1</v>
      </c>
      <c r="C779" s="25">
        <v>8.9499999999999993</v>
      </c>
      <c r="D779" s="40">
        <f t="shared" si="6"/>
        <v>9.6866666666666674</v>
      </c>
      <c r="E779" s="40">
        <f t="shared" si="7"/>
        <v>10.022499999999999</v>
      </c>
      <c r="F779" s="12"/>
      <c r="G779" s="18" t="str">
        <f t="shared" si="8"/>
        <v>No</v>
      </c>
      <c r="H779" s="12"/>
      <c r="I779" s="39" t="str">
        <f>IF(BuyAllowed="Yes",IF(AND(G779 = "No", C779&gt;D779), "Yes", "No"),"No")</f>
        <v>No</v>
      </c>
      <c r="J779" s="39" t="str">
        <f>IF(SellAllowed="Yes",IF(AND(G779 = "Yes", C779&lt;E779), "Yes", "No"),"No")</f>
        <v>No</v>
      </c>
      <c r="K779" s="39">
        <f>IF(I779 = "Yes", M778/(C779+CostBuy), IF(J779 = "Yes", 0, K778))</f>
        <v>0</v>
      </c>
      <c r="M779" s="19">
        <f>IF(I779 = "Yes", M778-(C779+CostBuy)*K779, IF(J779="Yes", M778+(C779-CostSell)*K778, M778+K779*Rate))</f>
        <v>537618.72412223311</v>
      </c>
    </row>
    <row r="780" spans="2:13" s="11" customFormat="1" x14ac:dyDescent="0.2">
      <c r="B780" s="24">
        <v>1934.11</v>
      </c>
      <c r="C780" s="25">
        <v>9.1999999999999993</v>
      </c>
      <c r="D780" s="40">
        <f t="shared" si="6"/>
        <v>9.3583333333333343</v>
      </c>
      <c r="E780" s="40">
        <f t="shared" si="7"/>
        <v>9.7262500000000003</v>
      </c>
      <c r="F780" s="12"/>
      <c r="G780" s="18" t="str">
        <f t="shared" si="8"/>
        <v>No</v>
      </c>
      <c r="H780" s="12"/>
      <c r="I780" s="39" t="str">
        <f>IF(BuyAllowed="Yes",IF(AND(G780 = "No", C780&gt;D780), "Yes", "No"),"No")</f>
        <v>No</v>
      </c>
      <c r="J780" s="39" t="str">
        <f>IF(SellAllowed="Yes",IF(AND(G780 = "Yes", C780&lt;E780), "Yes", "No"),"No")</f>
        <v>No</v>
      </c>
      <c r="K780" s="39">
        <f>IF(I780 = "Yes", M779/(C780+CostBuy), IF(J780 = "Yes", 0, K779))</f>
        <v>0</v>
      </c>
      <c r="M780" s="19">
        <f>IF(I780 = "Yes", M779-(C780+CostBuy)*K780, IF(J780="Yes", M779+(C780-CostSell)*K779, M779+K780*Rate))</f>
        <v>537618.72412223311</v>
      </c>
    </row>
    <row r="781" spans="2:13" s="11" customFormat="1" x14ac:dyDescent="0.2">
      <c r="B781" s="24">
        <v>1934.12</v>
      </c>
      <c r="C781" s="25">
        <v>9.26</v>
      </c>
      <c r="D781" s="40">
        <f t="shared" si="6"/>
        <v>9.2566666666666677</v>
      </c>
      <c r="E781" s="40">
        <f t="shared" si="7"/>
        <v>9.5337500000000013</v>
      </c>
      <c r="F781" s="12"/>
      <c r="G781" s="18" t="str">
        <f t="shared" si="8"/>
        <v>No</v>
      </c>
      <c r="H781" s="12"/>
      <c r="I781" s="39" t="str">
        <f>IF(BuyAllowed="Yes",IF(AND(G781 = "No", C781&gt;D781), "Yes", "No"),"No")</f>
        <v>Yes</v>
      </c>
      <c r="J781" s="39" t="str">
        <f>IF(SellAllowed="Yes",IF(AND(G781 = "Yes", C781&lt;E781), "Yes", "No"),"No")</f>
        <v>No</v>
      </c>
      <c r="K781" s="39">
        <f>IF(I781 = "Yes", M780/(C781+CostBuy), IF(J781 = "Yes", 0, K780))</f>
        <v>57870.691509390002</v>
      </c>
      <c r="M781" s="19">
        <f>IF(I781 = "Yes", M780-(C781+CostBuy)*K781, IF(J781="Yes", M780+(C781-CostSell)*K780, M780+K781*Rate))</f>
        <v>0</v>
      </c>
    </row>
    <row r="782" spans="2:13" s="11" customFormat="1" x14ac:dyDescent="0.2">
      <c r="B782" s="24">
        <v>1935.01</v>
      </c>
      <c r="C782" s="25">
        <v>9.26</v>
      </c>
      <c r="D782" s="40">
        <f t="shared" si="6"/>
        <v>9.1433333333333344</v>
      </c>
      <c r="E782" s="40">
        <f t="shared" si="7"/>
        <v>9.3262500000000017</v>
      </c>
      <c r="F782" s="12"/>
      <c r="G782" s="18" t="str">
        <f t="shared" si="8"/>
        <v>Yes</v>
      </c>
      <c r="H782" s="12"/>
      <c r="I782" s="39" t="str">
        <f>IF(BuyAllowed="Yes",IF(AND(G782 = "No", C782&gt;D782), "Yes", "No"),"No")</f>
        <v>No</v>
      </c>
      <c r="J782" s="39" t="str">
        <f>IF(SellAllowed="Yes",IF(AND(G782 = "Yes", C782&lt;E782), "Yes", "No"),"No")</f>
        <v>Yes</v>
      </c>
      <c r="K782" s="39">
        <f>IF(I782 = "Yes", M781/(C782+CostBuy), IF(J782 = "Yes", 0, K781))</f>
        <v>0</v>
      </c>
      <c r="M782" s="19">
        <f>IF(I782 = "Yes", M781-(C782+CostBuy)*K782, IF(J782="Yes", M781+(C782-CostSell)*K781, M781+K782*Rate))</f>
        <v>532410.36188638792</v>
      </c>
    </row>
    <row r="783" spans="2:13" s="11" customFormat="1" x14ac:dyDescent="0.2">
      <c r="B783" s="24">
        <v>1935.02</v>
      </c>
      <c r="C783" s="25">
        <v>8.98</v>
      </c>
      <c r="D783" s="40">
        <f t="shared" si="6"/>
        <v>9.1083333333333325</v>
      </c>
      <c r="E783" s="40">
        <f t="shared" si="7"/>
        <v>9.2575000000000021</v>
      </c>
      <c r="F783" s="12"/>
      <c r="G783" s="18" t="str">
        <f t="shared" si="8"/>
        <v>No</v>
      </c>
      <c r="H783" s="12"/>
      <c r="I783" s="39" t="str">
        <f>IF(BuyAllowed="Yes",IF(AND(G783 = "No", C783&gt;D783), "Yes", "No"),"No")</f>
        <v>No</v>
      </c>
      <c r="J783" s="39" t="str">
        <f>IF(SellAllowed="Yes",IF(AND(G783 = "Yes", C783&lt;E783), "Yes", "No"),"No")</f>
        <v>No</v>
      </c>
      <c r="K783" s="39">
        <f>IF(I783 = "Yes", M782/(C783+CostBuy), IF(J783 = "Yes", 0, K782))</f>
        <v>0</v>
      </c>
      <c r="M783" s="19">
        <f>IF(I783 = "Yes", M782-(C783+CostBuy)*K783, IF(J783="Yes", M782+(C783-CostSell)*K782, M782+K783*Rate))</f>
        <v>532410.36188638792</v>
      </c>
    </row>
    <row r="784" spans="2:13" s="11" customFormat="1" x14ac:dyDescent="0.2">
      <c r="B784" s="24">
        <v>1935.03</v>
      </c>
      <c r="C784" s="25">
        <v>8.41</v>
      </c>
      <c r="D784" s="40">
        <f t="shared" si="6"/>
        <v>9.0883333333333329</v>
      </c>
      <c r="E784" s="40">
        <f t="shared" si="7"/>
        <v>9.1375000000000011</v>
      </c>
      <c r="F784" s="12"/>
      <c r="G784" s="18" t="str">
        <f t="shared" si="8"/>
        <v>No</v>
      </c>
      <c r="H784" s="12"/>
      <c r="I784" s="39" t="str">
        <f>IF(BuyAllowed="Yes",IF(AND(G784 = "No", C784&gt;D784), "Yes", "No"),"No")</f>
        <v>No</v>
      </c>
      <c r="J784" s="39" t="str">
        <f>IF(SellAllowed="Yes",IF(AND(G784 = "Yes", C784&lt;E784), "Yes", "No"),"No")</f>
        <v>No</v>
      </c>
      <c r="K784" s="39">
        <f>IF(I784 = "Yes", M783/(C784+CostBuy), IF(J784 = "Yes", 0, K783))</f>
        <v>0</v>
      </c>
      <c r="M784" s="19">
        <f>IF(I784 = "Yes", M783-(C784+CostBuy)*K784, IF(J784="Yes", M783+(C784-CostSell)*K783, M783+K784*Rate))</f>
        <v>532410.36188638792</v>
      </c>
    </row>
    <row r="785" spans="2:13" s="11" customFormat="1" x14ac:dyDescent="0.2">
      <c r="B785" s="24">
        <v>1935.04</v>
      </c>
      <c r="C785" s="25">
        <v>9.0399999999999991</v>
      </c>
      <c r="D785" s="40">
        <f t="shared" si="6"/>
        <v>9.009999999999998</v>
      </c>
      <c r="E785" s="40">
        <f t="shared" si="7"/>
        <v>9.004999999999999</v>
      </c>
      <c r="F785" s="12"/>
      <c r="G785" s="18" t="str">
        <f t="shared" si="8"/>
        <v>No</v>
      </c>
      <c r="H785" s="12"/>
      <c r="I785" s="39" t="str">
        <f>IF(BuyAllowed="Yes",IF(AND(G785 = "No", C785&gt;D785), "Yes", "No"),"No")</f>
        <v>Yes</v>
      </c>
      <c r="J785" s="39" t="str">
        <f>IF(SellAllowed="Yes",IF(AND(G785 = "Yes", C785&lt;E785), "Yes", "No"),"No")</f>
        <v>No</v>
      </c>
      <c r="K785" s="39">
        <f>IF(I785 = "Yes", M784/(C785+CostBuy), IF(J785 = "Yes", 0, K784))</f>
        <v>58700.150152854243</v>
      </c>
      <c r="M785" s="19">
        <f>IF(I785 = "Yes", M784-(C785+CostBuy)*K785, IF(J785="Yes", M784+(C785-CostSell)*K784, M784+K785*Rate))</f>
        <v>0</v>
      </c>
    </row>
    <row r="786" spans="2:13" s="11" customFormat="1" x14ac:dyDescent="0.2">
      <c r="B786" s="24">
        <v>1935.05</v>
      </c>
      <c r="C786" s="25">
        <v>9.75</v>
      </c>
      <c r="D786" s="40">
        <f t="shared" si="6"/>
        <v>9.0250000000000004</v>
      </c>
      <c r="E786" s="40">
        <f t="shared" si="7"/>
        <v>8.9974999999999987</v>
      </c>
      <c r="F786" s="12"/>
      <c r="G786" s="18" t="str">
        <f t="shared" si="8"/>
        <v>Yes</v>
      </c>
      <c r="H786" s="12"/>
      <c r="I786" s="39" t="str">
        <f>IF(BuyAllowed="Yes",IF(AND(G786 = "No", C786&gt;D786), "Yes", "No"),"No")</f>
        <v>No</v>
      </c>
      <c r="J786" s="39" t="str">
        <f>IF(SellAllowed="Yes",IF(AND(G786 = "Yes", C786&lt;E786), "Yes", "No"),"No")</f>
        <v>No</v>
      </c>
      <c r="K786" s="39">
        <f>IF(I786 = "Yes", M785/(C786+CostBuy), IF(J786 = "Yes", 0, K785))</f>
        <v>58700.150152854243</v>
      </c>
      <c r="M786" s="19">
        <f>IF(I786 = "Yes", M785-(C786+CostBuy)*K786, IF(J786="Yes", M785+(C786-CostSell)*K785, M785+K786*Rate))</f>
        <v>2935.0075076427124</v>
      </c>
    </row>
    <row r="787" spans="2:13" s="11" customFormat="1" x14ac:dyDescent="0.2">
      <c r="B787" s="24">
        <v>1935.06</v>
      </c>
      <c r="C787" s="25">
        <v>10.119999999999999</v>
      </c>
      <c r="D787" s="40">
        <f t="shared" si="6"/>
        <v>9.1166666666666654</v>
      </c>
      <c r="E787" s="40">
        <f t="shared" si="7"/>
        <v>9.1062499999999993</v>
      </c>
      <c r="F787" s="12"/>
      <c r="G787" s="18" t="str">
        <f t="shared" si="8"/>
        <v>Yes</v>
      </c>
      <c r="H787" s="12"/>
      <c r="I787" s="39" t="str">
        <f>IF(BuyAllowed="Yes",IF(AND(G787 = "No", C787&gt;D787), "Yes", "No"),"No")</f>
        <v>No</v>
      </c>
      <c r="J787" s="39" t="str">
        <f>IF(SellAllowed="Yes",IF(AND(G787 = "Yes", C787&lt;E787), "Yes", "No"),"No")</f>
        <v>No</v>
      </c>
      <c r="K787" s="39">
        <f>IF(I787 = "Yes", M786/(C787+CostBuy), IF(J787 = "Yes", 0, K786))</f>
        <v>58700.150152854243</v>
      </c>
      <c r="M787" s="19">
        <f>IF(I787 = "Yes", M786-(C787+CostBuy)*K787, IF(J787="Yes", M786+(C787-CostSell)*K786, M786+K787*Rate))</f>
        <v>5870.0150152854249</v>
      </c>
    </row>
    <row r="788" spans="2:13" s="11" customFormat="1" x14ac:dyDescent="0.2">
      <c r="B788" s="24">
        <v>1935.07</v>
      </c>
      <c r="C788" s="25">
        <v>10.65</v>
      </c>
      <c r="D788" s="40">
        <f t="shared" si="6"/>
        <v>9.26</v>
      </c>
      <c r="E788" s="40">
        <f t="shared" si="7"/>
        <v>9.2524999999999995</v>
      </c>
      <c r="F788" s="12"/>
      <c r="G788" s="18" t="str">
        <f t="shared" si="8"/>
        <v>Yes</v>
      </c>
      <c r="H788" s="12"/>
      <c r="I788" s="39" t="str">
        <f>IF(BuyAllowed="Yes",IF(AND(G788 = "No", C788&gt;D788), "Yes", "No"),"No")</f>
        <v>No</v>
      </c>
      <c r="J788" s="39" t="str">
        <f>IF(SellAllowed="Yes",IF(AND(G788 = "Yes", C788&lt;E788), "Yes", "No"),"No")</f>
        <v>No</v>
      </c>
      <c r="K788" s="39">
        <f>IF(I788 = "Yes", M787/(C788+CostBuy), IF(J788 = "Yes", 0, K787))</f>
        <v>58700.150152854243</v>
      </c>
      <c r="M788" s="19">
        <f>IF(I788 = "Yes", M787-(C788+CostBuy)*K788, IF(J788="Yes", M787+(C788-CostSell)*K787, M787+K788*Rate))</f>
        <v>8805.0225229281368</v>
      </c>
    </row>
    <row r="789" spans="2:13" s="11" customFormat="1" x14ac:dyDescent="0.2">
      <c r="B789" s="24">
        <v>1935.08</v>
      </c>
      <c r="C789" s="25">
        <v>11.37</v>
      </c>
      <c r="D789" s="40">
        <f t="shared" si="6"/>
        <v>9.4916666666666654</v>
      </c>
      <c r="E789" s="40">
        <f t="shared" si="7"/>
        <v>9.4337499999999999</v>
      </c>
      <c r="F789" s="12"/>
      <c r="G789" s="18" t="str">
        <f t="shared" si="8"/>
        <v>Yes</v>
      </c>
      <c r="H789" s="12"/>
      <c r="I789" s="39" t="str">
        <f>IF(BuyAllowed="Yes",IF(AND(G789 = "No", C789&gt;D789), "Yes", "No"),"No")</f>
        <v>No</v>
      </c>
      <c r="J789" s="39" t="str">
        <f>IF(SellAllowed="Yes",IF(AND(G789 = "Yes", C789&lt;E789), "Yes", "No"),"No")</f>
        <v>No</v>
      </c>
      <c r="K789" s="39">
        <f>IF(I789 = "Yes", M788/(C789+CostBuy), IF(J789 = "Yes", 0, K788))</f>
        <v>58700.150152854243</v>
      </c>
      <c r="M789" s="19">
        <f>IF(I789 = "Yes", M788-(C789+CostBuy)*K789, IF(J789="Yes", M788+(C789-CostSell)*K788, M788+K789*Rate))</f>
        <v>11740.03003057085</v>
      </c>
    </row>
    <row r="790" spans="2:13" s="11" customFormat="1" x14ac:dyDescent="0.2">
      <c r="B790" s="24">
        <v>1935.09</v>
      </c>
      <c r="C790" s="25">
        <v>11.61</v>
      </c>
      <c r="D790" s="40">
        <f t="shared" si="6"/>
        <v>9.8899999999999988</v>
      </c>
      <c r="E790" s="40">
        <f t="shared" si="7"/>
        <v>9.6974999999999998</v>
      </c>
      <c r="F790" s="12"/>
      <c r="G790" s="18" t="str">
        <f t="shared" si="8"/>
        <v>Yes</v>
      </c>
      <c r="H790" s="12"/>
      <c r="I790" s="39" t="str">
        <f>IF(BuyAllowed="Yes",IF(AND(G790 = "No", C790&gt;D790), "Yes", "No"),"No")</f>
        <v>No</v>
      </c>
      <c r="J790" s="39" t="str">
        <f>IF(SellAllowed="Yes",IF(AND(G790 = "Yes", C790&lt;E790), "Yes", "No"),"No")</f>
        <v>No</v>
      </c>
      <c r="K790" s="39">
        <f>IF(I790 = "Yes", M789/(C790+CostBuy), IF(J790 = "Yes", 0, K789))</f>
        <v>58700.150152854243</v>
      </c>
      <c r="M790" s="19">
        <f>IF(I790 = "Yes", M789-(C790+CostBuy)*K790, IF(J790="Yes", M789+(C790-CostSell)*K789, M789+K790*Rate))</f>
        <v>14675.037538213563</v>
      </c>
    </row>
    <row r="791" spans="2:13" s="11" customFormat="1" x14ac:dyDescent="0.2">
      <c r="B791" s="24">
        <v>1935.1</v>
      </c>
      <c r="C791" s="25">
        <v>11.92</v>
      </c>
      <c r="D791" s="40">
        <f t="shared" si="6"/>
        <v>10.423333333333332</v>
      </c>
      <c r="E791" s="40">
        <f t="shared" si="7"/>
        <v>9.9912499999999991</v>
      </c>
      <c r="F791" s="12"/>
      <c r="G791" s="18" t="str">
        <f t="shared" si="8"/>
        <v>Yes</v>
      </c>
      <c r="H791" s="12"/>
      <c r="I791" s="39" t="str">
        <f>IF(BuyAllowed="Yes",IF(AND(G791 = "No", C791&gt;D791), "Yes", "No"),"No")</f>
        <v>No</v>
      </c>
      <c r="J791" s="39" t="str">
        <f>IF(SellAllowed="Yes",IF(AND(G791 = "Yes", C791&lt;E791), "Yes", "No"),"No")</f>
        <v>No</v>
      </c>
      <c r="K791" s="39">
        <f>IF(I791 = "Yes", M790/(C791+CostBuy), IF(J791 = "Yes", 0, K790))</f>
        <v>58700.150152854243</v>
      </c>
      <c r="M791" s="19">
        <f>IF(I791 = "Yes", M790-(C791+CostBuy)*K791, IF(J791="Yes", M790+(C791-CostSell)*K790, M790+K791*Rate))</f>
        <v>17610.045045856274</v>
      </c>
    </row>
    <row r="792" spans="2:13" s="11" customFormat="1" x14ac:dyDescent="0.2">
      <c r="B792" s="24">
        <v>1935.11</v>
      </c>
      <c r="C792" s="25">
        <v>13.04</v>
      </c>
      <c r="D792" s="40">
        <f t="shared" si="6"/>
        <v>10.903333333333331</v>
      </c>
      <c r="E792" s="40">
        <f t="shared" si="7"/>
        <v>10.358749999999999</v>
      </c>
      <c r="F792" s="12"/>
      <c r="G792" s="18" t="str">
        <f t="shared" si="8"/>
        <v>Yes</v>
      </c>
      <c r="H792" s="12"/>
      <c r="I792" s="39" t="str">
        <f>IF(BuyAllowed="Yes",IF(AND(G792 = "No", C792&gt;D792), "Yes", "No"),"No")</f>
        <v>No</v>
      </c>
      <c r="J792" s="39" t="str">
        <f>IF(SellAllowed="Yes",IF(AND(G792 = "Yes", C792&lt;E792), "Yes", "No"),"No")</f>
        <v>No</v>
      </c>
      <c r="K792" s="39">
        <f>IF(I792 = "Yes", M791/(C792+CostBuy), IF(J792 = "Yes", 0, K791))</f>
        <v>58700.150152854243</v>
      </c>
      <c r="M792" s="19">
        <f>IF(I792 = "Yes", M791-(C792+CostBuy)*K792, IF(J792="Yes", M791+(C792-CostSell)*K791, M791+K792*Rate))</f>
        <v>20545.052553498987</v>
      </c>
    </row>
    <row r="793" spans="2:13" s="11" customFormat="1" x14ac:dyDescent="0.2">
      <c r="B793" s="24">
        <v>1935.12</v>
      </c>
      <c r="C793" s="25">
        <v>13.04</v>
      </c>
      <c r="D793" s="40">
        <f t="shared" si="6"/>
        <v>11.451666666666668</v>
      </c>
      <c r="E793" s="40">
        <f t="shared" si="7"/>
        <v>10.9375</v>
      </c>
      <c r="F793" s="12"/>
      <c r="G793" s="18" t="str">
        <f t="shared" si="8"/>
        <v>Yes</v>
      </c>
      <c r="H793" s="12"/>
      <c r="I793" s="39" t="str">
        <f>IF(BuyAllowed="Yes",IF(AND(G793 = "No", C793&gt;D793), "Yes", "No"),"No")</f>
        <v>No</v>
      </c>
      <c r="J793" s="39" t="str">
        <f>IF(SellAllowed="Yes",IF(AND(G793 = "Yes", C793&lt;E793), "Yes", "No"),"No")</f>
        <v>No</v>
      </c>
      <c r="K793" s="39">
        <f>IF(I793 = "Yes", M792/(C793+CostBuy), IF(J793 = "Yes", 0, K792))</f>
        <v>58700.150152854243</v>
      </c>
      <c r="M793" s="19">
        <f>IF(I793 = "Yes", M792-(C793+CostBuy)*K793, IF(J793="Yes", M792+(C793-CostSell)*K792, M792+K793*Rate))</f>
        <v>23480.060061141699</v>
      </c>
    </row>
    <row r="794" spans="2:13" s="11" customFormat="1" x14ac:dyDescent="0.2">
      <c r="B794" s="24">
        <v>1936.01</v>
      </c>
      <c r="C794" s="25">
        <v>13.76</v>
      </c>
      <c r="D794" s="40">
        <f t="shared" si="6"/>
        <v>11.938333333333333</v>
      </c>
      <c r="E794" s="40">
        <f t="shared" si="7"/>
        <v>11.437499999999996</v>
      </c>
      <c r="F794" s="12"/>
      <c r="G794" s="18" t="str">
        <f t="shared" si="8"/>
        <v>Yes</v>
      </c>
      <c r="H794" s="12"/>
      <c r="I794" s="39" t="str">
        <f>IF(BuyAllowed="Yes",IF(AND(G794 = "No", C794&gt;D794), "Yes", "No"),"No")</f>
        <v>No</v>
      </c>
      <c r="J794" s="39" t="str">
        <f>IF(SellAllowed="Yes",IF(AND(G794 = "Yes", C794&lt;E794), "Yes", "No"),"No")</f>
        <v>No</v>
      </c>
      <c r="K794" s="39">
        <f>IF(I794 = "Yes", M793/(C794+CostBuy), IF(J794 = "Yes", 0, K793))</f>
        <v>58700.150152854243</v>
      </c>
      <c r="M794" s="19">
        <f>IF(I794 = "Yes", M793-(C794+CostBuy)*K794, IF(J794="Yes", M793+(C794-CostSell)*K793, M793+K794*Rate))</f>
        <v>26415.067568784412</v>
      </c>
    </row>
    <row r="795" spans="2:13" s="11" customFormat="1" x14ac:dyDescent="0.2">
      <c r="B795" s="24">
        <v>1936.02</v>
      </c>
      <c r="C795" s="25">
        <v>14.55</v>
      </c>
      <c r="D795" s="40">
        <f t="shared" ref="D795:D858" si="9">AVERAGE(C789:C794)</f>
        <v>12.456666666666665</v>
      </c>
      <c r="E795" s="40">
        <f t="shared" ref="E795:E858" si="10">AVERAGE(C787:C794)</f>
        <v>11.938750000000001</v>
      </c>
      <c r="F795" s="12"/>
      <c r="G795" s="18" t="str">
        <f t="shared" si="8"/>
        <v>Yes</v>
      </c>
      <c r="H795" s="12"/>
      <c r="I795" s="39" t="str">
        <f>IF(BuyAllowed="Yes",IF(AND(G795 = "No", C795&gt;D795), "Yes", "No"),"No")</f>
        <v>No</v>
      </c>
      <c r="J795" s="39" t="str">
        <f>IF(SellAllowed="Yes",IF(AND(G795 = "Yes", C795&lt;E795), "Yes", "No"),"No")</f>
        <v>No</v>
      </c>
      <c r="K795" s="39">
        <f>IF(I795 = "Yes", M794/(C795+CostBuy), IF(J795 = "Yes", 0, K794))</f>
        <v>58700.150152854243</v>
      </c>
      <c r="M795" s="19">
        <f>IF(I795 = "Yes", M794-(C795+CostBuy)*K795, IF(J795="Yes", M794+(C795-CostSell)*K794, M794+K795*Rate))</f>
        <v>29350.075076427125</v>
      </c>
    </row>
    <row r="796" spans="2:13" s="11" customFormat="1" x14ac:dyDescent="0.2">
      <c r="B796" s="24">
        <v>1936.03</v>
      </c>
      <c r="C796" s="25">
        <v>14.86</v>
      </c>
      <c r="D796" s="40">
        <f t="shared" si="9"/>
        <v>12.986666666666666</v>
      </c>
      <c r="E796" s="40">
        <f t="shared" si="10"/>
        <v>12.4925</v>
      </c>
      <c r="F796" s="12"/>
      <c r="G796" s="18" t="str">
        <f t="shared" ref="G796:G859" si="11">IF(I795 = "Yes", "Yes", IF(J795="Yes", "No", G795))</f>
        <v>Yes</v>
      </c>
      <c r="H796" s="12"/>
      <c r="I796" s="39" t="str">
        <f>IF(BuyAllowed="Yes",IF(AND(G796 = "No", C796&gt;D796), "Yes", "No"),"No")</f>
        <v>No</v>
      </c>
      <c r="J796" s="39" t="str">
        <f>IF(SellAllowed="Yes",IF(AND(G796 = "Yes", C796&lt;E796), "Yes", "No"),"No")</f>
        <v>No</v>
      </c>
      <c r="K796" s="39">
        <f>IF(I796 = "Yes", M795/(C796+CostBuy), IF(J796 = "Yes", 0, K795))</f>
        <v>58700.150152854243</v>
      </c>
      <c r="M796" s="19">
        <f>IF(I796 = "Yes", M795-(C796+CostBuy)*K796, IF(J796="Yes", M795+(C796-CostSell)*K795, M795+K796*Rate))</f>
        <v>32285.082584069838</v>
      </c>
    </row>
    <row r="797" spans="2:13" s="11" customFormat="1" x14ac:dyDescent="0.2">
      <c r="B797" s="24">
        <v>1936.04</v>
      </c>
      <c r="C797" s="25">
        <v>14.88</v>
      </c>
      <c r="D797" s="40">
        <f t="shared" si="9"/>
        <v>13.528333333333334</v>
      </c>
      <c r="E797" s="40">
        <f t="shared" si="10"/>
        <v>13.018749999999999</v>
      </c>
      <c r="F797" s="12"/>
      <c r="G797" s="18" t="str">
        <f t="shared" si="11"/>
        <v>Yes</v>
      </c>
      <c r="H797" s="12"/>
      <c r="I797" s="39" t="str">
        <f>IF(BuyAllowed="Yes",IF(AND(G797 = "No", C797&gt;D797), "Yes", "No"),"No")</f>
        <v>No</v>
      </c>
      <c r="J797" s="39" t="str">
        <f>IF(SellAllowed="Yes",IF(AND(G797 = "Yes", C797&lt;E797), "Yes", "No"),"No")</f>
        <v>No</v>
      </c>
      <c r="K797" s="39">
        <f>IF(I797 = "Yes", M796/(C797+CostBuy), IF(J797 = "Yes", 0, K796))</f>
        <v>58700.150152854243</v>
      </c>
      <c r="M797" s="19">
        <f>IF(I797 = "Yes", M796-(C797+CostBuy)*K797, IF(J797="Yes", M796+(C797-CostSell)*K796, M796+K797*Rate))</f>
        <v>35220.090091712547</v>
      </c>
    </row>
    <row r="798" spans="2:13" s="11" customFormat="1" x14ac:dyDescent="0.2">
      <c r="B798" s="24">
        <v>1936.05</v>
      </c>
      <c r="C798" s="25">
        <v>14.09</v>
      </c>
      <c r="D798" s="40">
        <f t="shared" si="9"/>
        <v>14.021666666666667</v>
      </c>
      <c r="E798" s="40">
        <f t="shared" si="10"/>
        <v>13.4575</v>
      </c>
      <c r="F798" s="12"/>
      <c r="G798" s="18" t="str">
        <f t="shared" si="11"/>
        <v>Yes</v>
      </c>
      <c r="H798" s="12"/>
      <c r="I798" s="39" t="str">
        <f>IF(BuyAllowed="Yes",IF(AND(G798 = "No", C798&gt;D798), "Yes", "No"),"No")</f>
        <v>No</v>
      </c>
      <c r="J798" s="39" t="str">
        <f>IF(SellAllowed="Yes",IF(AND(G798 = "Yes", C798&lt;E798), "Yes", "No"),"No")</f>
        <v>No</v>
      </c>
      <c r="K798" s="39">
        <f>IF(I798 = "Yes", M797/(C798+CostBuy), IF(J798 = "Yes", 0, K797))</f>
        <v>58700.150152854243</v>
      </c>
      <c r="M798" s="19">
        <f>IF(I798 = "Yes", M797-(C798+CostBuy)*K798, IF(J798="Yes", M797+(C798-CostSell)*K797, M797+K798*Rate))</f>
        <v>38155.097599355257</v>
      </c>
    </row>
    <row r="799" spans="2:13" s="11" customFormat="1" x14ac:dyDescent="0.2">
      <c r="B799" s="24">
        <v>1936.06</v>
      </c>
      <c r="C799" s="25">
        <v>14.69</v>
      </c>
      <c r="D799" s="40">
        <f t="shared" si="9"/>
        <v>14.196666666666665</v>
      </c>
      <c r="E799" s="40">
        <f t="shared" si="10"/>
        <v>13.7675</v>
      </c>
      <c r="F799" s="12"/>
      <c r="G799" s="18" t="str">
        <f t="shared" si="11"/>
        <v>Yes</v>
      </c>
      <c r="H799" s="12"/>
      <c r="I799" s="39" t="str">
        <f>IF(BuyAllowed="Yes",IF(AND(G799 = "No", C799&gt;D799), "Yes", "No"),"No")</f>
        <v>No</v>
      </c>
      <c r="J799" s="39" t="str">
        <f>IF(SellAllowed="Yes",IF(AND(G799 = "Yes", C799&lt;E799), "Yes", "No"),"No")</f>
        <v>No</v>
      </c>
      <c r="K799" s="39">
        <f>IF(I799 = "Yes", M798/(C799+CostBuy), IF(J799 = "Yes", 0, K798))</f>
        <v>58700.150152854243</v>
      </c>
      <c r="M799" s="19">
        <f>IF(I799 = "Yes", M798-(C799+CostBuy)*K799, IF(J799="Yes", M798+(C799-CostSell)*K798, M798+K799*Rate))</f>
        <v>41090.105106997966</v>
      </c>
    </row>
    <row r="800" spans="2:13" s="11" customFormat="1" x14ac:dyDescent="0.2">
      <c r="B800" s="24">
        <v>1936.07</v>
      </c>
      <c r="C800" s="25">
        <v>15.56</v>
      </c>
      <c r="D800" s="40">
        <f t="shared" si="9"/>
        <v>14.471666666666666</v>
      </c>
      <c r="E800" s="40">
        <f t="shared" si="10"/>
        <v>14.11375</v>
      </c>
      <c r="F800" s="12"/>
      <c r="G800" s="18" t="str">
        <f t="shared" si="11"/>
        <v>Yes</v>
      </c>
      <c r="H800" s="12"/>
      <c r="I800" s="39" t="str">
        <f>IF(BuyAllowed="Yes",IF(AND(G800 = "No", C800&gt;D800), "Yes", "No"),"No")</f>
        <v>No</v>
      </c>
      <c r="J800" s="39" t="str">
        <f>IF(SellAllowed="Yes",IF(AND(G800 = "Yes", C800&lt;E800), "Yes", "No"),"No")</f>
        <v>No</v>
      </c>
      <c r="K800" s="39">
        <f>IF(I800 = "Yes", M799/(C800+CostBuy), IF(J800 = "Yes", 0, K799))</f>
        <v>58700.150152854243</v>
      </c>
      <c r="M800" s="19">
        <f>IF(I800 = "Yes", M799-(C800+CostBuy)*K800, IF(J800="Yes", M799+(C800-CostSell)*K799, M799+K800*Rate))</f>
        <v>44025.112614640675</v>
      </c>
    </row>
    <row r="801" spans="2:13" s="11" customFormat="1" x14ac:dyDescent="0.2">
      <c r="B801" s="24">
        <v>1936.08</v>
      </c>
      <c r="C801" s="25">
        <v>15.87</v>
      </c>
      <c r="D801" s="40">
        <f t="shared" si="9"/>
        <v>14.771666666666667</v>
      </c>
      <c r="E801" s="40">
        <f t="shared" si="10"/>
        <v>14.428749999999999</v>
      </c>
      <c r="F801" s="12"/>
      <c r="G801" s="18" t="str">
        <f t="shared" si="11"/>
        <v>Yes</v>
      </c>
      <c r="H801" s="12"/>
      <c r="I801" s="39" t="str">
        <f>IF(BuyAllowed="Yes",IF(AND(G801 = "No", C801&gt;D801), "Yes", "No"),"No")</f>
        <v>No</v>
      </c>
      <c r="J801" s="39" t="str">
        <f>IF(SellAllowed="Yes",IF(AND(G801 = "Yes", C801&lt;E801), "Yes", "No"),"No")</f>
        <v>No</v>
      </c>
      <c r="K801" s="39">
        <f>IF(I801 = "Yes", M800/(C801+CostBuy), IF(J801 = "Yes", 0, K800))</f>
        <v>58700.150152854243</v>
      </c>
      <c r="M801" s="19">
        <f>IF(I801 = "Yes", M800-(C801+CostBuy)*K801, IF(J801="Yes", M800+(C801-CostSell)*K800, M800+K801*Rate))</f>
        <v>46960.120122283384</v>
      </c>
    </row>
    <row r="802" spans="2:13" s="11" customFormat="1" x14ac:dyDescent="0.2">
      <c r="B802" s="24">
        <v>1936.09</v>
      </c>
      <c r="C802" s="25">
        <v>16.05</v>
      </c>
      <c r="D802" s="40">
        <f t="shared" si="9"/>
        <v>14.991666666666667</v>
      </c>
      <c r="E802" s="40">
        <f t="shared" si="10"/>
        <v>14.782500000000001</v>
      </c>
      <c r="F802" s="12"/>
      <c r="G802" s="18" t="str">
        <f t="shared" si="11"/>
        <v>Yes</v>
      </c>
      <c r="H802" s="12"/>
      <c r="I802" s="39" t="str">
        <f>IF(BuyAllowed="Yes",IF(AND(G802 = "No", C802&gt;D802), "Yes", "No"),"No")</f>
        <v>No</v>
      </c>
      <c r="J802" s="39" t="str">
        <f>IF(SellAllowed="Yes",IF(AND(G802 = "Yes", C802&lt;E802), "Yes", "No"),"No")</f>
        <v>No</v>
      </c>
      <c r="K802" s="39">
        <f>IF(I802 = "Yes", M801/(C802+CostBuy), IF(J802 = "Yes", 0, K801))</f>
        <v>58700.150152854243</v>
      </c>
      <c r="M802" s="19">
        <f>IF(I802 = "Yes", M801-(C802+CostBuy)*K802, IF(J802="Yes", M801+(C802-CostSell)*K801, M801+K802*Rate))</f>
        <v>49895.127629926094</v>
      </c>
    </row>
    <row r="803" spans="2:13" s="11" customFormat="1" x14ac:dyDescent="0.2">
      <c r="B803" s="24">
        <v>1936.1</v>
      </c>
      <c r="C803" s="25">
        <v>16.89</v>
      </c>
      <c r="D803" s="40">
        <f t="shared" si="9"/>
        <v>15.19</v>
      </c>
      <c r="E803" s="40">
        <f t="shared" si="10"/>
        <v>15.06875</v>
      </c>
      <c r="F803" s="12"/>
      <c r="G803" s="18" t="str">
        <f t="shared" si="11"/>
        <v>Yes</v>
      </c>
      <c r="H803" s="12"/>
      <c r="I803" s="39" t="str">
        <f>IF(BuyAllowed="Yes",IF(AND(G803 = "No", C803&gt;D803), "Yes", "No"),"No")</f>
        <v>No</v>
      </c>
      <c r="J803" s="39" t="str">
        <f>IF(SellAllowed="Yes",IF(AND(G803 = "Yes", C803&lt;E803), "Yes", "No"),"No")</f>
        <v>No</v>
      </c>
      <c r="K803" s="39">
        <f>IF(I803 = "Yes", M802/(C803+CostBuy), IF(J803 = "Yes", 0, K802))</f>
        <v>58700.150152854243</v>
      </c>
      <c r="M803" s="19">
        <f>IF(I803 = "Yes", M802-(C803+CostBuy)*K803, IF(J803="Yes", M802+(C803-CostSell)*K802, M802+K803*Rate))</f>
        <v>52830.135137568803</v>
      </c>
    </row>
    <row r="804" spans="2:13" s="11" customFormat="1" x14ac:dyDescent="0.2">
      <c r="B804" s="24">
        <v>1936.11</v>
      </c>
      <c r="C804" s="25">
        <v>17.36</v>
      </c>
      <c r="D804" s="40">
        <f t="shared" si="9"/>
        <v>15.525</v>
      </c>
      <c r="E804" s="40">
        <f t="shared" si="10"/>
        <v>15.36125</v>
      </c>
      <c r="F804" s="12"/>
      <c r="G804" s="18" t="str">
        <f t="shared" si="11"/>
        <v>Yes</v>
      </c>
      <c r="H804" s="12"/>
      <c r="I804" s="39" t="str">
        <f>IF(BuyAllowed="Yes",IF(AND(G804 = "No", C804&gt;D804), "Yes", "No"),"No")</f>
        <v>No</v>
      </c>
      <c r="J804" s="39" t="str">
        <f>IF(SellAllowed="Yes",IF(AND(G804 = "Yes", C804&lt;E804), "Yes", "No"),"No")</f>
        <v>No</v>
      </c>
      <c r="K804" s="39">
        <f>IF(I804 = "Yes", M803/(C804+CostBuy), IF(J804 = "Yes", 0, K803))</f>
        <v>58700.150152854243</v>
      </c>
      <c r="M804" s="19">
        <f>IF(I804 = "Yes", M803-(C804+CostBuy)*K804, IF(J804="Yes", M803+(C804-CostSell)*K803, M803+K804*Rate))</f>
        <v>55765.142645211512</v>
      </c>
    </row>
    <row r="805" spans="2:13" s="11" customFormat="1" x14ac:dyDescent="0.2">
      <c r="B805" s="24">
        <v>1936.12</v>
      </c>
      <c r="C805" s="25">
        <v>17.059999999999999</v>
      </c>
      <c r="D805" s="40">
        <f t="shared" si="9"/>
        <v>16.07</v>
      </c>
      <c r="E805" s="40">
        <f t="shared" si="10"/>
        <v>15.67375</v>
      </c>
      <c r="F805" s="12"/>
      <c r="G805" s="18" t="str">
        <f t="shared" si="11"/>
        <v>Yes</v>
      </c>
      <c r="H805" s="12"/>
      <c r="I805" s="39" t="str">
        <f>IF(BuyAllowed="Yes",IF(AND(G805 = "No", C805&gt;D805), "Yes", "No"),"No")</f>
        <v>No</v>
      </c>
      <c r="J805" s="39" t="str">
        <f>IF(SellAllowed="Yes",IF(AND(G805 = "Yes", C805&lt;E805), "Yes", "No"),"No")</f>
        <v>No</v>
      </c>
      <c r="K805" s="39">
        <f>IF(I805 = "Yes", M804/(C805+CostBuy), IF(J805 = "Yes", 0, K804))</f>
        <v>58700.150152854243</v>
      </c>
      <c r="M805" s="19">
        <f>IF(I805 = "Yes", M804-(C805+CostBuy)*K805, IF(J805="Yes", M804+(C805-CostSell)*K804, M804+K805*Rate))</f>
        <v>58700.150152854221</v>
      </c>
    </row>
    <row r="806" spans="2:13" s="11" customFormat="1" x14ac:dyDescent="0.2">
      <c r="B806" s="24">
        <v>1937.01</v>
      </c>
      <c r="C806" s="25">
        <v>17.59</v>
      </c>
      <c r="D806" s="40">
        <f t="shared" si="9"/>
        <v>16.465</v>
      </c>
      <c r="E806" s="40">
        <f t="shared" si="10"/>
        <v>15.946250000000001</v>
      </c>
      <c r="F806" s="12"/>
      <c r="G806" s="18" t="str">
        <f t="shared" si="11"/>
        <v>Yes</v>
      </c>
      <c r="H806" s="12"/>
      <c r="I806" s="39" t="str">
        <f>IF(BuyAllowed="Yes",IF(AND(G806 = "No", C806&gt;D806), "Yes", "No"),"No")</f>
        <v>No</v>
      </c>
      <c r="J806" s="39" t="str">
        <f>IF(SellAllowed="Yes",IF(AND(G806 = "Yes", C806&lt;E806), "Yes", "No"),"No")</f>
        <v>No</v>
      </c>
      <c r="K806" s="39">
        <f>IF(I806 = "Yes", M805/(C806+CostBuy), IF(J806 = "Yes", 0, K805))</f>
        <v>58700.150152854243</v>
      </c>
      <c r="M806" s="19">
        <f>IF(I806 = "Yes", M805-(C806+CostBuy)*K806, IF(J806="Yes", M805+(C806-CostSell)*K805, M805+K806*Rate))</f>
        <v>61635.15766049693</v>
      </c>
    </row>
    <row r="807" spans="2:13" s="11" customFormat="1" x14ac:dyDescent="0.2">
      <c r="B807" s="24">
        <v>1937.02</v>
      </c>
      <c r="C807" s="25">
        <v>18.11</v>
      </c>
      <c r="D807" s="40">
        <f t="shared" si="9"/>
        <v>16.803333333333335</v>
      </c>
      <c r="E807" s="40">
        <f t="shared" si="10"/>
        <v>16.383749999999999</v>
      </c>
      <c r="F807" s="12"/>
      <c r="G807" s="18" t="str">
        <f t="shared" si="11"/>
        <v>Yes</v>
      </c>
      <c r="H807" s="12"/>
      <c r="I807" s="39" t="str">
        <f>IF(BuyAllowed="Yes",IF(AND(G807 = "No", C807&gt;D807), "Yes", "No"),"No")</f>
        <v>No</v>
      </c>
      <c r="J807" s="39" t="str">
        <f>IF(SellAllowed="Yes",IF(AND(G807 = "Yes", C807&lt;E807), "Yes", "No"),"No")</f>
        <v>No</v>
      </c>
      <c r="K807" s="39">
        <f>IF(I807 = "Yes", M806/(C807+CostBuy), IF(J807 = "Yes", 0, K806))</f>
        <v>58700.150152854243</v>
      </c>
      <c r="M807" s="19">
        <f>IF(I807 = "Yes", M806-(C807+CostBuy)*K807, IF(J807="Yes", M806+(C807-CostSell)*K806, M806+K807*Rate))</f>
        <v>64570.16516813964</v>
      </c>
    </row>
    <row r="808" spans="2:13" s="11" customFormat="1" x14ac:dyDescent="0.2">
      <c r="B808" s="24">
        <v>1937.03</v>
      </c>
      <c r="C808" s="25">
        <v>18.09</v>
      </c>
      <c r="D808" s="40">
        <f t="shared" si="9"/>
        <v>17.176666666666666</v>
      </c>
      <c r="E808" s="40">
        <f t="shared" si="10"/>
        <v>16.811250000000001</v>
      </c>
      <c r="F808" s="12"/>
      <c r="G808" s="18" t="str">
        <f t="shared" si="11"/>
        <v>Yes</v>
      </c>
      <c r="H808" s="12"/>
      <c r="I808" s="39" t="str">
        <f>IF(BuyAllowed="Yes",IF(AND(G808 = "No", C808&gt;D808), "Yes", "No"),"No")</f>
        <v>No</v>
      </c>
      <c r="J808" s="39" t="str">
        <f>IF(SellAllowed="Yes",IF(AND(G808 = "Yes", C808&lt;E808), "Yes", "No"),"No")</f>
        <v>No</v>
      </c>
      <c r="K808" s="39">
        <f>IF(I808 = "Yes", M807/(C808+CostBuy), IF(J808 = "Yes", 0, K807))</f>
        <v>58700.150152854243</v>
      </c>
      <c r="M808" s="19">
        <f>IF(I808 = "Yes", M807-(C808+CostBuy)*K808, IF(J808="Yes", M807+(C808-CostSell)*K807, M807+K808*Rate))</f>
        <v>67505.172675782349</v>
      </c>
    </row>
    <row r="809" spans="2:13" s="11" customFormat="1" x14ac:dyDescent="0.2">
      <c r="B809" s="24">
        <v>1937.04</v>
      </c>
      <c r="C809" s="25">
        <v>17.010000000000002</v>
      </c>
      <c r="D809" s="40">
        <f t="shared" si="9"/>
        <v>17.516666666666669</v>
      </c>
      <c r="E809" s="40">
        <f t="shared" si="10"/>
        <v>17.127500000000001</v>
      </c>
      <c r="F809" s="12"/>
      <c r="G809" s="18" t="str">
        <f t="shared" si="11"/>
        <v>Yes</v>
      </c>
      <c r="H809" s="12"/>
      <c r="I809" s="39" t="str">
        <f>IF(BuyAllowed="Yes",IF(AND(G809 = "No", C809&gt;D809), "Yes", "No"),"No")</f>
        <v>No</v>
      </c>
      <c r="J809" s="39" t="str">
        <f>IF(SellAllowed="Yes",IF(AND(G809 = "Yes", C809&lt;E809), "Yes", "No"),"No")</f>
        <v>Yes</v>
      </c>
      <c r="K809" s="39">
        <f>IF(I809 = "Yes", M808/(C809+CostBuy), IF(J809 = "Yes", 0, K808))</f>
        <v>0</v>
      </c>
      <c r="M809" s="19">
        <f>IF(I809 = "Yes", M808-(C809+CostBuy)*K809, IF(J809="Yes", M808+(C809-CostSell)*K808, M808+K809*Rate))</f>
        <v>1062472.7177666619</v>
      </c>
    </row>
    <row r="810" spans="2:13" s="11" customFormat="1" x14ac:dyDescent="0.2">
      <c r="B810" s="24">
        <v>1937.05</v>
      </c>
      <c r="C810" s="25">
        <v>16.25</v>
      </c>
      <c r="D810" s="40">
        <f t="shared" si="9"/>
        <v>17.536666666666669</v>
      </c>
      <c r="E810" s="40">
        <f t="shared" si="10"/>
        <v>17.27</v>
      </c>
      <c r="F810" s="12"/>
      <c r="G810" s="18" t="str">
        <f t="shared" si="11"/>
        <v>No</v>
      </c>
      <c r="H810" s="12"/>
      <c r="I810" s="39" t="str">
        <f>IF(BuyAllowed="Yes",IF(AND(G810 = "No", C810&gt;D810), "Yes", "No"),"No")</f>
        <v>No</v>
      </c>
      <c r="J810" s="39" t="str">
        <f>IF(SellAllowed="Yes",IF(AND(G810 = "Yes", C810&lt;E810), "Yes", "No"),"No")</f>
        <v>No</v>
      </c>
      <c r="K810" s="39">
        <f>IF(I810 = "Yes", M809/(C810+CostBuy), IF(J810 = "Yes", 0, K809))</f>
        <v>0</v>
      </c>
      <c r="M810" s="19">
        <f>IF(I810 = "Yes", M809-(C810+CostBuy)*K810, IF(J810="Yes", M809+(C810-CostSell)*K809, M809+K810*Rate))</f>
        <v>1062472.7177666619</v>
      </c>
    </row>
    <row r="811" spans="2:13" s="11" customFormat="1" x14ac:dyDescent="0.2">
      <c r="B811" s="24">
        <v>1937.06</v>
      </c>
      <c r="C811" s="25">
        <v>15.64</v>
      </c>
      <c r="D811" s="40">
        <f t="shared" si="9"/>
        <v>17.351666666666667</v>
      </c>
      <c r="E811" s="40">
        <f t="shared" si="10"/>
        <v>17.295000000000002</v>
      </c>
      <c r="F811" s="12"/>
      <c r="G811" s="18" t="str">
        <f t="shared" si="11"/>
        <v>No</v>
      </c>
      <c r="H811" s="12"/>
      <c r="I811" s="39" t="str">
        <f>IF(BuyAllowed="Yes",IF(AND(G811 = "No", C811&gt;D811), "Yes", "No"),"No")</f>
        <v>No</v>
      </c>
      <c r="J811" s="39" t="str">
        <f>IF(SellAllowed="Yes",IF(AND(G811 = "Yes", C811&lt;E811), "Yes", "No"),"No")</f>
        <v>No</v>
      </c>
      <c r="K811" s="39">
        <f>IF(I811 = "Yes", M810/(C811+CostBuy), IF(J811 = "Yes", 0, K810))</f>
        <v>0</v>
      </c>
      <c r="M811" s="19">
        <f>IF(I811 = "Yes", M810-(C811+CostBuy)*K811, IF(J811="Yes", M810+(C811-CostSell)*K810, M810+K811*Rate))</f>
        <v>1062472.7177666619</v>
      </c>
    </row>
    <row r="812" spans="2:13" s="11" customFormat="1" x14ac:dyDescent="0.2">
      <c r="B812" s="24">
        <v>1937.07</v>
      </c>
      <c r="C812" s="25">
        <v>16.57</v>
      </c>
      <c r="D812" s="40">
        <f t="shared" si="9"/>
        <v>17.115000000000002</v>
      </c>
      <c r="E812" s="40">
        <f t="shared" si="10"/>
        <v>17.138750000000002</v>
      </c>
      <c r="F812" s="12"/>
      <c r="G812" s="18" t="str">
        <f t="shared" si="11"/>
        <v>No</v>
      </c>
      <c r="H812" s="12"/>
      <c r="I812" s="39" t="str">
        <f>IF(BuyAllowed="Yes",IF(AND(G812 = "No", C812&gt;D812), "Yes", "No"),"No")</f>
        <v>No</v>
      </c>
      <c r="J812" s="39" t="str">
        <f>IF(SellAllowed="Yes",IF(AND(G812 = "Yes", C812&lt;E812), "Yes", "No"),"No")</f>
        <v>No</v>
      </c>
      <c r="K812" s="39">
        <f>IF(I812 = "Yes", M811/(C812+CostBuy), IF(J812 = "Yes", 0, K811))</f>
        <v>0</v>
      </c>
      <c r="M812" s="19">
        <f>IF(I812 = "Yes", M811-(C812+CostBuy)*K812, IF(J812="Yes", M811+(C812-CostSell)*K811, M811+K812*Rate))</f>
        <v>1062472.7177666619</v>
      </c>
    </row>
    <row r="813" spans="2:13" s="11" customFormat="1" x14ac:dyDescent="0.2">
      <c r="B813" s="24">
        <v>1937.08</v>
      </c>
      <c r="C813" s="25">
        <v>16.739999999999998</v>
      </c>
      <c r="D813" s="40">
        <f t="shared" si="9"/>
        <v>16.945000000000004</v>
      </c>
      <c r="E813" s="40">
        <f t="shared" si="10"/>
        <v>17.04</v>
      </c>
      <c r="F813" s="12"/>
      <c r="G813" s="18" t="str">
        <f t="shared" si="11"/>
        <v>No</v>
      </c>
      <c r="H813" s="12"/>
      <c r="I813" s="39" t="str">
        <f>IF(BuyAllowed="Yes",IF(AND(G813 = "No", C813&gt;D813), "Yes", "No"),"No")</f>
        <v>No</v>
      </c>
      <c r="J813" s="39" t="str">
        <f>IF(SellAllowed="Yes",IF(AND(G813 = "Yes", C813&lt;E813), "Yes", "No"),"No")</f>
        <v>No</v>
      </c>
      <c r="K813" s="39">
        <f>IF(I813 = "Yes", M812/(C813+CostBuy), IF(J813 = "Yes", 0, K812))</f>
        <v>0</v>
      </c>
      <c r="M813" s="19">
        <f>IF(I813 = "Yes", M812-(C813+CostBuy)*K813, IF(J813="Yes", M812+(C813-CostSell)*K812, M812+K813*Rate))</f>
        <v>1062472.7177666619</v>
      </c>
    </row>
    <row r="814" spans="2:13" s="11" customFormat="1" x14ac:dyDescent="0.2">
      <c r="B814" s="24">
        <v>1937.09</v>
      </c>
      <c r="C814" s="25">
        <v>14.37</v>
      </c>
      <c r="D814" s="40">
        <f t="shared" si="9"/>
        <v>16.716666666666665</v>
      </c>
      <c r="E814" s="40">
        <f t="shared" si="10"/>
        <v>17.000000000000004</v>
      </c>
      <c r="F814" s="12"/>
      <c r="G814" s="18" t="str">
        <f t="shared" si="11"/>
        <v>No</v>
      </c>
      <c r="H814" s="12"/>
      <c r="I814" s="39" t="str">
        <f>IF(BuyAllowed="Yes",IF(AND(G814 = "No", C814&gt;D814), "Yes", "No"),"No")</f>
        <v>No</v>
      </c>
      <c r="J814" s="39" t="str">
        <f>IF(SellAllowed="Yes",IF(AND(G814 = "Yes", C814&lt;E814), "Yes", "No"),"No")</f>
        <v>No</v>
      </c>
      <c r="K814" s="39">
        <f>IF(I814 = "Yes", M813/(C814+CostBuy), IF(J814 = "Yes", 0, K813))</f>
        <v>0</v>
      </c>
      <c r="M814" s="19">
        <f>IF(I814 = "Yes", M813-(C814+CostBuy)*K814, IF(J814="Yes", M813+(C814-CostSell)*K813, M813+K814*Rate))</f>
        <v>1062472.7177666619</v>
      </c>
    </row>
    <row r="815" spans="2:13" s="11" customFormat="1" x14ac:dyDescent="0.2">
      <c r="B815" s="24">
        <v>1937.1</v>
      </c>
      <c r="C815" s="25">
        <v>12.28</v>
      </c>
      <c r="D815" s="40">
        <f t="shared" si="9"/>
        <v>16.096666666666668</v>
      </c>
      <c r="E815" s="40">
        <f t="shared" si="10"/>
        <v>16.5975</v>
      </c>
      <c r="F815" s="12"/>
      <c r="G815" s="18" t="str">
        <f t="shared" si="11"/>
        <v>No</v>
      </c>
      <c r="H815" s="12"/>
      <c r="I815" s="39" t="str">
        <f>IF(BuyAllowed="Yes",IF(AND(G815 = "No", C815&gt;D815), "Yes", "No"),"No")</f>
        <v>No</v>
      </c>
      <c r="J815" s="39" t="str">
        <f>IF(SellAllowed="Yes",IF(AND(G815 = "Yes", C815&lt;E815), "Yes", "No"),"No")</f>
        <v>No</v>
      </c>
      <c r="K815" s="39">
        <f>IF(I815 = "Yes", M814/(C815+CostBuy), IF(J815 = "Yes", 0, K814))</f>
        <v>0</v>
      </c>
      <c r="M815" s="19">
        <f>IF(I815 = "Yes", M814-(C815+CostBuy)*K815, IF(J815="Yes", M814+(C815-CostSell)*K814, M814+K815*Rate))</f>
        <v>1062472.7177666619</v>
      </c>
    </row>
    <row r="816" spans="2:13" s="11" customFormat="1" x14ac:dyDescent="0.2">
      <c r="B816" s="24">
        <v>1937.11</v>
      </c>
      <c r="C816" s="25">
        <v>11.2</v>
      </c>
      <c r="D816" s="40">
        <f t="shared" si="9"/>
        <v>15.308333333333335</v>
      </c>
      <c r="E816" s="40">
        <f t="shared" si="10"/>
        <v>15.86875</v>
      </c>
      <c r="F816" s="12"/>
      <c r="G816" s="18" t="str">
        <f t="shared" si="11"/>
        <v>No</v>
      </c>
      <c r="H816" s="12"/>
      <c r="I816" s="39" t="str">
        <f>IF(BuyAllowed="Yes",IF(AND(G816 = "No", C816&gt;D816), "Yes", "No"),"No")</f>
        <v>No</v>
      </c>
      <c r="J816" s="39" t="str">
        <f>IF(SellAllowed="Yes",IF(AND(G816 = "Yes", C816&lt;E816), "Yes", "No"),"No")</f>
        <v>No</v>
      </c>
      <c r="K816" s="39">
        <f>IF(I816 = "Yes", M815/(C816+CostBuy), IF(J816 = "Yes", 0, K815))</f>
        <v>0</v>
      </c>
      <c r="M816" s="19">
        <f>IF(I816 = "Yes", M815-(C816+CostBuy)*K816, IF(J816="Yes", M815+(C816-CostSell)*K815, M815+K816*Rate))</f>
        <v>1062472.7177666619</v>
      </c>
    </row>
    <row r="817" spans="2:13" s="11" customFormat="1" x14ac:dyDescent="0.2">
      <c r="B817" s="24">
        <v>1937.12</v>
      </c>
      <c r="C817" s="25">
        <v>11.02</v>
      </c>
      <c r="D817" s="40">
        <f t="shared" si="9"/>
        <v>14.466666666666667</v>
      </c>
      <c r="E817" s="40">
        <f t="shared" si="10"/>
        <v>15.0075</v>
      </c>
      <c r="F817" s="12"/>
      <c r="G817" s="18" t="str">
        <f t="shared" si="11"/>
        <v>No</v>
      </c>
      <c r="H817" s="12"/>
      <c r="I817" s="39" t="str">
        <f>IF(BuyAllowed="Yes",IF(AND(G817 = "No", C817&gt;D817), "Yes", "No"),"No")</f>
        <v>No</v>
      </c>
      <c r="J817" s="39" t="str">
        <f>IF(SellAllowed="Yes",IF(AND(G817 = "Yes", C817&lt;E817), "Yes", "No"),"No")</f>
        <v>No</v>
      </c>
      <c r="K817" s="39">
        <f>IF(I817 = "Yes", M816/(C817+CostBuy), IF(J817 = "Yes", 0, K816))</f>
        <v>0</v>
      </c>
      <c r="M817" s="19">
        <f>IF(I817 = "Yes", M816-(C817+CostBuy)*K817, IF(J817="Yes", M816+(C817-CostSell)*K816, M816+K817*Rate))</f>
        <v>1062472.7177666619</v>
      </c>
    </row>
    <row r="818" spans="2:13" s="11" customFormat="1" x14ac:dyDescent="0.2">
      <c r="B818" s="24">
        <v>1938.01</v>
      </c>
      <c r="C818" s="25">
        <v>11.31</v>
      </c>
      <c r="D818" s="40">
        <f t="shared" si="9"/>
        <v>13.696666666666665</v>
      </c>
      <c r="E818" s="40">
        <f t="shared" si="10"/>
        <v>14.258750000000001</v>
      </c>
      <c r="F818" s="12"/>
      <c r="G818" s="18" t="str">
        <f t="shared" si="11"/>
        <v>No</v>
      </c>
      <c r="H818" s="12"/>
      <c r="I818" s="39" t="str">
        <f>IF(BuyAllowed="Yes",IF(AND(G818 = "No", C818&gt;D818), "Yes", "No"),"No")</f>
        <v>No</v>
      </c>
      <c r="J818" s="39" t="str">
        <f>IF(SellAllowed="Yes",IF(AND(G818 = "Yes", C818&lt;E818), "Yes", "No"),"No")</f>
        <v>No</v>
      </c>
      <c r="K818" s="39">
        <f>IF(I818 = "Yes", M817/(C818+CostBuy), IF(J818 = "Yes", 0, K817))</f>
        <v>0</v>
      </c>
      <c r="M818" s="19">
        <f>IF(I818 = "Yes", M817-(C818+CostBuy)*K818, IF(J818="Yes", M817+(C818-CostSell)*K817, M817+K818*Rate))</f>
        <v>1062472.7177666619</v>
      </c>
    </row>
    <row r="819" spans="2:13" s="11" customFormat="1" x14ac:dyDescent="0.2">
      <c r="B819" s="24">
        <v>1938.02</v>
      </c>
      <c r="C819" s="25">
        <v>11.04</v>
      </c>
      <c r="D819" s="40">
        <f t="shared" si="9"/>
        <v>12.82</v>
      </c>
      <c r="E819" s="40">
        <f t="shared" si="10"/>
        <v>13.641249999999999</v>
      </c>
      <c r="F819" s="12"/>
      <c r="G819" s="18" t="str">
        <f t="shared" si="11"/>
        <v>No</v>
      </c>
      <c r="H819" s="12"/>
      <c r="I819" s="39" t="str">
        <f>IF(BuyAllowed="Yes",IF(AND(G819 = "No", C819&gt;D819), "Yes", "No"),"No")</f>
        <v>No</v>
      </c>
      <c r="J819" s="39" t="str">
        <f>IF(SellAllowed="Yes",IF(AND(G819 = "Yes", C819&lt;E819), "Yes", "No"),"No")</f>
        <v>No</v>
      </c>
      <c r="K819" s="39">
        <f>IF(I819 = "Yes", M818/(C819+CostBuy), IF(J819 = "Yes", 0, K818))</f>
        <v>0</v>
      </c>
      <c r="M819" s="19">
        <f>IF(I819 = "Yes", M818-(C819+CostBuy)*K819, IF(J819="Yes", M818+(C819-CostSell)*K818, M818+K819*Rate))</f>
        <v>1062472.7177666619</v>
      </c>
    </row>
    <row r="820" spans="2:13" s="11" customFormat="1" x14ac:dyDescent="0.2">
      <c r="B820" s="24">
        <v>1938.03</v>
      </c>
      <c r="C820" s="25">
        <v>10.31</v>
      </c>
      <c r="D820" s="40">
        <f t="shared" si="9"/>
        <v>11.87</v>
      </c>
      <c r="E820" s="40">
        <f t="shared" si="10"/>
        <v>13.06625</v>
      </c>
      <c r="F820" s="12"/>
      <c r="G820" s="18" t="str">
        <f t="shared" si="11"/>
        <v>No</v>
      </c>
      <c r="H820" s="12"/>
      <c r="I820" s="39" t="str">
        <f>IF(BuyAllowed="Yes",IF(AND(G820 = "No", C820&gt;D820), "Yes", "No"),"No")</f>
        <v>No</v>
      </c>
      <c r="J820" s="39" t="str">
        <f>IF(SellAllowed="Yes",IF(AND(G820 = "Yes", C820&lt;E820), "Yes", "No"),"No")</f>
        <v>No</v>
      </c>
      <c r="K820" s="39">
        <f>IF(I820 = "Yes", M819/(C820+CostBuy), IF(J820 = "Yes", 0, K819))</f>
        <v>0</v>
      </c>
      <c r="M820" s="19">
        <f>IF(I820 = "Yes", M819-(C820+CostBuy)*K820, IF(J820="Yes", M819+(C820-CostSell)*K819, M819+K820*Rate))</f>
        <v>1062472.7177666619</v>
      </c>
    </row>
    <row r="821" spans="2:13" s="11" customFormat="1" x14ac:dyDescent="0.2">
      <c r="B821" s="24">
        <v>1938.04</v>
      </c>
      <c r="C821" s="25">
        <v>9.89</v>
      </c>
      <c r="D821" s="40">
        <f t="shared" si="9"/>
        <v>11.193333333333333</v>
      </c>
      <c r="E821" s="40">
        <f t="shared" si="10"/>
        <v>12.283750000000001</v>
      </c>
      <c r="F821" s="12"/>
      <c r="G821" s="18" t="str">
        <f t="shared" si="11"/>
        <v>No</v>
      </c>
      <c r="H821" s="12"/>
      <c r="I821" s="39" t="str">
        <f>IF(BuyAllowed="Yes",IF(AND(G821 = "No", C821&gt;D821), "Yes", "No"),"No")</f>
        <v>No</v>
      </c>
      <c r="J821" s="39" t="str">
        <f>IF(SellAllowed="Yes",IF(AND(G821 = "Yes", C821&lt;E821), "Yes", "No"),"No")</f>
        <v>No</v>
      </c>
      <c r="K821" s="39">
        <f>IF(I821 = "Yes", M820/(C821+CostBuy), IF(J821 = "Yes", 0, K820))</f>
        <v>0</v>
      </c>
      <c r="M821" s="19">
        <f>IF(I821 = "Yes", M820-(C821+CostBuy)*K821, IF(J821="Yes", M820+(C821-CostSell)*K820, M820+K821*Rate))</f>
        <v>1062472.7177666619</v>
      </c>
    </row>
    <row r="822" spans="2:13" s="11" customFormat="1" x14ac:dyDescent="0.2">
      <c r="B822" s="24">
        <v>1938.05</v>
      </c>
      <c r="C822" s="25">
        <v>9.98</v>
      </c>
      <c r="D822" s="40">
        <f t="shared" si="9"/>
        <v>10.795000000000002</v>
      </c>
      <c r="E822" s="40">
        <f t="shared" si="10"/>
        <v>11.4275</v>
      </c>
      <c r="F822" s="12"/>
      <c r="G822" s="18" t="str">
        <f t="shared" si="11"/>
        <v>No</v>
      </c>
      <c r="H822" s="12"/>
      <c r="I822" s="39" t="str">
        <f>IF(BuyAllowed="Yes",IF(AND(G822 = "No", C822&gt;D822), "Yes", "No"),"No")</f>
        <v>No</v>
      </c>
      <c r="J822" s="39" t="str">
        <f>IF(SellAllowed="Yes",IF(AND(G822 = "Yes", C822&lt;E822), "Yes", "No"),"No")</f>
        <v>No</v>
      </c>
      <c r="K822" s="39">
        <f>IF(I822 = "Yes", M821/(C822+CostBuy), IF(J822 = "Yes", 0, K821))</f>
        <v>0</v>
      </c>
      <c r="M822" s="19">
        <f>IF(I822 = "Yes", M821-(C822+CostBuy)*K822, IF(J822="Yes", M821+(C822-CostSell)*K821, M821+K822*Rate))</f>
        <v>1062472.7177666619</v>
      </c>
    </row>
    <row r="823" spans="2:13" s="11" customFormat="1" x14ac:dyDescent="0.2">
      <c r="B823" s="24">
        <v>1938.06</v>
      </c>
      <c r="C823" s="25">
        <v>10.210000000000001</v>
      </c>
      <c r="D823" s="40">
        <f t="shared" si="9"/>
        <v>10.591666666666667</v>
      </c>
      <c r="E823" s="40">
        <f t="shared" si="10"/>
        <v>10.87875</v>
      </c>
      <c r="F823" s="12"/>
      <c r="G823" s="18" t="str">
        <f t="shared" si="11"/>
        <v>No</v>
      </c>
      <c r="H823" s="12"/>
      <c r="I823" s="39" t="str">
        <f>IF(BuyAllowed="Yes",IF(AND(G823 = "No", C823&gt;D823), "Yes", "No"),"No")</f>
        <v>No</v>
      </c>
      <c r="J823" s="39" t="str">
        <f>IF(SellAllowed="Yes",IF(AND(G823 = "Yes", C823&lt;E823), "Yes", "No"),"No")</f>
        <v>No</v>
      </c>
      <c r="K823" s="39">
        <f>IF(I823 = "Yes", M822/(C823+CostBuy), IF(J823 = "Yes", 0, K822))</f>
        <v>0</v>
      </c>
      <c r="M823" s="19">
        <f>IF(I823 = "Yes", M822-(C823+CostBuy)*K823, IF(J823="Yes", M822+(C823-CostSell)*K822, M822+K823*Rate))</f>
        <v>1062472.7177666619</v>
      </c>
    </row>
    <row r="824" spans="2:13" s="11" customFormat="1" x14ac:dyDescent="0.2">
      <c r="B824" s="24">
        <v>1938.07</v>
      </c>
      <c r="C824" s="25">
        <v>12.24</v>
      </c>
      <c r="D824" s="40">
        <f t="shared" si="9"/>
        <v>10.456666666666667</v>
      </c>
      <c r="E824" s="40">
        <f t="shared" si="10"/>
        <v>10.620000000000001</v>
      </c>
      <c r="F824" s="12"/>
      <c r="G824" s="18" t="str">
        <f t="shared" si="11"/>
        <v>No</v>
      </c>
      <c r="H824" s="12"/>
      <c r="I824" s="39" t="str">
        <f>IF(BuyAllowed="Yes",IF(AND(G824 = "No", C824&gt;D824), "Yes", "No"),"No")</f>
        <v>Yes</v>
      </c>
      <c r="J824" s="39" t="str">
        <f>IF(SellAllowed="Yes",IF(AND(G824 = "Yes", C824&lt;E824), "Yes", "No"),"No")</f>
        <v>No</v>
      </c>
      <c r="K824" s="39">
        <f>IF(I824 = "Yes", M823/(C824+CostBuy), IF(J824 = "Yes", 0, K823))</f>
        <v>86591.093542515242</v>
      </c>
      <c r="M824" s="19">
        <f>IF(I824 = "Yes", M823-(C824+CostBuy)*K824, IF(J824="Yes", M823+(C824-CostSell)*K823, M823+K824*Rate))</f>
        <v>0</v>
      </c>
    </row>
    <row r="825" spans="2:13" s="11" customFormat="1" x14ac:dyDescent="0.2">
      <c r="B825" s="24">
        <v>1938.08</v>
      </c>
      <c r="C825" s="25">
        <v>12.31</v>
      </c>
      <c r="D825" s="40">
        <f t="shared" si="9"/>
        <v>10.611666666666666</v>
      </c>
      <c r="E825" s="40">
        <f t="shared" si="10"/>
        <v>10.749999999999998</v>
      </c>
      <c r="F825" s="12"/>
      <c r="G825" s="18" t="str">
        <f t="shared" si="11"/>
        <v>Yes</v>
      </c>
      <c r="H825" s="12"/>
      <c r="I825" s="39" t="str">
        <f>IF(BuyAllowed="Yes",IF(AND(G825 = "No", C825&gt;D825), "Yes", "No"),"No")</f>
        <v>No</v>
      </c>
      <c r="J825" s="39" t="str">
        <f>IF(SellAllowed="Yes",IF(AND(G825 = "Yes", C825&lt;E825), "Yes", "No"),"No")</f>
        <v>No</v>
      </c>
      <c r="K825" s="39">
        <f>IF(I825 = "Yes", M824/(C825+CostBuy), IF(J825 = "Yes", 0, K824))</f>
        <v>86591.093542515242</v>
      </c>
      <c r="M825" s="19">
        <f>IF(I825 = "Yes", M824-(C825+CostBuy)*K825, IF(J825="Yes", M824+(C825-CostSell)*K824, M824+K825*Rate))</f>
        <v>4329.5546771257623</v>
      </c>
    </row>
    <row r="826" spans="2:13" s="11" customFormat="1" x14ac:dyDescent="0.2">
      <c r="B826" s="24">
        <v>1938.09</v>
      </c>
      <c r="C826" s="25">
        <v>11.75</v>
      </c>
      <c r="D826" s="40">
        <f t="shared" si="9"/>
        <v>10.823333333333332</v>
      </c>
      <c r="E826" s="40">
        <f t="shared" si="10"/>
        <v>10.911250000000001</v>
      </c>
      <c r="F826" s="12"/>
      <c r="G826" s="18" t="str">
        <f t="shared" si="11"/>
        <v>Yes</v>
      </c>
      <c r="H826" s="12"/>
      <c r="I826" s="39" t="str">
        <f>IF(BuyAllowed="Yes",IF(AND(G826 = "No", C826&gt;D826), "Yes", "No"),"No")</f>
        <v>No</v>
      </c>
      <c r="J826" s="39" t="str">
        <f>IF(SellAllowed="Yes",IF(AND(G826 = "Yes", C826&lt;E826), "Yes", "No"),"No")</f>
        <v>No</v>
      </c>
      <c r="K826" s="39">
        <f>IF(I826 = "Yes", M825/(C826+CostBuy), IF(J826 = "Yes", 0, K825))</f>
        <v>86591.093542515242</v>
      </c>
      <c r="M826" s="19">
        <f>IF(I826 = "Yes", M825-(C826+CostBuy)*K826, IF(J826="Yes", M825+(C826-CostSell)*K825, M825+K826*Rate))</f>
        <v>8659.1093542515246</v>
      </c>
    </row>
    <row r="827" spans="2:13" s="11" customFormat="1" x14ac:dyDescent="0.2">
      <c r="B827" s="24">
        <v>1938.1</v>
      </c>
      <c r="C827" s="25">
        <v>13.06</v>
      </c>
      <c r="D827" s="40">
        <f t="shared" si="9"/>
        <v>11.063333333333333</v>
      </c>
      <c r="E827" s="40">
        <f t="shared" si="10"/>
        <v>10.96625</v>
      </c>
      <c r="F827" s="12"/>
      <c r="G827" s="18" t="str">
        <f t="shared" si="11"/>
        <v>Yes</v>
      </c>
      <c r="H827" s="12"/>
      <c r="I827" s="39" t="str">
        <f>IF(BuyAllowed="Yes",IF(AND(G827 = "No", C827&gt;D827), "Yes", "No"),"No")</f>
        <v>No</v>
      </c>
      <c r="J827" s="39" t="str">
        <f>IF(SellAllowed="Yes",IF(AND(G827 = "Yes", C827&lt;E827), "Yes", "No"),"No")</f>
        <v>No</v>
      </c>
      <c r="K827" s="39">
        <f>IF(I827 = "Yes", M826/(C827+CostBuy), IF(J827 = "Yes", 0, K826))</f>
        <v>86591.093542515242</v>
      </c>
      <c r="M827" s="19">
        <f>IF(I827 = "Yes", M826-(C827+CostBuy)*K827, IF(J827="Yes", M826+(C827-CostSell)*K826, M826+K827*Rate))</f>
        <v>12988.664031377288</v>
      </c>
    </row>
    <row r="828" spans="2:13" s="11" customFormat="1" x14ac:dyDescent="0.2">
      <c r="B828" s="24">
        <v>1938.11</v>
      </c>
      <c r="C828" s="25">
        <v>13.07</v>
      </c>
      <c r="D828" s="40">
        <f t="shared" si="9"/>
        <v>11.591666666666667</v>
      </c>
      <c r="E828" s="40">
        <f t="shared" si="10"/>
        <v>11.21875</v>
      </c>
      <c r="F828" s="12"/>
      <c r="G828" s="18" t="str">
        <f t="shared" si="11"/>
        <v>Yes</v>
      </c>
      <c r="H828" s="12"/>
      <c r="I828" s="39" t="str">
        <f>IF(BuyAllowed="Yes",IF(AND(G828 = "No", C828&gt;D828), "Yes", "No"),"No")</f>
        <v>No</v>
      </c>
      <c r="J828" s="39" t="str">
        <f>IF(SellAllowed="Yes",IF(AND(G828 = "Yes", C828&lt;E828), "Yes", "No"),"No")</f>
        <v>No</v>
      </c>
      <c r="K828" s="39">
        <f>IF(I828 = "Yes", M827/(C828+CostBuy), IF(J828 = "Yes", 0, K827))</f>
        <v>86591.093542515242</v>
      </c>
      <c r="M828" s="19">
        <f>IF(I828 = "Yes", M827-(C828+CostBuy)*K828, IF(J828="Yes", M827+(C828-CostSell)*K827, M827+K828*Rate))</f>
        <v>17318.218708503049</v>
      </c>
    </row>
    <row r="829" spans="2:13" s="11" customFormat="1" x14ac:dyDescent="0.2">
      <c r="B829" s="24">
        <v>1938.12</v>
      </c>
      <c r="C829" s="25">
        <v>12.69</v>
      </c>
      <c r="D829" s="40">
        <f t="shared" si="9"/>
        <v>12.106666666666669</v>
      </c>
      <c r="E829" s="40">
        <f t="shared" si="10"/>
        <v>11.563749999999999</v>
      </c>
      <c r="F829" s="12"/>
      <c r="G829" s="18" t="str">
        <f t="shared" si="11"/>
        <v>Yes</v>
      </c>
      <c r="H829" s="12"/>
      <c r="I829" s="39" t="str">
        <f>IF(BuyAllowed="Yes",IF(AND(G829 = "No", C829&gt;D829), "Yes", "No"),"No")</f>
        <v>No</v>
      </c>
      <c r="J829" s="39" t="str">
        <f>IF(SellAllowed="Yes",IF(AND(G829 = "Yes", C829&lt;E829), "Yes", "No"),"No")</f>
        <v>No</v>
      </c>
      <c r="K829" s="39">
        <f>IF(I829 = "Yes", M828/(C829+CostBuy), IF(J829 = "Yes", 0, K828))</f>
        <v>86591.093542515242</v>
      </c>
      <c r="M829" s="19">
        <f>IF(I829 = "Yes", M828-(C829+CostBuy)*K829, IF(J829="Yes", M828+(C829-CostSell)*K828, M828+K829*Rate))</f>
        <v>21647.773385628811</v>
      </c>
    </row>
    <row r="830" spans="2:13" s="11" customFormat="1" x14ac:dyDescent="0.2">
      <c r="B830" s="24">
        <v>1939.01</v>
      </c>
      <c r="C830" s="25">
        <v>12.5</v>
      </c>
      <c r="D830" s="40">
        <f t="shared" si="9"/>
        <v>12.520000000000001</v>
      </c>
      <c r="E830" s="40">
        <f t="shared" si="10"/>
        <v>11.91375</v>
      </c>
      <c r="F830" s="12"/>
      <c r="G830" s="18" t="str">
        <f t="shared" si="11"/>
        <v>Yes</v>
      </c>
      <c r="H830" s="12"/>
      <c r="I830" s="39" t="str">
        <f>IF(BuyAllowed="Yes",IF(AND(G830 = "No", C830&gt;D830), "Yes", "No"),"No")</f>
        <v>No</v>
      </c>
      <c r="J830" s="39" t="str">
        <f>IF(SellAllowed="Yes",IF(AND(G830 = "Yes", C830&lt;E830), "Yes", "No"),"No")</f>
        <v>No</v>
      </c>
      <c r="K830" s="39">
        <f>IF(I830 = "Yes", M829/(C830+CostBuy), IF(J830 = "Yes", 0, K829))</f>
        <v>86591.093542515242</v>
      </c>
      <c r="M830" s="19">
        <f>IF(I830 = "Yes", M829-(C830+CostBuy)*K830, IF(J830="Yes", M829+(C830-CostSell)*K829, M829+K830*Rate))</f>
        <v>25977.328062754572</v>
      </c>
    </row>
    <row r="831" spans="2:13" s="11" customFormat="1" x14ac:dyDescent="0.2">
      <c r="B831" s="24">
        <v>1939.02</v>
      </c>
      <c r="C831" s="25">
        <v>12.4</v>
      </c>
      <c r="D831" s="40">
        <f t="shared" si="9"/>
        <v>12.563333333333333</v>
      </c>
      <c r="E831" s="40">
        <f t="shared" si="10"/>
        <v>12.228750000000002</v>
      </c>
      <c r="F831" s="12"/>
      <c r="G831" s="18" t="str">
        <f t="shared" si="11"/>
        <v>Yes</v>
      </c>
      <c r="H831" s="12"/>
      <c r="I831" s="39" t="str">
        <f>IF(BuyAllowed="Yes",IF(AND(G831 = "No", C831&gt;D831), "Yes", "No"),"No")</f>
        <v>No</v>
      </c>
      <c r="J831" s="39" t="str">
        <f>IF(SellAllowed="Yes",IF(AND(G831 = "Yes", C831&lt;E831), "Yes", "No"),"No")</f>
        <v>No</v>
      </c>
      <c r="K831" s="39">
        <f>IF(I831 = "Yes", M830/(C831+CostBuy), IF(J831 = "Yes", 0, K830))</f>
        <v>86591.093542515242</v>
      </c>
      <c r="M831" s="19">
        <f>IF(I831 = "Yes", M830-(C831+CostBuy)*K831, IF(J831="Yes", M830+(C831-CostSell)*K830, M830+K831*Rate))</f>
        <v>30306.882739880333</v>
      </c>
    </row>
    <row r="832" spans="2:13" s="11" customFormat="1" x14ac:dyDescent="0.2">
      <c r="B832" s="24">
        <v>1939.03</v>
      </c>
      <c r="C832" s="25">
        <v>12.39</v>
      </c>
      <c r="D832" s="40">
        <f t="shared" si="9"/>
        <v>12.578333333333333</v>
      </c>
      <c r="E832" s="40">
        <f t="shared" si="10"/>
        <v>12.502500000000001</v>
      </c>
      <c r="F832" s="12"/>
      <c r="G832" s="18" t="str">
        <f t="shared" si="11"/>
        <v>Yes</v>
      </c>
      <c r="H832" s="12"/>
      <c r="I832" s="39" t="str">
        <f>IF(BuyAllowed="Yes",IF(AND(G832 = "No", C832&gt;D832), "Yes", "No"),"No")</f>
        <v>No</v>
      </c>
      <c r="J832" s="39" t="str">
        <f>IF(SellAllowed="Yes",IF(AND(G832 = "Yes", C832&lt;E832), "Yes", "No"),"No")</f>
        <v>Yes</v>
      </c>
      <c r="K832" s="39">
        <f>IF(I832 = "Yes", M831/(C832+CostBuy), IF(J832 = "Yes", 0, K831))</f>
        <v>0</v>
      </c>
      <c r="M832" s="19">
        <f>IF(I832 = "Yes", M831-(C832+CostBuy)*K832, IF(J832="Yes", M831+(C832-CostSell)*K831, M831+K832*Rate))</f>
        <v>1097975.0661190932</v>
      </c>
    </row>
    <row r="833" spans="2:13" s="11" customFormat="1" x14ac:dyDescent="0.2">
      <c r="B833" s="24">
        <v>1939.04</v>
      </c>
      <c r="C833" s="25">
        <v>10.83</v>
      </c>
      <c r="D833" s="40">
        <f t="shared" si="9"/>
        <v>12.685</v>
      </c>
      <c r="E833" s="40">
        <f t="shared" si="10"/>
        <v>12.52125</v>
      </c>
      <c r="F833" s="12"/>
      <c r="G833" s="18" t="str">
        <f t="shared" si="11"/>
        <v>No</v>
      </c>
      <c r="H833" s="12"/>
      <c r="I833" s="39" t="str">
        <f>IF(BuyAllowed="Yes",IF(AND(G833 = "No", C833&gt;D833), "Yes", "No"),"No")</f>
        <v>No</v>
      </c>
      <c r="J833" s="39" t="str">
        <f>IF(SellAllowed="Yes",IF(AND(G833 = "Yes", C833&lt;E833), "Yes", "No"),"No")</f>
        <v>No</v>
      </c>
      <c r="K833" s="39">
        <f>IF(I833 = "Yes", M832/(C833+CostBuy), IF(J833 = "Yes", 0, K832))</f>
        <v>0</v>
      </c>
      <c r="M833" s="19">
        <f>IF(I833 = "Yes", M832-(C833+CostBuy)*K833, IF(J833="Yes", M832+(C833-CostSell)*K832, M832+K833*Rate))</f>
        <v>1097975.0661190932</v>
      </c>
    </row>
    <row r="834" spans="2:13" s="11" customFormat="1" x14ac:dyDescent="0.2">
      <c r="B834" s="24">
        <v>1939.05</v>
      </c>
      <c r="C834" s="25">
        <v>11.23</v>
      </c>
      <c r="D834" s="40">
        <f t="shared" si="9"/>
        <v>12.313333333333333</v>
      </c>
      <c r="E834" s="40">
        <f t="shared" si="10"/>
        <v>12.33625</v>
      </c>
      <c r="F834" s="12"/>
      <c r="G834" s="18" t="str">
        <f t="shared" si="11"/>
        <v>No</v>
      </c>
      <c r="H834" s="12"/>
      <c r="I834" s="39" t="str">
        <f>IF(BuyAllowed="Yes",IF(AND(G834 = "No", C834&gt;D834), "Yes", "No"),"No")</f>
        <v>No</v>
      </c>
      <c r="J834" s="39" t="str">
        <f>IF(SellAllowed="Yes",IF(AND(G834 = "Yes", C834&lt;E834), "Yes", "No"),"No")</f>
        <v>No</v>
      </c>
      <c r="K834" s="39">
        <f>IF(I834 = "Yes", M833/(C834+CostBuy), IF(J834 = "Yes", 0, K833))</f>
        <v>0</v>
      </c>
      <c r="M834" s="19">
        <f>IF(I834 = "Yes", M833-(C834+CostBuy)*K834, IF(J834="Yes", M833+(C834-CostSell)*K833, M833+K834*Rate))</f>
        <v>1097975.0661190932</v>
      </c>
    </row>
    <row r="835" spans="2:13" s="11" customFormat="1" x14ac:dyDescent="0.2">
      <c r="B835" s="24">
        <v>1939.06</v>
      </c>
      <c r="C835" s="25">
        <v>11.43</v>
      </c>
      <c r="D835" s="40">
        <f t="shared" si="9"/>
        <v>12.006666666666666</v>
      </c>
      <c r="E835" s="40">
        <f t="shared" si="10"/>
        <v>12.27125</v>
      </c>
      <c r="F835" s="12"/>
      <c r="G835" s="18" t="str">
        <f t="shared" si="11"/>
        <v>No</v>
      </c>
      <c r="H835" s="12"/>
      <c r="I835" s="39" t="str">
        <f>IF(BuyAllowed="Yes",IF(AND(G835 = "No", C835&gt;D835), "Yes", "No"),"No")</f>
        <v>No</v>
      </c>
      <c r="J835" s="39" t="str">
        <f>IF(SellAllowed="Yes",IF(AND(G835 = "Yes", C835&lt;E835), "Yes", "No"),"No")</f>
        <v>No</v>
      </c>
      <c r="K835" s="39">
        <f>IF(I835 = "Yes", M834/(C835+CostBuy), IF(J835 = "Yes", 0, K834))</f>
        <v>0</v>
      </c>
      <c r="M835" s="19">
        <f>IF(I835 = "Yes", M834-(C835+CostBuy)*K835, IF(J835="Yes", M834+(C835-CostSell)*K834, M834+K835*Rate))</f>
        <v>1097975.0661190932</v>
      </c>
    </row>
    <row r="836" spans="2:13" s="11" customFormat="1" x14ac:dyDescent="0.2">
      <c r="B836" s="24">
        <v>1939.07</v>
      </c>
      <c r="C836" s="25">
        <v>11.71</v>
      </c>
      <c r="D836" s="40">
        <f t="shared" si="9"/>
        <v>11.796666666666667</v>
      </c>
      <c r="E836" s="40">
        <f t="shared" si="10"/>
        <v>12.067499999999999</v>
      </c>
      <c r="F836" s="12"/>
      <c r="G836" s="18" t="str">
        <f t="shared" si="11"/>
        <v>No</v>
      </c>
      <c r="H836" s="12"/>
      <c r="I836" s="39" t="str">
        <f>IF(BuyAllowed="Yes",IF(AND(G836 = "No", C836&gt;D836), "Yes", "No"),"No")</f>
        <v>No</v>
      </c>
      <c r="J836" s="39" t="str">
        <f>IF(SellAllowed="Yes",IF(AND(G836 = "Yes", C836&lt;E836), "Yes", "No"),"No")</f>
        <v>No</v>
      </c>
      <c r="K836" s="39">
        <f>IF(I836 = "Yes", M835/(C836+CostBuy), IF(J836 = "Yes", 0, K835))</f>
        <v>0</v>
      </c>
      <c r="M836" s="19">
        <f>IF(I836 = "Yes", M835-(C836+CostBuy)*K836, IF(J836="Yes", M835+(C836-CostSell)*K835, M835+K836*Rate))</f>
        <v>1097975.0661190932</v>
      </c>
    </row>
    <row r="837" spans="2:13" s="11" customFormat="1" x14ac:dyDescent="0.2">
      <c r="B837" s="24">
        <v>1939.08</v>
      </c>
      <c r="C837" s="25">
        <v>11.54</v>
      </c>
      <c r="D837" s="40">
        <f t="shared" si="9"/>
        <v>11.664999999999999</v>
      </c>
      <c r="E837" s="40">
        <f t="shared" si="10"/>
        <v>11.897500000000001</v>
      </c>
      <c r="F837" s="12"/>
      <c r="G837" s="18" t="str">
        <f t="shared" si="11"/>
        <v>No</v>
      </c>
      <c r="H837" s="12"/>
      <c r="I837" s="39" t="str">
        <f>IF(BuyAllowed="Yes",IF(AND(G837 = "No", C837&gt;D837), "Yes", "No"),"No")</f>
        <v>No</v>
      </c>
      <c r="J837" s="39" t="str">
        <f>IF(SellAllowed="Yes",IF(AND(G837 = "Yes", C837&lt;E837), "Yes", "No"),"No")</f>
        <v>No</v>
      </c>
      <c r="K837" s="39">
        <f>IF(I837 = "Yes", M836/(C837+CostBuy), IF(J837 = "Yes", 0, K836))</f>
        <v>0</v>
      </c>
      <c r="M837" s="19">
        <f>IF(I837 = "Yes", M836-(C837+CostBuy)*K837, IF(J837="Yes", M836+(C837-CostSell)*K836, M836+K837*Rate))</f>
        <v>1097975.0661190932</v>
      </c>
    </row>
    <row r="838" spans="2:13" s="11" customFormat="1" x14ac:dyDescent="0.2">
      <c r="B838" s="24">
        <v>1939.09</v>
      </c>
      <c r="C838" s="25">
        <v>12.77</v>
      </c>
      <c r="D838" s="40">
        <f t="shared" si="9"/>
        <v>11.521666666666667</v>
      </c>
      <c r="E838" s="40">
        <f t="shared" si="10"/>
        <v>11.75375</v>
      </c>
      <c r="F838" s="12"/>
      <c r="G838" s="18" t="str">
        <f t="shared" si="11"/>
        <v>No</v>
      </c>
      <c r="H838" s="12"/>
      <c r="I838" s="39" t="str">
        <f>IF(BuyAllowed="Yes",IF(AND(G838 = "No", C838&gt;D838), "Yes", "No"),"No")</f>
        <v>Yes</v>
      </c>
      <c r="J838" s="39" t="str">
        <f>IF(SellAllowed="Yes",IF(AND(G838 = "Yes", C838&lt;E838), "Yes", "No"),"No")</f>
        <v>No</v>
      </c>
      <c r="K838" s="39">
        <f>IF(I838 = "Yes", M837/(C838+CostBuy), IF(J838 = "Yes", 0, K837))</f>
        <v>85779.302040554161</v>
      </c>
      <c r="M838" s="19">
        <f>IF(I838 = "Yes", M837-(C838+CostBuy)*K838, IF(J838="Yes", M837+(C838-CostSell)*K837, M837+K838*Rate))</f>
        <v>0</v>
      </c>
    </row>
    <row r="839" spans="2:13" s="11" customFormat="1" x14ac:dyDescent="0.2">
      <c r="B839" s="24">
        <v>1939.1</v>
      </c>
      <c r="C839" s="25">
        <v>12.9</v>
      </c>
      <c r="D839" s="40">
        <f t="shared" si="9"/>
        <v>11.585000000000001</v>
      </c>
      <c r="E839" s="40">
        <f t="shared" si="10"/>
        <v>11.7875</v>
      </c>
      <c r="F839" s="12"/>
      <c r="G839" s="18" t="str">
        <f t="shared" si="11"/>
        <v>Yes</v>
      </c>
      <c r="H839" s="12"/>
      <c r="I839" s="39" t="str">
        <f>IF(BuyAllowed="Yes",IF(AND(G839 = "No", C839&gt;D839), "Yes", "No"),"No")</f>
        <v>No</v>
      </c>
      <c r="J839" s="39" t="str">
        <f>IF(SellAllowed="Yes",IF(AND(G839 = "Yes", C839&lt;E839), "Yes", "No"),"No")</f>
        <v>No</v>
      </c>
      <c r="K839" s="39">
        <f>IF(I839 = "Yes", M838/(C839+CostBuy), IF(J839 = "Yes", 0, K838))</f>
        <v>85779.302040554161</v>
      </c>
      <c r="M839" s="19">
        <f>IF(I839 = "Yes", M838-(C839+CostBuy)*K839, IF(J839="Yes", M838+(C839-CostSell)*K838, M838+K839*Rate))</f>
        <v>4288.9651020277079</v>
      </c>
    </row>
    <row r="840" spans="2:13" s="11" customFormat="1" x14ac:dyDescent="0.2">
      <c r="B840" s="24">
        <v>1939.11</v>
      </c>
      <c r="C840" s="25">
        <v>12.67</v>
      </c>
      <c r="D840" s="40">
        <f t="shared" si="9"/>
        <v>11.930000000000001</v>
      </c>
      <c r="E840" s="40">
        <f t="shared" si="10"/>
        <v>11.85</v>
      </c>
      <c r="F840" s="12"/>
      <c r="G840" s="18" t="str">
        <f t="shared" si="11"/>
        <v>Yes</v>
      </c>
      <c r="H840" s="12"/>
      <c r="I840" s="39" t="str">
        <f>IF(BuyAllowed="Yes",IF(AND(G840 = "No", C840&gt;D840), "Yes", "No"),"No")</f>
        <v>No</v>
      </c>
      <c r="J840" s="39" t="str">
        <f>IF(SellAllowed="Yes",IF(AND(G840 = "Yes", C840&lt;E840), "Yes", "No"),"No")</f>
        <v>No</v>
      </c>
      <c r="K840" s="39">
        <f>IF(I840 = "Yes", M839/(C840+CostBuy), IF(J840 = "Yes", 0, K839))</f>
        <v>85779.302040554161</v>
      </c>
      <c r="M840" s="19">
        <f>IF(I840 = "Yes", M839-(C840+CostBuy)*K840, IF(J840="Yes", M839+(C840-CostSell)*K839, M839+K840*Rate))</f>
        <v>8577.9302040554157</v>
      </c>
    </row>
    <row r="841" spans="2:13" s="11" customFormat="1" x14ac:dyDescent="0.2">
      <c r="B841" s="24">
        <v>1939.12</v>
      </c>
      <c r="C841" s="25">
        <v>12.37</v>
      </c>
      <c r="D841" s="40">
        <f t="shared" si="9"/>
        <v>12.17</v>
      </c>
      <c r="E841" s="40">
        <f t="shared" si="10"/>
        <v>11.885000000000002</v>
      </c>
      <c r="F841" s="12"/>
      <c r="G841" s="18" t="str">
        <f t="shared" si="11"/>
        <v>Yes</v>
      </c>
      <c r="H841" s="12"/>
      <c r="I841" s="39" t="str">
        <f>IF(BuyAllowed="Yes",IF(AND(G841 = "No", C841&gt;D841), "Yes", "No"),"No")</f>
        <v>No</v>
      </c>
      <c r="J841" s="39" t="str">
        <f>IF(SellAllowed="Yes",IF(AND(G841 = "Yes", C841&lt;E841), "Yes", "No"),"No")</f>
        <v>No</v>
      </c>
      <c r="K841" s="39">
        <f>IF(I841 = "Yes", M840/(C841+CostBuy), IF(J841 = "Yes", 0, K840))</f>
        <v>85779.302040554161</v>
      </c>
      <c r="M841" s="19">
        <f>IF(I841 = "Yes", M840-(C841+CostBuy)*K841, IF(J841="Yes", M840+(C841-CostSell)*K840, M840+K841*Rate))</f>
        <v>12866.895306083123</v>
      </c>
    </row>
    <row r="842" spans="2:13" s="11" customFormat="1" x14ac:dyDescent="0.2">
      <c r="B842" s="24">
        <v>1940.01</v>
      </c>
      <c r="C842" s="25">
        <v>12.3</v>
      </c>
      <c r="D842" s="40">
        <f t="shared" si="9"/>
        <v>12.326666666666666</v>
      </c>
      <c r="E842" s="40">
        <f t="shared" si="10"/>
        <v>12.077500000000002</v>
      </c>
      <c r="F842" s="12"/>
      <c r="G842" s="18" t="str">
        <f t="shared" si="11"/>
        <v>Yes</v>
      </c>
      <c r="H842" s="12"/>
      <c r="I842" s="39" t="str">
        <f>IF(BuyAllowed="Yes",IF(AND(G842 = "No", C842&gt;D842), "Yes", "No"),"No")</f>
        <v>No</v>
      </c>
      <c r="J842" s="39" t="str">
        <f>IF(SellAllowed="Yes",IF(AND(G842 = "Yes", C842&lt;E842), "Yes", "No"),"No")</f>
        <v>No</v>
      </c>
      <c r="K842" s="39">
        <f>IF(I842 = "Yes", M841/(C842+CostBuy), IF(J842 = "Yes", 0, K841))</f>
        <v>85779.302040554161</v>
      </c>
      <c r="M842" s="19">
        <f>IF(I842 = "Yes", M841-(C842+CostBuy)*K842, IF(J842="Yes", M841+(C842-CostSell)*K841, M841+K842*Rate))</f>
        <v>17155.860408110831</v>
      </c>
    </row>
    <row r="843" spans="2:13" s="11" customFormat="1" x14ac:dyDescent="0.2">
      <c r="B843" s="24">
        <v>1940.02</v>
      </c>
      <c r="C843" s="25">
        <v>12.22</v>
      </c>
      <c r="D843" s="40">
        <f t="shared" si="9"/>
        <v>12.424999999999999</v>
      </c>
      <c r="E843" s="40">
        <f t="shared" si="10"/>
        <v>12.21125</v>
      </c>
      <c r="F843" s="12"/>
      <c r="G843" s="18" t="str">
        <f t="shared" si="11"/>
        <v>Yes</v>
      </c>
      <c r="H843" s="12"/>
      <c r="I843" s="39" t="str">
        <f>IF(BuyAllowed="Yes",IF(AND(G843 = "No", C843&gt;D843), "Yes", "No"),"No")</f>
        <v>No</v>
      </c>
      <c r="J843" s="39" t="str">
        <f>IF(SellAllowed="Yes",IF(AND(G843 = "Yes", C843&lt;E843), "Yes", "No"),"No")</f>
        <v>No</v>
      </c>
      <c r="K843" s="39">
        <f>IF(I843 = "Yes", M842/(C843+CostBuy), IF(J843 = "Yes", 0, K842))</f>
        <v>85779.302040554161</v>
      </c>
      <c r="M843" s="19">
        <f>IF(I843 = "Yes", M842-(C843+CostBuy)*K843, IF(J843="Yes", M842+(C843-CostSell)*K842, M842+K843*Rate))</f>
        <v>21444.82551013854</v>
      </c>
    </row>
    <row r="844" spans="2:13" s="11" customFormat="1" x14ac:dyDescent="0.2">
      <c r="B844" s="24">
        <v>1940.03</v>
      </c>
      <c r="C844" s="25">
        <v>12.15</v>
      </c>
      <c r="D844" s="40">
        <f t="shared" si="9"/>
        <v>12.538333333333334</v>
      </c>
      <c r="E844" s="40">
        <f t="shared" si="10"/>
        <v>12.309999999999999</v>
      </c>
      <c r="F844" s="12"/>
      <c r="G844" s="18" t="str">
        <f t="shared" si="11"/>
        <v>Yes</v>
      </c>
      <c r="H844" s="12"/>
      <c r="I844" s="39" t="str">
        <f>IF(BuyAllowed="Yes",IF(AND(G844 = "No", C844&gt;D844), "Yes", "No"),"No")</f>
        <v>No</v>
      </c>
      <c r="J844" s="39" t="str">
        <f>IF(SellAllowed="Yes",IF(AND(G844 = "Yes", C844&lt;E844), "Yes", "No"),"No")</f>
        <v>Yes</v>
      </c>
      <c r="K844" s="39">
        <f>IF(I844 = "Yes", M843/(C844+CostBuy), IF(J844 = "Yes", 0, K843))</f>
        <v>0</v>
      </c>
      <c r="M844" s="19">
        <f>IF(I844 = "Yes", M843-(C844+CostBuy)*K844, IF(J844="Yes", M843+(C844-CostSell)*K843, M843+K844*Rate))</f>
        <v>1058516.5871804385</v>
      </c>
    </row>
    <row r="845" spans="2:13" s="11" customFormat="1" x14ac:dyDescent="0.2">
      <c r="B845" s="24">
        <v>1940.04</v>
      </c>
      <c r="C845" s="25">
        <v>12.27</v>
      </c>
      <c r="D845" s="40">
        <f t="shared" si="9"/>
        <v>12.435</v>
      </c>
      <c r="E845" s="40">
        <f t="shared" si="10"/>
        <v>12.365</v>
      </c>
      <c r="F845" s="12"/>
      <c r="G845" s="18" t="str">
        <f t="shared" si="11"/>
        <v>No</v>
      </c>
      <c r="H845" s="12"/>
      <c r="I845" s="39" t="str">
        <f>IF(BuyAllowed="Yes",IF(AND(G845 = "No", C845&gt;D845), "Yes", "No"),"No")</f>
        <v>No</v>
      </c>
      <c r="J845" s="39" t="str">
        <f>IF(SellAllowed="Yes",IF(AND(G845 = "Yes", C845&lt;E845), "Yes", "No"),"No")</f>
        <v>No</v>
      </c>
      <c r="K845" s="39">
        <f>IF(I845 = "Yes", M844/(C845+CostBuy), IF(J845 = "Yes", 0, K844))</f>
        <v>0</v>
      </c>
      <c r="M845" s="19">
        <f>IF(I845 = "Yes", M844-(C845+CostBuy)*K845, IF(J845="Yes", M844+(C845-CostSell)*K844, M844+K845*Rate))</f>
        <v>1058516.5871804385</v>
      </c>
    </row>
    <row r="846" spans="2:13" s="11" customFormat="1" x14ac:dyDescent="0.2">
      <c r="B846" s="24">
        <v>1940.05</v>
      </c>
      <c r="C846" s="25">
        <v>10.58</v>
      </c>
      <c r="D846" s="40">
        <f t="shared" si="9"/>
        <v>12.33</v>
      </c>
      <c r="E846" s="40">
        <f t="shared" si="10"/>
        <v>12.456250000000001</v>
      </c>
      <c r="F846" s="12"/>
      <c r="G846" s="18" t="str">
        <f t="shared" si="11"/>
        <v>No</v>
      </c>
      <c r="H846" s="12"/>
      <c r="I846" s="39" t="str">
        <f>IF(BuyAllowed="Yes",IF(AND(G846 = "No", C846&gt;D846), "Yes", "No"),"No")</f>
        <v>No</v>
      </c>
      <c r="J846" s="39" t="str">
        <f>IF(SellAllowed="Yes",IF(AND(G846 = "Yes", C846&lt;E846), "Yes", "No"),"No")</f>
        <v>No</v>
      </c>
      <c r="K846" s="39">
        <f>IF(I846 = "Yes", M845/(C846+CostBuy), IF(J846 = "Yes", 0, K845))</f>
        <v>0</v>
      </c>
      <c r="M846" s="19">
        <f>IF(I846 = "Yes", M845-(C846+CostBuy)*K846, IF(J846="Yes", M845+(C846-CostSell)*K845, M845+K846*Rate))</f>
        <v>1058516.5871804385</v>
      </c>
    </row>
    <row r="847" spans="2:13" s="11" customFormat="1" x14ac:dyDescent="0.2">
      <c r="B847" s="24">
        <v>1940.06</v>
      </c>
      <c r="C847" s="25">
        <v>9.67</v>
      </c>
      <c r="D847" s="40">
        <f t="shared" si="9"/>
        <v>11.981666666666667</v>
      </c>
      <c r="E847" s="40">
        <f t="shared" si="10"/>
        <v>12.182499999999999</v>
      </c>
      <c r="F847" s="12"/>
      <c r="G847" s="18" t="str">
        <f t="shared" si="11"/>
        <v>No</v>
      </c>
      <c r="H847" s="12"/>
      <c r="I847" s="39" t="str">
        <f>IF(BuyAllowed="Yes",IF(AND(G847 = "No", C847&gt;D847), "Yes", "No"),"No")</f>
        <v>No</v>
      </c>
      <c r="J847" s="39" t="str">
        <f>IF(SellAllowed="Yes",IF(AND(G847 = "Yes", C847&lt;E847), "Yes", "No"),"No")</f>
        <v>No</v>
      </c>
      <c r="K847" s="39">
        <f>IF(I847 = "Yes", M846/(C847+CostBuy), IF(J847 = "Yes", 0, K846))</f>
        <v>0</v>
      </c>
      <c r="M847" s="19">
        <f>IF(I847 = "Yes", M846-(C847+CostBuy)*K847, IF(J847="Yes", M846+(C847-CostSell)*K846, M846+K847*Rate))</f>
        <v>1058516.5871804385</v>
      </c>
    </row>
    <row r="848" spans="2:13" s="11" customFormat="1" x14ac:dyDescent="0.2">
      <c r="B848" s="24">
        <v>1940.07</v>
      </c>
      <c r="C848" s="25">
        <v>9.99</v>
      </c>
      <c r="D848" s="40">
        <f t="shared" si="9"/>
        <v>11.531666666666666</v>
      </c>
      <c r="E848" s="40">
        <f t="shared" si="10"/>
        <v>11.77875</v>
      </c>
      <c r="F848" s="12"/>
      <c r="G848" s="18" t="str">
        <f t="shared" si="11"/>
        <v>No</v>
      </c>
      <c r="H848" s="12"/>
      <c r="I848" s="39" t="str">
        <f>IF(BuyAllowed="Yes",IF(AND(G848 = "No", C848&gt;D848), "Yes", "No"),"No")</f>
        <v>No</v>
      </c>
      <c r="J848" s="39" t="str">
        <f>IF(SellAllowed="Yes",IF(AND(G848 = "Yes", C848&lt;E848), "Yes", "No"),"No")</f>
        <v>No</v>
      </c>
      <c r="K848" s="39">
        <f>IF(I848 = "Yes", M847/(C848+CostBuy), IF(J848 = "Yes", 0, K847))</f>
        <v>0</v>
      </c>
      <c r="M848" s="19">
        <f>IF(I848 = "Yes", M847-(C848+CostBuy)*K848, IF(J848="Yes", M847+(C848-CostSell)*K847, M847+K848*Rate))</f>
        <v>1058516.5871804385</v>
      </c>
    </row>
    <row r="849" spans="2:13" s="11" customFormat="1" x14ac:dyDescent="0.2">
      <c r="B849" s="24">
        <v>1940.08</v>
      </c>
      <c r="C849" s="25">
        <v>10.199999999999999</v>
      </c>
      <c r="D849" s="40">
        <f t="shared" si="9"/>
        <v>11.146666666666667</v>
      </c>
      <c r="E849" s="40">
        <f t="shared" si="10"/>
        <v>11.44375</v>
      </c>
      <c r="F849" s="12"/>
      <c r="G849" s="18" t="str">
        <f t="shared" si="11"/>
        <v>No</v>
      </c>
      <c r="H849" s="12"/>
      <c r="I849" s="39" t="str">
        <f>IF(BuyAllowed="Yes",IF(AND(G849 = "No", C849&gt;D849), "Yes", "No"),"No")</f>
        <v>No</v>
      </c>
      <c r="J849" s="39" t="str">
        <f>IF(SellAllowed="Yes",IF(AND(G849 = "Yes", C849&lt;E849), "Yes", "No"),"No")</f>
        <v>No</v>
      </c>
      <c r="K849" s="39">
        <f>IF(I849 = "Yes", M848/(C849+CostBuy), IF(J849 = "Yes", 0, K848))</f>
        <v>0</v>
      </c>
      <c r="M849" s="19">
        <f>IF(I849 = "Yes", M848-(C849+CostBuy)*K849, IF(J849="Yes", M848+(C849-CostSell)*K848, M848+K849*Rate))</f>
        <v>1058516.5871804385</v>
      </c>
    </row>
    <row r="850" spans="2:13" s="11" customFormat="1" x14ac:dyDescent="0.2">
      <c r="B850" s="24">
        <v>1940.09</v>
      </c>
      <c r="C850" s="25">
        <v>10.63</v>
      </c>
      <c r="D850" s="40">
        <f t="shared" si="9"/>
        <v>10.81</v>
      </c>
      <c r="E850" s="40">
        <f t="shared" si="10"/>
        <v>11.172499999999999</v>
      </c>
      <c r="F850" s="12"/>
      <c r="G850" s="18" t="str">
        <f t="shared" si="11"/>
        <v>No</v>
      </c>
      <c r="H850" s="12"/>
      <c r="I850" s="39" t="str">
        <f>IF(BuyAllowed="Yes",IF(AND(G850 = "No", C850&gt;D850), "Yes", "No"),"No")</f>
        <v>No</v>
      </c>
      <c r="J850" s="39" t="str">
        <f>IF(SellAllowed="Yes",IF(AND(G850 = "Yes", C850&lt;E850), "Yes", "No"),"No")</f>
        <v>No</v>
      </c>
      <c r="K850" s="39">
        <f>IF(I850 = "Yes", M849/(C850+CostBuy), IF(J850 = "Yes", 0, K849))</f>
        <v>0</v>
      </c>
      <c r="M850" s="19">
        <f>IF(I850 = "Yes", M849-(C850+CostBuy)*K850, IF(J850="Yes", M849+(C850-CostSell)*K849, M849+K850*Rate))</f>
        <v>1058516.5871804385</v>
      </c>
    </row>
    <row r="851" spans="2:13" s="11" customFormat="1" x14ac:dyDescent="0.2">
      <c r="B851" s="24">
        <v>1940.1</v>
      </c>
      <c r="C851" s="25">
        <v>10.73</v>
      </c>
      <c r="D851" s="40">
        <f t="shared" si="9"/>
        <v>10.556666666666668</v>
      </c>
      <c r="E851" s="40">
        <f t="shared" si="10"/>
        <v>10.963749999999999</v>
      </c>
      <c r="F851" s="12"/>
      <c r="G851" s="18" t="str">
        <f t="shared" si="11"/>
        <v>No</v>
      </c>
      <c r="H851" s="12"/>
      <c r="I851" s="39" t="str">
        <f>IF(BuyAllowed="Yes",IF(AND(G851 = "No", C851&gt;D851), "Yes", "No"),"No")</f>
        <v>Yes</v>
      </c>
      <c r="J851" s="39" t="str">
        <f>IF(SellAllowed="Yes",IF(AND(G851 = "Yes", C851&lt;E851), "Yes", "No"),"No")</f>
        <v>No</v>
      </c>
      <c r="K851" s="39">
        <f>IF(I851 = "Yes", M850/(C851+CostBuy), IF(J851 = "Yes", 0, K850))</f>
        <v>98375.147507475689</v>
      </c>
      <c r="M851" s="19">
        <f>IF(I851 = "Yes", M850-(C851+CostBuy)*K851, IF(J851="Yes", M850+(C851-CostSell)*K850, M850+K851*Rate))</f>
        <v>0</v>
      </c>
    </row>
    <row r="852" spans="2:13" s="11" customFormat="1" x14ac:dyDescent="0.2">
      <c r="B852" s="24">
        <v>1940.11</v>
      </c>
      <c r="C852" s="25">
        <v>10.98</v>
      </c>
      <c r="D852" s="40">
        <f t="shared" si="9"/>
        <v>10.299999999999999</v>
      </c>
      <c r="E852" s="40">
        <f t="shared" si="10"/>
        <v>10.7775</v>
      </c>
      <c r="F852" s="12"/>
      <c r="G852" s="18" t="str">
        <f t="shared" si="11"/>
        <v>Yes</v>
      </c>
      <c r="H852" s="12"/>
      <c r="I852" s="39" t="str">
        <f>IF(BuyAllowed="Yes",IF(AND(G852 = "No", C852&gt;D852), "Yes", "No"),"No")</f>
        <v>No</v>
      </c>
      <c r="J852" s="39" t="str">
        <f>IF(SellAllowed="Yes",IF(AND(G852 = "Yes", C852&lt;E852), "Yes", "No"),"No")</f>
        <v>No</v>
      </c>
      <c r="K852" s="39">
        <f>IF(I852 = "Yes", M851/(C852+CostBuy), IF(J852 = "Yes", 0, K851))</f>
        <v>98375.147507475689</v>
      </c>
      <c r="M852" s="19">
        <f>IF(I852 = "Yes", M851-(C852+CostBuy)*K852, IF(J852="Yes", M851+(C852-CostSell)*K851, M851+K852*Rate))</f>
        <v>4918.7573753737852</v>
      </c>
    </row>
    <row r="853" spans="2:13" s="11" customFormat="1" x14ac:dyDescent="0.2">
      <c r="B853" s="24">
        <v>1940.12</v>
      </c>
      <c r="C853" s="25">
        <v>10.53</v>
      </c>
      <c r="D853" s="40">
        <f t="shared" si="9"/>
        <v>10.366666666666667</v>
      </c>
      <c r="E853" s="40">
        <f t="shared" si="10"/>
        <v>10.631250000000001</v>
      </c>
      <c r="F853" s="12"/>
      <c r="G853" s="18" t="str">
        <f t="shared" si="11"/>
        <v>Yes</v>
      </c>
      <c r="H853" s="12"/>
      <c r="I853" s="39" t="str">
        <f>IF(BuyAllowed="Yes",IF(AND(G853 = "No", C853&gt;D853), "Yes", "No"),"No")</f>
        <v>No</v>
      </c>
      <c r="J853" s="39" t="str">
        <f>IF(SellAllowed="Yes",IF(AND(G853 = "Yes", C853&lt;E853), "Yes", "No"),"No")</f>
        <v>Yes</v>
      </c>
      <c r="K853" s="39">
        <f>IF(I853 = "Yes", M852/(C853+CostBuy), IF(J853 = "Yes", 0, K852))</f>
        <v>0</v>
      </c>
      <c r="M853" s="19">
        <f>IF(I853 = "Yes", M852-(C853+CostBuy)*K853, IF(J853="Yes", M852+(C853-CostSell)*K852, M852+K853*Rate))</f>
        <v>1034906.5517786441</v>
      </c>
    </row>
    <row r="854" spans="2:13" s="11" customFormat="1" x14ac:dyDescent="0.2">
      <c r="B854" s="24">
        <v>1941.01</v>
      </c>
      <c r="C854" s="25">
        <v>10.55</v>
      </c>
      <c r="D854" s="40">
        <f t="shared" si="9"/>
        <v>10.51</v>
      </c>
      <c r="E854" s="40">
        <f t="shared" si="10"/>
        <v>10.41375</v>
      </c>
      <c r="F854" s="12"/>
      <c r="G854" s="18" t="str">
        <f t="shared" si="11"/>
        <v>No</v>
      </c>
      <c r="H854" s="12"/>
      <c r="I854" s="39" t="str">
        <f>IF(BuyAllowed="Yes",IF(AND(G854 = "No", C854&gt;D854), "Yes", "No"),"No")</f>
        <v>Yes</v>
      </c>
      <c r="J854" s="39" t="str">
        <f>IF(SellAllowed="Yes",IF(AND(G854 = "Yes", C854&lt;E854), "Yes", "No"),"No")</f>
        <v>No</v>
      </c>
      <c r="K854" s="39">
        <f>IF(I854 = "Yes", M853/(C854+CostBuy), IF(J854 = "Yes", 0, K853))</f>
        <v>97817.254421421938</v>
      </c>
      <c r="M854" s="19">
        <f>IF(I854 = "Yes", M853-(C854+CostBuy)*K854, IF(J854="Yes", M853+(C854-CostSell)*K853, M853+K854*Rate))</f>
        <v>0</v>
      </c>
    </row>
    <row r="855" spans="2:13" s="11" customFormat="1" x14ac:dyDescent="0.2">
      <c r="B855" s="24">
        <v>1941.02</v>
      </c>
      <c r="C855" s="25">
        <v>9.89</v>
      </c>
      <c r="D855" s="40">
        <f t="shared" si="9"/>
        <v>10.603333333333333</v>
      </c>
      <c r="E855" s="40">
        <f t="shared" si="10"/>
        <v>10.41</v>
      </c>
      <c r="F855" s="12"/>
      <c r="G855" s="18" t="str">
        <f t="shared" si="11"/>
        <v>Yes</v>
      </c>
      <c r="H855" s="12"/>
      <c r="I855" s="39" t="str">
        <f>IF(BuyAllowed="Yes",IF(AND(G855 = "No", C855&gt;D855), "Yes", "No"),"No")</f>
        <v>No</v>
      </c>
      <c r="J855" s="39" t="str">
        <f>IF(SellAllowed="Yes",IF(AND(G855 = "Yes", C855&lt;E855), "Yes", "No"),"No")</f>
        <v>Yes</v>
      </c>
      <c r="K855" s="39">
        <f>IF(I855 = "Yes", M854/(C855+CostBuy), IF(J855 = "Yes", 0, K854))</f>
        <v>0</v>
      </c>
      <c r="M855" s="19">
        <f>IF(I855 = "Yes", M854-(C855+CostBuy)*K855, IF(J855="Yes", M854+(C855-CostSell)*K854, M854+K855*Rate))</f>
        <v>961543.61096257763</v>
      </c>
    </row>
    <row r="856" spans="2:13" s="11" customFormat="1" x14ac:dyDescent="0.2">
      <c r="B856" s="24">
        <v>1941.03</v>
      </c>
      <c r="C856" s="25">
        <v>9.9499999999999993</v>
      </c>
      <c r="D856" s="40">
        <f t="shared" si="9"/>
        <v>10.551666666666668</v>
      </c>
      <c r="E856" s="40">
        <f t="shared" si="10"/>
        <v>10.4375</v>
      </c>
      <c r="F856" s="12"/>
      <c r="G856" s="18" t="str">
        <f t="shared" si="11"/>
        <v>No</v>
      </c>
      <c r="H856" s="12"/>
      <c r="I856" s="39" t="str">
        <f>IF(BuyAllowed="Yes",IF(AND(G856 = "No", C856&gt;D856), "Yes", "No"),"No")</f>
        <v>No</v>
      </c>
      <c r="J856" s="39" t="str">
        <f>IF(SellAllowed="Yes",IF(AND(G856 = "Yes", C856&lt;E856), "Yes", "No"),"No")</f>
        <v>No</v>
      </c>
      <c r="K856" s="39">
        <f>IF(I856 = "Yes", M855/(C856+CostBuy), IF(J856 = "Yes", 0, K855))</f>
        <v>0</v>
      </c>
      <c r="M856" s="19">
        <f>IF(I856 = "Yes", M855-(C856+CostBuy)*K856, IF(J856="Yes", M855+(C856-CostSell)*K855, M855+K856*Rate))</f>
        <v>961543.61096257763</v>
      </c>
    </row>
    <row r="857" spans="2:13" s="11" customFormat="1" x14ac:dyDescent="0.2">
      <c r="B857" s="24">
        <v>1941.04</v>
      </c>
      <c r="C857" s="25">
        <v>9.64</v>
      </c>
      <c r="D857" s="40">
        <f t="shared" si="9"/>
        <v>10.438333333333334</v>
      </c>
      <c r="E857" s="40">
        <f t="shared" si="10"/>
        <v>10.432500000000001</v>
      </c>
      <c r="F857" s="12"/>
      <c r="G857" s="18" t="str">
        <f t="shared" si="11"/>
        <v>No</v>
      </c>
      <c r="H857" s="12"/>
      <c r="I857" s="39" t="str">
        <f>IF(BuyAllowed="Yes",IF(AND(G857 = "No", C857&gt;D857), "Yes", "No"),"No")</f>
        <v>No</v>
      </c>
      <c r="J857" s="39" t="str">
        <f>IF(SellAllowed="Yes",IF(AND(G857 = "Yes", C857&lt;E857), "Yes", "No"),"No")</f>
        <v>No</v>
      </c>
      <c r="K857" s="39">
        <f>IF(I857 = "Yes", M856/(C857+CostBuy), IF(J857 = "Yes", 0, K856))</f>
        <v>0</v>
      </c>
      <c r="M857" s="19">
        <f>IF(I857 = "Yes", M856-(C857+CostBuy)*K857, IF(J857="Yes", M856+(C857-CostSell)*K856, M856+K857*Rate))</f>
        <v>961543.61096257763</v>
      </c>
    </row>
    <row r="858" spans="2:13" s="11" customFormat="1" x14ac:dyDescent="0.2">
      <c r="B858" s="24">
        <v>1941.05</v>
      </c>
      <c r="C858" s="25">
        <v>9.43</v>
      </c>
      <c r="D858" s="40">
        <f t="shared" si="9"/>
        <v>10.256666666666668</v>
      </c>
      <c r="E858" s="40">
        <f t="shared" si="10"/>
        <v>10.362500000000001</v>
      </c>
      <c r="F858" s="12"/>
      <c r="G858" s="18" t="str">
        <f t="shared" si="11"/>
        <v>No</v>
      </c>
      <c r="H858" s="12"/>
      <c r="I858" s="39" t="str">
        <f>IF(BuyAllowed="Yes",IF(AND(G858 = "No", C858&gt;D858), "Yes", "No"),"No")</f>
        <v>No</v>
      </c>
      <c r="J858" s="39" t="str">
        <f>IF(SellAllowed="Yes",IF(AND(G858 = "Yes", C858&lt;E858), "Yes", "No"),"No")</f>
        <v>No</v>
      </c>
      <c r="K858" s="39">
        <f>IF(I858 = "Yes", M857/(C858+CostBuy), IF(J858 = "Yes", 0, K857))</f>
        <v>0</v>
      </c>
      <c r="M858" s="19">
        <f>IF(I858 = "Yes", M857-(C858+CostBuy)*K858, IF(J858="Yes", M857+(C858-CostSell)*K857, M857+K858*Rate))</f>
        <v>961543.61096257763</v>
      </c>
    </row>
    <row r="859" spans="2:13" s="11" customFormat="1" x14ac:dyDescent="0.2">
      <c r="B859" s="24">
        <v>1941.06</v>
      </c>
      <c r="C859" s="25">
        <v>9.76</v>
      </c>
      <c r="D859" s="40">
        <f t="shared" ref="D859:D922" si="12">AVERAGE(C853:C858)</f>
        <v>9.9983333333333331</v>
      </c>
      <c r="E859" s="40">
        <f t="shared" ref="E859:E922" si="13">AVERAGE(C851:C858)</f>
        <v>10.212500000000002</v>
      </c>
      <c r="F859" s="12"/>
      <c r="G859" s="18" t="str">
        <f t="shared" si="11"/>
        <v>No</v>
      </c>
      <c r="H859" s="12"/>
      <c r="I859" s="39" t="str">
        <f>IF(BuyAllowed="Yes",IF(AND(G859 = "No", C859&gt;D859), "Yes", "No"),"No")</f>
        <v>No</v>
      </c>
      <c r="J859" s="39" t="str">
        <f>IF(SellAllowed="Yes",IF(AND(G859 = "Yes", C859&lt;E859), "Yes", "No"),"No")</f>
        <v>No</v>
      </c>
      <c r="K859" s="39">
        <f>IF(I859 = "Yes", M858/(C859+CostBuy), IF(J859 = "Yes", 0, K858))</f>
        <v>0</v>
      </c>
      <c r="M859" s="19">
        <f>IF(I859 = "Yes", M858-(C859+CostBuy)*K859, IF(J859="Yes", M858+(C859-CostSell)*K858, M858+K859*Rate))</f>
        <v>961543.61096257763</v>
      </c>
    </row>
    <row r="860" spans="2:13" s="11" customFormat="1" x14ac:dyDescent="0.2">
      <c r="B860" s="24">
        <v>1941.07</v>
      </c>
      <c r="C860" s="25">
        <v>10.26</v>
      </c>
      <c r="D860" s="40">
        <f t="shared" si="12"/>
        <v>9.8699999999999992</v>
      </c>
      <c r="E860" s="40">
        <f t="shared" si="13"/>
        <v>10.09125</v>
      </c>
      <c r="F860" s="12"/>
      <c r="G860" s="18" t="str">
        <f t="shared" ref="G860:G923" si="14">IF(I859 = "Yes", "Yes", IF(J859="Yes", "No", G859))</f>
        <v>No</v>
      </c>
      <c r="H860" s="12"/>
      <c r="I860" s="39" t="str">
        <f>IF(BuyAllowed="Yes",IF(AND(G860 = "No", C860&gt;D860), "Yes", "No"),"No")</f>
        <v>Yes</v>
      </c>
      <c r="J860" s="39" t="str">
        <f>IF(SellAllowed="Yes",IF(AND(G860 = "Yes", C860&lt;E860), "Yes", "No"),"No")</f>
        <v>No</v>
      </c>
      <c r="K860" s="39">
        <f>IF(I860 = "Yes", M859/(C860+CostBuy), IF(J860 = "Yes", 0, K859))</f>
        <v>93444.471424934673</v>
      </c>
      <c r="M860" s="19">
        <f>IF(I860 = "Yes", M859-(C860+CostBuy)*K860, IF(J860="Yes", M859+(C860-CostSell)*K859, M859+K860*Rate))</f>
        <v>-1.1641532182693481E-10</v>
      </c>
    </row>
    <row r="861" spans="2:13" s="11" customFormat="1" x14ac:dyDescent="0.2">
      <c r="B861" s="24">
        <v>1941.08</v>
      </c>
      <c r="C861" s="25">
        <v>10.210000000000001</v>
      </c>
      <c r="D861" s="40">
        <f t="shared" si="12"/>
        <v>9.8216666666666654</v>
      </c>
      <c r="E861" s="40">
        <f t="shared" si="13"/>
        <v>10.001250000000001</v>
      </c>
      <c r="F861" s="12"/>
      <c r="G861" s="18" t="str">
        <f t="shared" si="14"/>
        <v>Yes</v>
      </c>
      <c r="H861" s="12"/>
      <c r="I861" s="39" t="str">
        <f>IF(BuyAllowed="Yes",IF(AND(G861 = "No", C861&gt;D861), "Yes", "No"),"No")</f>
        <v>No</v>
      </c>
      <c r="J861" s="39" t="str">
        <f>IF(SellAllowed="Yes",IF(AND(G861 = "Yes", C861&lt;E861), "Yes", "No"),"No")</f>
        <v>No</v>
      </c>
      <c r="K861" s="39">
        <f>IF(I861 = "Yes", M860/(C861+CostBuy), IF(J861 = "Yes", 0, K860))</f>
        <v>93444.471424934673</v>
      </c>
      <c r="M861" s="19">
        <f>IF(I861 = "Yes", M860-(C861+CostBuy)*K861, IF(J861="Yes", M860+(C861-CostSell)*K860, M860+K861*Rate))</f>
        <v>4672.2235712466172</v>
      </c>
    </row>
    <row r="862" spans="2:13" s="11" customFormat="1" x14ac:dyDescent="0.2">
      <c r="B862" s="24">
        <v>1941.09</v>
      </c>
      <c r="C862" s="25">
        <v>10.24</v>
      </c>
      <c r="D862" s="40">
        <f t="shared" si="12"/>
        <v>9.875</v>
      </c>
      <c r="E862" s="40">
        <f t="shared" si="13"/>
        <v>9.9612499999999997</v>
      </c>
      <c r="F862" s="12"/>
      <c r="G862" s="18" t="str">
        <f t="shared" si="14"/>
        <v>Yes</v>
      </c>
      <c r="H862" s="12"/>
      <c r="I862" s="39" t="str">
        <f>IF(BuyAllowed="Yes",IF(AND(G862 = "No", C862&gt;D862), "Yes", "No"),"No")</f>
        <v>No</v>
      </c>
      <c r="J862" s="39" t="str">
        <f>IF(SellAllowed="Yes",IF(AND(G862 = "Yes", C862&lt;E862), "Yes", "No"),"No")</f>
        <v>No</v>
      </c>
      <c r="K862" s="39">
        <f>IF(I862 = "Yes", M861/(C862+CostBuy), IF(J862 = "Yes", 0, K861))</f>
        <v>93444.471424934673</v>
      </c>
      <c r="M862" s="19">
        <f>IF(I862 = "Yes", M861-(C862+CostBuy)*K862, IF(J862="Yes", M861+(C862-CostSell)*K861, M861+K862*Rate))</f>
        <v>9344.4471424933508</v>
      </c>
    </row>
    <row r="863" spans="2:13" s="11" customFormat="1" x14ac:dyDescent="0.2">
      <c r="B863" s="24">
        <v>1941.1</v>
      </c>
      <c r="C863" s="25">
        <v>9.83</v>
      </c>
      <c r="D863" s="40">
        <f t="shared" si="12"/>
        <v>9.9233333333333338</v>
      </c>
      <c r="E863" s="40">
        <f t="shared" si="13"/>
        <v>9.9224999999999977</v>
      </c>
      <c r="F863" s="12"/>
      <c r="G863" s="18" t="str">
        <f t="shared" si="14"/>
        <v>Yes</v>
      </c>
      <c r="H863" s="12"/>
      <c r="I863" s="39" t="str">
        <f>IF(BuyAllowed="Yes",IF(AND(G863 = "No", C863&gt;D863), "Yes", "No"),"No")</f>
        <v>No</v>
      </c>
      <c r="J863" s="39" t="str">
        <f>IF(SellAllowed="Yes",IF(AND(G863 = "Yes", C863&lt;E863), "Yes", "No"),"No")</f>
        <v>Yes</v>
      </c>
      <c r="K863" s="39">
        <f>IF(I863 = "Yes", M862/(C863+CostBuy), IF(J863 = "Yes", 0, K862))</f>
        <v>0</v>
      </c>
      <c r="M863" s="19">
        <f>IF(I863 = "Yes", M862-(C863+CostBuy)*K863, IF(J863="Yes", M862+(C863-CostSell)*K862, M862+K863*Rate))</f>
        <v>922296.93296410504</v>
      </c>
    </row>
    <row r="864" spans="2:13" s="11" customFormat="1" x14ac:dyDescent="0.2">
      <c r="B864" s="24">
        <v>1941.11</v>
      </c>
      <c r="C864" s="25">
        <v>9.3699999999999992</v>
      </c>
      <c r="D864" s="40">
        <f t="shared" si="12"/>
        <v>9.9550000000000001</v>
      </c>
      <c r="E864" s="40">
        <f t="shared" si="13"/>
        <v>9.9149999999999991</v>
      </c>
      <c r="F864" s="12"/>
      <c r="G864" s="18" t="str">
        <f t="shared" si="14"/>
        <v>No</v>
      </c>
      <c r="H864" s="12"/>
      <c r="I864" s="39" t="str">
        <f>IF(BuyAllowed="Yes",IF(AND(G864 = "No", C864&gt;D864), "Yes", "No"),"No")</f>
        <v>No</v>
      </c>
      <c r="J864" s="39" t="str">
        <f>IF(SellAllowed="Yes",IF(AND(G864 = "Yes", C864&lt;E864), "Yes", "No"),"No")</f>
        <v>No</v>
      </c>
      <c r="K864" s="39">
        <f>IF(I864 = "Yes", M863/(C864+CostBuy), IF(J864 = "Yes", 0, K863))</f>
        <v>0</v>
      </c>
      <c r="M864" s="19">
        <f>IF(I864 = "Yes", M863-(C864+CostBuy)*K864, IF(J864="Yes", M863+(C864-CostSell)*K863, M863+K864*Rate))</f>
        <v>922296.93296410504</v>
      </c>
    </row>
    <row r="865" spans="2:13" s="11" customFormat="1" x14ac:dyDescent="0.2">
      <c r="B865" s="24">
        <v>1941.12</v>
      </c>
      <c r="C865" s="25">
        <v>8.76</v>
      </c>
      <c r="D865" s="40">
        <f t="shared" si="12"/>
        <v>9.9449999999999985</v>
      </c>
      <c r="E865" s="40">
        <f t="shared" si="13"/>
        <v>9.8425000000000011</v>
      </c>
      <c r="F865" s="12"/>
      <c r="G865" s="18" t="str">
        <f t="shared" si="14"/>
        <v>No</v>
      </c>
      <c r="H865" s="12"/>
      <c r="I865" s="39" t="str">
        <f>IF(BuyAllowed="Yes",IF(AND(G865 = "No", C865&gt;D865), "Yes", "No"),"No")</f>
        <v>No</v>
      </c>
      <c r="J865" s="39" t="str">
        <f>IF(SellAllowed="Yes",IF(AND(G865 = "Yes", C865&lt;E865), "Yes", "No"),"No")</f>
        <v>No</v>
      </c>
      <c r="K865" s="39">
        <f>IF(I865 = "Yes", M864/(C865+CostBuy), IF(J865 = "Yes", 0, K864))</f>
        <v>0</v>
      </c>
      <c r="M865" s="19">
        <f>IF(I865 = "Yes", M864-(C865+CostBuy)*K865, IF(J865="Yes", M864+(C865-CostSell)*K864, M864+K865*Rate))</f>
        <v>922296.93296410504</v>
      </c>
    </row>
    <row r="866" spans="2:13" s="11" customFormat="1" x14ac:dyDescent="0.2">
      <c r="B866" s="24">
        <v>1942.01</v>
      </c>
      <c r="C866" s="25">
        <v>8.93</v>
      </c>
      <c r="D866" s="40">
        <f t="shared" si="12"/>
        <v>9.7783333333333324</v>
      </c>
      <c r="E866" s="40">
        <f t="shared" si="13"/>
        <v>9.7324999999999999</v>
      </c>
      <c r="F866" s="12"/>
      <c r="G866" s="18" t="str">
        <f t="shared" si="14"/>
        <v>No</v>
      </c>
      <c r="H866" s="12"/>
      <c r="I866" s="39" t="str">
        <f>IF(BuyAllowed="Yes",IF(AND(G866 = "No", C866&gt;D866), "Yes", "No"),"No")</f>
        <v>No</v>
      </c>
      <c r="J866" s="39" t="str">
        <f>IF(SellAllowed="Yes",IF(AND(G866 = "Yes", C866&lt;E866), "Yes", "No"),"No")</f>
        <v>No</v>
      </c>
      <c r="K866" s="39">
        <f>IF(I866 = "Yes", M865/(C866+CostBuy), IF(J866 = "Yes", 0, K865))</f>
        <v>0</v>
      </c>
      <c r="M866" s="19">
        <f>IF(I866 = "Yes", M865-(C866+CostBuy)*K866, IF(J866="Yes", M865+(C866-CostSell)*K865, M865+K866*Rate))</f>
        <v>922296.93296410504</v>
      </c>
    </row>
    <row r="867" spans="2:13" s="11" customFormat="1" x14ac:dyDescent="0.2">
      <c r="B867" s="24">
        <v>1942.02</v>
      </c>
      <c r="C867" s="25">
        <v>8.65</v>
      </c>
      <c r="D867" s="40">
        <f t="shared" si="12"/>
        <v>9.5566666666666666</v>
      </c>
      <c r="E867" s="40">
        <f t="shared" si="13"/>
        <v>9.6699999999999982</v>
      </c>
      <c r="F867" s="12"/>
      <c r="G867" s="18" t="str">
        <f t="shared" si="14"/>
        <v>No</v>
      </c>
      <c r="H867" s="12"/>
      <c r="I867" s="39" t="str">
        <f>IF(BuyAllowed="Yes",IF(AND(G867 = "No", C867&gt;D867), "Yes", "No"),"No")</f>
        <v>No</v>
      </c>
      <c r="J867" s="39" t="str">
        <f>IF(SellAllowed="Yes",IF(AND(G867 = "Yes", C867&lt;E867), "Yes", "No"),"No")</f>
        <v>No</v>
      </c>
      <c r="K867" s="39">
        <f>IF(I867 = "Yes", M866/(C867+CostBuy), IF(J867 = "Yes", 0, K866))</f>
        <v>0</v>
      </c>
      <c r="M867" s="19">
        <f>IF(I867 = "Yes", M866-(C867+CostBuy)*K867, IF(J867="Yes", M866+(C867-CostSell)*K866, M866+K867*Rate))</f>
        <v>922296.93296410504</v>
      </c>
    </row>
    <row r="868" spans="2:13" s="11" customFormat="1" x14ac:dyDescent="0.2">
      <c r="B868" s="24">
        <v>1942.03</v>
      </c>
      <c r="C868" s="25">
        <v>8.18</v>
      </c>
      <c r="D868" s="40">
        <f t="shared" si="12"/>
        <v>9.2966666666666651</v>
      </c>
      <c r="E868" s="40">
        <f t="shared" si="13"/>
        <v>9.53125</v>
      </c>
      <c r="F868" s="12"/>
      <c r="G868" s="18" t="str">
        <f t="shared" si="14"/>
        <v>No</v>
      </c>
      <c r="H868" s="12"/>
      <c r="I868" s="39" t="str">
        <f>IF(BuyAllowed="Yes",IF(AND(G868 = "No", C868&gt;D868), "Yes", "No"),"No")</f>
        <v>No</v>
      </c>
      <c r="J868" s="39" t="str">
        <f>IF(SellAllowed="Yes",IF(AND(G868 = "Yes", C868&lt;E868), "Yes", "No"),"No")</f>
        <v>No</v>
      </c>
      <c r="K868" s="39">
        <f>IF(I868 = "Yes", M867/(C868+CostBuy), IF(J868 = "Yes", 0, K867))</f>
        <v>0</v>
      </c>
      <c r="M868" s="19">
        <f>IF(I868 = "Yes", M867-(C868+CostBuy)*K868, IF(J868="Yes", M867+(C868-CostSell)*K867, M867+K868*Rate))</f>
        <v>922296.93296410504</v>
      </c>
    </row>
    <row r="869" spans="2:13" s="11" customFormat="1" x14ac:dyDescent="0.2">
      <c r="B869" s="24">
        <v>1942.04</v>
      </c>
      <c r="C869" s="25">
        <v>7.84</v>
      </c>
      <c r="D869" s="40">
        <f t="shared" si="12"/>
        <v>8.9533333333333331</v>
      </c>
      <c r="E869" s="40">
        <f t="shared" si="13"/>
        <v>9.2712499999999984</v>
      </c>
      <c r="F869" s="12"/>
      <c r="G869" s="18" t="str">
        <f t="shared" si="14"/>
        <v>No</v>
      </c>
      <c r="H869" s="12"/>
      <c r="I869" s="39" t="str">
        <f>IF(BuyAllowed="Yes",IF(AND(G869 = "No", C869&gt;D869), "Yes", "No"),"No")</f>
        <v>No</v>
      </c>
      <c r="J869" s="39" t="str">
        <f>IF(SellAllowed="Yes",IF(AND(G869 = "Yes", C869&lt;E869), "Yes", "No"),"No")</f>
        <v>No</v>
      </c>
      <c r="K869" s="39">
        <f>IF(I869 = "Yes", M868/(C869+CostBuy), IF(J869 = "Yes", 0, K868))</f>
        <v>0</v>
      </c>
      <c r="M869" s="19">
        <f>IF(I869 = "Yes", M868-(C869+CostBuy)*K869, IF(J869="Yes", M868+(C869-CostSell)*K868, M868+K869*Rate))</f>
        <v>922296.93296410504</v>
      </c>
    </row>
    <row r="870" spans="2:13" s="11" customFormat="1" x14ac:dyDescent="0.2">
      <c r="B870" s="24">
        <v>1942.05</v>
      </c>
      <c r="C870" s="25">
        <v>7.93</v>
      </c>
      <c r="D870" s="40">
        <f t="shared" si="12"/>
        <v>8.6216666666666679</v>
      </c>
      <c r="E870" s="40">
        <f t="shared" si="13"/>
        <v>8.9749999999999996</v>
      </c>
      <c r="F870" s="12"/>
      <c r="G870" s="18" t="str">
        <f t="shared" si="14"/>
        <v>No</v>
      </c>
      <c r="H870" s="12"/>
      <c r="I870" s="39" t="str">
        <f>IF(BuyAllowed="Yes",IF(AND(G870 = "No", C870&gt;D870), "Yes", "No"),"No")</f>
        <v>No</v>
      </c>
      <c r="J870" s="39" t="str">
        <f>IF(SellAllowed="Yes",IF(AND(G870 = "Yes", C870&lt;E870), "Yes", "No"),"No")</f>
        <v>No</v>
      </c>
      <c r="K870" s="39">
        <f>IF(I870 = "Yes", M869/(C870+CostBuy), IF(J870 = "Yes", 0, K869))</f>
        <v>0</v>
      </c>
      <c r="M870" s="19">
        <f>IF(I870 = "Yes", M869-(C870+CostBuy)*K870, IF(J870="Yes", M869+(C870-CostSell)*K869, M869+K870*Rate))</f>
        <v>922296.93296410504</v>
      </c>
    </row>
    <row r="871" spans="2:13" s="11" customFormat="1" x14ac:dyDescent="0.2">
      <c r="B871" s="24">
        <v>1942.06</v>
      </c>
      <c r="C871" s="25">
        <v>8.33</v>
      </c>
      <c r="D871" s="40">
        <f t="shared" si="12"/>
        <v>8.3816666666666659</v>
      </c>
      <c r="E871" s="40">
        <f t="shared" si="13"/>
        <v>8.6862500000000011</v>
      </c>
      <c r="F871" s="12"/>
      <c r="G871" s="18" t="str">
        <f t="shared" si="14"/>
        <v>No</v>
      </c>
      <c r="H871" s="12"/>
      <c r="I871" s="39" t="str">
        <f>IF(BuyAllowed="Yes",IF(AND(G871 = "No", C871&gt;D871), "Yes", "No"),"No")</f>
        <v>No</v>
      </c>
      <c r="J871" s="39" t="str">
        <f>IF(SellAllowed="Yes",IF(AND(G871 = "Yes", C871&lt;E871), "Yes", "No"),"No")</f>
        <v>No</v>
      </c>
      <c r="K871" s="39">
        <f>IF(I871 = "Yes", M870/(C871+CostBuy), IF(J871 = "Yes", 0, K870))</f>
        <v>0</v>
      </c>
      <c r="M871" s="19">
        <f>IF(I871 = "Yes", M870-(C871+CostBuy)*K871, IF(J871="Yes", M870+(C871-CostSell)*K870, M870+K871*Rate))</f>
        <v>922296.93296410504</v>
      </c>
    </row>
    <row r="872" spans="2:13" s="11" customFormat="1" x14ac:dyDescent="0.2">
      <c r="B872" s="24">
        <v>1942.07</v>
      </c>
      <c r="C872" s="25">
        <v>8.64</v>
      </c>
      <c r="D872" s="40">
        <f t="shared" si="12"/>
        <v>8.3099999999999987</v>
      </c>
      <c r="E872" s="40">
        <f t="shared" si="13"/>
        <v>8.4987500000000011</v>
      </c>
      <c r="F872" s="12"/>
      <c r="G872" s="18" t="str">
        <f t="shared" si="14"/>
        <v>No</v>
      </c>
      <c r="H872" s="12"/>
      <c r="I872" s="39" t="str">
        <f>IF(BuyAllowed="Yes",IF(AND(G872 = "No", C872&gt;D872), "Yes", "No"),"No")</f>
        <v>Yes</v>
      </c>
      <c r="J872" s="39" t="str">
        <f>IF(SellAllowed="Yes",IF(AND(G872 = "Yes", C872&lt;E872), "Yes", "No"),"No")</f>
        <v>No</v>
      </c>
      <c r="K872" s="39">
        <f>IF(I872 = "Yes", M871/(C872+CostBuy), IF(J872 = "Yes", 0, K871))</f>
        <v>106377.96227959689</v>
      </c>
      <c r="M872" s="19">
        <f>IF(I872 = "Yes", M871-(C872+CostBuy)*K872, IF(J872="Yes", M871+(C872-CostSell)*K871, M871+K872*Rate))</f>
        <v>0</v>
      </c>
    </row>
    <row r="873" spans="2:13" s="11" customFormat="1" x14ac:dyDescent="0.2">
      <c r="B873" s="24">
        <v>1942.08</v>
      </c>
      <c r="C873" s="25">
        <v>8.59</v>
      </c>
      <c r="D873" s="40">
        <f t="shared" si="12"/>
        <v>8.2616666666666649</v>
      </c>
      <c r="E873" s="40">
        <f t="shared" si="13"/>
        <v>8.4074999999999989</v>
      </c>
      <c r="F873" s="12"/>
      <c r="G873" s="18" t="str">
        <f t="shared" si="14"/>
        <v>Yes</v>
      </c>
      <c r="H873" s="12"/>
      <c r="I873" s="39" t="str">
        <f>IF(BuyAllowed="Yes",IF(AND(G873 = "No", C873&gt;D873), "Yes", "No"),"No")</f>
        <v>No</v>
      </c>
      <c r="J873" s="39" t="str">
        <f>IF(SellAllowed="Yes",IF(AND(G873 = "Yes", C873&lt;E873), "Yes", "No"),"No")</f>
        <v>No</v>
      </c>
      <c r="K873" s="39">
        <f>IF(I873 = "Yes", M872/(C873+CostBuy), IF(J873 = "Yes", 0, K872))</f>
        <v>106377.96227959689</v>
      </c>
      <c r="M873" s="19">
        <f>IF(I873 = "Yes", M872-(C873+CostBuy)*K873, IF(J873="Yes", M872+(C873-CostSell)*K872, M872+K873*Rate))</f>
        <v>5318.8981139798452</v>
      </c>
    </row>
    <row r="874" spans="2:13" s="11" customFormat="1" x14ac:dyDescent="0.2">
      <c r="B874" s="24">
        <v>1942.09</v>
      </c>
      <c r="C874" s="25">
        <v>8.68</v>
      </c>
      <c r="D874" s="40">
        <f t="shared" si="12"/>
        <v>8.2516666666666669</v>
      </c>
      <c r="E874" s="40">
        <f t="shared" si="13"/>
        <v>8.3862499999999986</v>
      </c>
      <c r="F874" s="12"/>
      <c r="G874" s="18" t="str">
        <f t="shared" si="14"/>
        <v>Yes</v>
      </c>
      <c r="H874" s="12"/>
      <c r="I874" s="39" t="str">
        <f>IF(BuyAllowed="Yes",IF(AND(G874 = "No", C874&gt;D874), "Yes", "No"),"No")</f>
        <v>No</v>
      </c>
      <c r="J874" s="39" t="str">
        <f>IF(SellAllowed="Yes",IF(AND(G874 = "Yes", C874&lt;E874), "Yes", "No"),"No")</f>
        <v>No</v>
      </c>
      <c r="K874" s="39">
        <f>IF(I874 = "Yes", M873/(C874+CostBuy), IF(J874 = "Yes", 0, K873))</f>
        <v>106377.96227959689</v>
      </c>
      <c r="M874" s="19">
        <f>IF(I874 = "Yes", M873-(C874+CostBuy)*K874, IF(J874="Yes", M873+(C874-CostSell)*K873, M873+K874*Rate))</f>
        <v>10637.79622795969</v>
      </c>
    </row>
    <row r="875" spans="2:13" s="11" customFormat="1" x14ac:dyDescent="0.2">
      <c r="B875" s="24">
        <v>1942.1</v>
      </c>
      <c r="C875" s="25">
        <v>9.32</v>
      </c>
      <c r="D875" s="40">
        <f t="shared" si="12"/>
        <v>8.3349999999999991</v>
      </c>
      <c r="E875" s="40">
        <f t="shared" si="13"/>
        <v>8.3550000000000004</v>
      </c>
      <c r="F875" s="12"/>
      <c r="G875" s="18" t="str">
        <f t="shared" si="14"/>
        <v>Yes</v>
      </c>
      <c r="H875" s="12"/>
      <c r="I875" s="39" t="str">
        <f>IF(BuyAllowed="Yes",IF(AND(G875 = "No", C875&gt;D875), "Yes", "No"),"No")</f>
        <v>No</v>
      </c>
      <c r="J875" s="39" t="str">
        <f>IF(SellAllowed="Yes",IF(AND(G875 = "Yes", C875&lt;E875), "Yes", "No"),"No")</f>
        <v>No</v>
      </c>
      <c r="K875" s="39">
        <f>IF(I875 = "Yes", M874/(C875+CostBuy), IF(J875 = "Yes", 0, K874))</f>
        <v>106377.96227959689</v>
      </c>
      <c r="M875" s="19">
        <f>IF(I875 = "Yes", M874-(C875+CostBuy)*K875, IF(J875="Yes", M874+(C875-CostSell)*K874, M874+K875*Rate))</f>
        <v>15956.694341939536</v>
      </c>
    </row>
    <row r="876" spans="2:13" s="11" customFormat="1" x14ac:dyDescent="0.2">
      <c r="B876" s="24">
        <v>1942.11</v>
      </c>
      <c r="C876" s="25">
        <v>9.4700000000000006</v>
      </c>
      <c r="D876" s="40">
        <f t="shared" si="12"/>
        <v>8.5816666666666652</v>
      </c>
      <c r="E876" s="40">
        <f t="shared" si="13"/>
        <v>8.4387500000000006</v>
      </c>
      <c r="F876" s="12"/>
      <c r="G876" s="18" t="str">
        <f t="shared" si="14"/>
        <v>Yes</v>
      </c>
      <c r="H876" s="12"/>
      <c r="I876" s="39" t="str">
        <f>IF(BuyAllowed="Yes",IF(AND(G876 = "No", C876&gt;D876), "Yes", "No"),"No")</f>
        <v>No</v>
      </c>
      <c r="J876" s="39" t="str">
        <f>IF(SellAllowed="Yes",IF(AND(G876 = "Yes", C876&lt;E876), "Yes", "No"),"No")</f>
        <v>No</v>
      </c>
      <c r="K876" s="39">
        <f>IF(I876 = "Yes", M875/(C876+CostBuy), IF(J876 = "Yes", 0, K875))</f>
        <v>106377.96227959689</v>
      </c>
      <c r="M876" s="19">
        <f>IF(I876 = "Yes", M875-(C876+CostBuy)*K876, IF(J876="Yes", M875+(C876-CostSell)*K875, M875+K876*Rate))</f>
        <v>21275.592455919381</v>
      </c>
    </row>
    <row r="877" spans="2:13" s="11" customFormat="1" x14ac:dyDescent="0.2">
      <c r="B877" s="24">
        <v>1942.12</v>
      </c>
      <c r="C877" s="25">
        <v>9.52</v>
      </c>
      <c r="D877" s="40">
        <f t="shared" si="12"/>
        <v>8.8383333333333329</v>
      </c>
      <c r="E877" s="40">
        <f t="shared" si="13"/>
        <v>8.6</v>
      </c>
      <c r="F877" s="12"/>
      <c r="G877" s="18" t="str">
        <f t="shared" si="14"/>
        <v>Yes</v>
      </c>
      <c r="H877" s="12"/>
      <c r="I877" s="39" t="str">
        <f>IF(BuyAllowed="Yes",IF(AND(G877 = "No", C877&gt;D877), "Yes", "No"),"No")</f>
        <v>No</v>
      </c>
      <c r="J877" s="39" t="str">
        <f>IF(SellAllowed="Yes",IF(AND(G877 = "Yes", C877&lt;E877), "Yes", "No"),"No")</f>
        <v>No</v>
      </c>
      <c r="K877" s="39">
        <f>IF(I877 = "Yes", M876/(C877+CostBuy), IF(J877 = "Yes", 0, K876))</f>
        <v>106377.96227959689</v>
      </c>
      <c r="M877" s="19">
        <f>IF(I877 = "Yes", M876-(C877+CostBuy)*K877, IF(J877="Yes", M876+(C877-CostSell)*K876, M876+K877*Rate))</f>
        <v>26594.490569899226</v>
      </c>
    </row>
    <row r="878" spans="2:13" s="11" customFormat="1" x14ac:dyDescent="0.2">
      <c r="B878" s="24">
        <v>1943.01</v>
      </c>
      <c r="C878" s="25">
        <v>10.09</v>
      </c>
      <c r="D878" s="40">
        <f t="shared" si="12"/>
        <v>9.0366666666666671</v>
      </c>
      <c r="E878" s="40">
        <f t="shared" si="13"/>
        <v>8.8099999999999987</v>
      </c>
      <c r="F878" s="12"/>
      <c r="G878" s="18" t="str">
        <f t="shared" si="14"/>
        <v>Yes</v>
      </c>
      <c r="H878" s="12"/>
      <c r="I878" s="39" t="str">
        <f>IF(BuyAllowed="Yes",IF(AND(G878 = "No", C878&gt;D878), "Yes", "No"),"No")</f>
        <v>No</v>
      </c>
      <c r="J878" s="39" t="str">
        <f>IF(SellAllowed="Yes",IF(AND(G878 = "Yes", C878&lt;E878), "Yes", "No"),"No")</f>
        <v>No</v>
      </c>
      <c r="K878" s="39">
        <f>IF(I878 = "Yes", M877/(C878+CostBuy), IF(J878 = "Yes", 0, K877))</f>
        <v>106377.96227959689</v>
      </c>
      <c r="M878" s="19">
        <f>IF(I878 = "Yes", M877-(C878+CostBuy)*K878, IF(J878="Yes", M877+(C878-CostSell)*K877, M877+K878*Rate))</f>
        <v>31913.388683879071</v>
      </c>
    </row>
    <row r="879" spans="2:13" s="11" customFormat="1" x14ac:dyDescent="0.2">
      <c r="B879" s="24">
        <v>1943.02</v>
      </c>
      <c r="C879" s="25">
        <v>10.69</v>
      </c>
      <c r="D879" s="40">
        <f t="shared" si="12"/>
        <v>9.2783333333333342</v>
      </c>
      <c r="E879" s="40">
        <f t="shared" si="13"/>
        <v>9.08</v>
      </c>
      <c r="F879" s="12"/>
      <c r="G879" s="18" t="str">
        <f t="shared" si="14"/>
        <v>Yes</v>
      </c>
      <c r="H879" s="12"/>
      <c r="I879" s="39" t="str">
        <f>IF(BuyAllowed="Yes",IF(AND(G879 = "No", C879&gt;D879), "Yes", "No"),"No")</f>
        <v>No</v>
      </c>
      <c r="J879" s="39" t="str">
        <f>IF(SellAllowed="Yes",IF(AND(G879 = "Yes", C879&lt;E879), "Yes", "No"),"No")</f>
        <v>No</v>
      </c>
      <c r="K879" s="39">
        <f>IF(I879 = "Yes", M878/(C879+CostBuy), IF(J879 = "Yes", 0, K878))</f>
        <v>106377.96227959689</v>
      </c>
      <c r="M879" s="19">
        <f>IF(I879 = "Yes", M878-(C879+CostBuy)*K879, IF(J879="Yes", M878+(C879-CostSell)*K878, M878+K879*Rate))</f>
        <v>37232.28679785892</v>
      </c>
    </row>
    <row r="880" spans="2:13" s="11" customFormat="1" x14ac:dyDescent="0.2">
      <c r="B880" s="24">
        <v>1943.03</v>
      </c>
      <c r="C880" s="25">
        <v>11.07</v>
      </c>
      <c r="D880" s="40">
        <f t="shared" si="12"/>
        <v>9.6283333333333321</v>
      </c>
      <c r="E880" s="40">
        <f t="shared" si="13"/>
        <v>9.375</v>
      </c>
      <c r="F880" s="12"/>
      <c r="G880" s="18" t="str">
        <f t="shared" si="14"/>
        <v>Yes</v>
      </c>
      <c r="H880" s="12"/>
      <c r="I880" s="39" t="str">
        <f>IF(BuyAllowed="Yes",IF(AND(G880 = "No", C880&gt;D880), "Yes", "No"),"No")</f>
        <v>No</v>
      </c>
      <c r="J880" s="39" t="str">
        <f>IF(SellAllowed="Yes",IF(AND(G880 = "Yes", C880&lt;E880), "Yes", "No"),"No")</f>
        <v>No</v>
      </c>
      <c r="K880" s="39">
        <f>IF(I880 = "Yes", M879/(C880+CostBuy), IF(J880 = "Yes", 0, K879))</f>
        <v>106377.96227959689</v>
      </c>
      <c r="M880" s="19">
        <f>IF(I880 = "Yes", M879-(C880+CostBuy)*K880, IF(J880="Yes", M879+(C880-CostSell)*K879, M879+K880*Rate))</f>
        <v>42551.184911838762</v>
      </c>
    </row>
    <row r="881" spans="2:13" s="11" customFormat="1" x14ac:dyDescent="0.2">
      <c r="B881" s="24">
        <v>1943.04</v>
      </c>
      <c r="C881" s="25">
        <v>11.44</v>
      </c>
      <c r="D881" s="40">
        <f t="shared" si="12"/>
        <v>10.026666666666666</v>
      </c>
      <c r="E881" s="40">
        <f t="shared" si="13"/>
        <v>9.6787500000000009</v>
      </c>
      <c r="F881" s="12"/>
      <c r="G881" s="18" t="str">
        <f t="shared" si="14"/>
        <v>Yes</v>
      </c>
      <c r="H881" s="12"/>
      <c r="I881" s="39" t="str">
        <f>IF(BuyAllowed="Yes",IF(AND(G881 = "No", C881&gt;D881), "Yes", "No"),"No")</f>
        <v>No</v>
      </c>
      <c r="J881" s="39" t="str">
        <f>IF(SellAllowed="Yes",IF(AND(G881 = "Yes", C881&lt;E881), "Yes", "No"),"No")</f>
        <v>No</v>
      </c>
      <c r="K881" s="39">
        <f>IF(I881 = "Yes", M880/(C881+CostBuy), IF(J881 = "Yes", 0, K880))</f>
        <v>106377.96227959689</v>
      </c>
      <c r="M881" s="19">
        <f>IF(I881 = "Yes", M880-(C881+CostBuy)*K881, IF(J881="Yes", M880+(C881-CostSell)*K880, M880+K881*Rate))</f>
        <v>47870.083025818603</v>
      </c>
    </row>
    <row r="882" spans="2:13" s="11" customFormat="1" x14ac:dyDescent="0.2">
      <c r="B882" s="24">
        <v>1943.05</v>
      </c>
      <c r="C882" s="25">
        <v>11.89</v>
      </c>
      <c r="D882" s="40">
        <f t="shared" si="12"/>
        <v>10.38</v>
      </c>
      <c r="E882" s="40">
        <f t="shared" si="13"/>
        <v>10.035</v>
      </c>
      <c r="F882" s="12"/>
      <c r="G882" s="18" t="str">
        <f t="shared" si="14"/>
        <v>Yes</v>
      </c>
      <c r="H882" s="12"/>
      <c r="I882" s="39" t="str">
        <f>IF(BuyAllowed="Yes",IF(AND(G882 = "No", C882&gt;D882), "Yes", "No"),"No")</f>
        <v>No</v>
      </c>
      <c r="J882" s="39" t="str">
        <f>IF(SellAllowed="Yes",IF(AND(G882 = "Yes", C882&lt;E882), "Yes", "No"),"No")</f>
        <v>No</v>
      </c>
      <c r="K882" s="39">
        <f>IF(I882 = "Yes", M881/(C882+CostBuy), IF(J882 = "Yes", 0, K881))</f>
        <v>106377.96227959689</v>
      </c>
      <c r="M882" s="19">
        <f>IF(I882 = "Yes", M881-(C882+CostBuy)*K882, IF(J882="Yes", M881+(C882-CostSell)*K881, M881+K882*Rate))</f>
        <v>53188.981139798445</v>
      </c>
    </row>
    <row r="883" spans="2:13" s="11" customFormat="1" x14ac:dyDescent="0.2">
      <c r="B883" s="24">
        <v>1943.06</v>
      </c>
      <c r="C883" s="25">
        <v>12.1</v>
      </c>
      <c r="D883" s="40">
        <f t="shared" si="12"/>
        <v>10.783333333333331</v>
      </c>
      <c r="E883" s="40">
        <f t="shared" si="13"/>
        <v>10.436249999999999</v>
      </c>
      <c r="F883" s="12"/>
      <c r="G883" s="18" t="str">
        <f t="shared" si="14"/>
        <v>Yes</v>
      </c>
      <c r="H883" s="12"/>
      <c r="I883" s="39" t="str">
        <f>IF(BuyAllowed="Yes",IF(AND(G883 = "No", C883&gt;D883), "Yes", "No"),"No")</f>
        <v>No</v>
      </c>
      <c r="J883" s="39" t="str">
        <f>IF(SellAllowed="Yes",IF(AND(G883 = "Yes", C883&lt;E883), "Yes", "No"),"No")</f>
        <v>No</v>
      </c>
      <c r="K883" s="39">
        <f>IF(I883 = "Yes", M882/(C883+CostBuy), IF(J883 = "Yes", 0, K882))</f>
        <v>106377.96227959689</v>
      </c>
      <c r="M883" s="19">
        <f>IF(I883 = "Yes", M882-(C883+CostBuy)*K883, IF(J883="Yes", M882+(C883-CostSell)*K882, M882+K883*Rate))</f>
        <v>58507.879253778287</v>
      </c>
    </row>
    <row r="884" spans="2:13" s="11" customFormat="1" x14ac:dyDescent="0.2">
      <c r="B884" s="24">
        <v>1943.07</v>
      </c>
      <c r="C884" s="25">
        <v>12.35</v>
      </c>
      <c r="D884" s="40">
        <f t="shared" si="12"/>
        <v>11.213333333333333</v>
      </c>
      <c r="E884" s="40">
        <f t="shared" si="13"/>
        <v>10.78375</v>
      </c>
      <c r="F884" s="12"/>
      <c r="G884" s="18" t="str">
        <f t="shared" si="14"/>
        <v>Yes</v>
      </c>
      <c r="H884" s="12"/>
      <c r="I884" s="39" t="str">
        <f>IF(BuyAllowed="Yes",IF(AND(G884 = "No", C884&gt;D884), "Yes", "No"),"No")</f>
        <v>No</v>
      </c>
      <c r="J884" s="39" t="str">
        <f>IF(SellAllowed="Yes",IF(AND(G884 = "Yes", C884&lt;E884), "Yes", "No"),"No")</f>
        <v>No</v>
      </c>
      <c r="K884" s="39">
        <f>IF(I884 = "Yes", M883/(C884+CostBuy), IF(J884 = "Yes", 0, K883))</f>
        <v>106377.96227959689</v>
      </c>
      <c r="M884" s="19">
        <f>IF(I884 = "Yes", M883-(C884+CostBuy)*K884, IF(J884="Yes", M883+(C884-CostSell)*K883, M883+K884*Rate))</f>
        <v>63826.777367758128</v>
      </c>
    </row>
    <row r="885" spans="2:13" s="11" customFormat="1" x14ac:dyDescent="0.2">
      <c r="B885" s="24">
        <v>1943.08</v>
      </c>
      <c r="C885" s="25">
        <v>11.74</v>
      </c>
      <c r="D885" s="40">
        <f t="shared" si="12"/>
        <v>11.589999999999998</v>
      </c>
      <c r="E885" s="40">
        <f t="shared" si="13"/>
        <v>11.143749999999997</v>
      </c>
      <c r="F885" s="12"/>
      <c r="G885" s="18" t="str">
        <f t="shared" si="14"/>
        <v>Yes</v>
      </c>
      <c r="H885" s="12"/>
      <c r="I885" s="39" t="str">
        <f>IF(BuyAllowed="Yes",IF(AND(G885 = "No", C885&gt;D885), "Yes", "No"),"No")</f>
        <v>No</v>
      </c>
      <c r="J885" s="39" t="str">
        <f>IF(SellAllowed="Yes",IF(AND(G885 = "Yes", C885&lt;E885), "Yes", "No"),"No")</f>
        <v>No</v>
      </c>
      <c r="K885" s="39">
        <f>IF(I885 = "Yes", M884/(C885+CostBuy), IF(J885 = "Yes", 0, K884))</f>
        <v>106377.96227959689</v>
      </c>
      <c r="M885" s="19">
        <f>IF(I885 = "Yes", M884-(C885+CostBuy)*K885, IF(J885="Yes", M884+(C885-CostSell)*K884, M884+K885*Rate))</f>
        <v>69145.67548173797</v>
      </c>
    </row>
    <row r="886" spans="2:13" s="11" customFormat="1" x14ac:dyDescent="0.2">
      <c r="B886" s="24">
        <v>1943.09</v>
      </c>
      <c r="C886" s="25">
        <v>11.99</v>
      </c>
      <c r="D886" s="40">
        <f t="shared" si="12"/>
        <v>11.765000000000001</v>
      </c>
      <c r="E886" s="40">
        <f t="shared" si="13"/>
        <v>11.421249999999999</v>
      </c>
      <c r="F886" s="12"/>
      <c r="G886" s="18" t="str">
        <f t="shared" si="14"/>
        <v>Yes</v>
      </c>
      <c r="H886" s="12"/>
      <c r="I886" s="39" t="str">
        <f>IF(BuyAllowed="Yes",IF(AND(G886 = "No", C886&gt;D886), "Yes", "No"),"No")</f>
        <v>No</v>
      </c>
      <c r="J886" s="39" t="str">
        <f>IF(SellAllowed="Yes",IF(AND(G886 = "Yes", C886&lt;E886), "Yes", "No"),"No")</f>
        <v>No</v>
      </c>
      <c r="K886" s="39">
        <f>IF(I886 = "Yes", M885/(C886+CostBuy), IF(J886 = "Yes", 0, K885))</f>
        <v>106377.96227959689</v>
      </c>
      <c r="M886" s="19">
        <f>IF(I886 = "Yes", M885-(C886+CostBuy)*K886, IF(J886="Yes", M885+(C886-CostSell)*K885, M885+K886*Rate))</f>
        <v>74464.573595717811</v>
      </c>
    </row>
    <row r="887" spans="2:13" s="11" customFormat="1" x14ac:dyDescent="0.2">
      <c r="B887" s="24">
        <v>1943.1</v>
      </c>
      <c r="C887" s="25">
        <v>11.88</v>
      </c>
      <c r="D887" s="40">
        <f t="shared" si="12"/>
        <v>11.918333333333335</v>
      </c>
      <c r="E887" s="40">
        <f t="shared" si="13"/>
        <v>11.658749999999998</v>
      </c>
      <c r="F887" s="12"/>
      <c r="G887" s="18" t="str">
        <f t="shared" si="14"/>
        <v>Yes</v>
      </c>
      <c r="H887" s="12"/>
      <c r="I887" s="39" t="str">
        <f>IF(BuyAllowed="Yes",IF(AND(G887 = "No", C887&gt;D887), "Yes", "No"),"No")</f>
        <v>No</v>
      </c>
      <c r="J887" s="39" t="str">
        <f>IF(SellAllowed="Yes",IF(AND(G887 = "Yes", C887&lt;E887), "Yes", "No"),"No")</f>
        <v>No</v>
      </c>
      <c r="K887" s="39">
        <f>IF(I887 = "Yes", M886/(C887+CostBuy), IF(J887 = "Yes", 0, K886))</f>
        <v>106377.96227959689</v>
      </c>
      <c r="M887" s="19">
        <f>IF(I887 = "Yes", M886-(C887+CostBuy)*K887, IF(J887="Yes", M886+(C887-CostSell)*K886, M886+K887*Rate))</f>
        <v>79783.471709697653</v>
      </c>
    </row>
    <row r="888" spans="2:13" s="11" customFormat="1" x14ac:dyDescent="0.2">
      <c r="B888" s="24">
        <v>1943.11</v>
      </c>
      <c r="C888" s="25">
        <v>11.33</v>
      </c>
      <c r="D888" s="40">
        <f t="shared" si="12"/>
        <v>11.991666666666667</v>
      </c>
      <c r="E888" s="40">
        <f t="shared" si="13"/>
        <v>11.807499999999999</v>
      </c>
      <c r="F888" s="12"/>
      <c r="G888" s="18" t="str">
        <f t="shared" si="14"/>
        <v>Yes</v>
      </c>
      <c r="H888" s="12"/>
      <c r="I888" s="39" t="str">
        <f>IF(BuyAllowed="Yes",IF(AND(G888 = "No", C888&gt;D888), "Yes", "No"),"No")</f>
        <v>No</v>
      </c>
      <c r="J888" s="39" t="str">
        <f>IF(SellAllowed="Yes",IF(AND(G888 = "Yes", C888&lt;E888), "Yes", "No"),"No")</f>
        <v>Yes</v>
      </c>
      <c r="K888" s="39">
        <f>IF(I888 = "Yes", M887/(C888+CostBuy), IF(J888 = "Yes", 0, K887))</f>
        <v>0</v>
      </c>
      <c r="M888" s="19">
        <f>IF(I888 = "Yes", M887-(C888+CostBuy)*K888, IF(J888="Yes", M887+(C888-CostSell)*K887, M887+K888*Rate))</f>
        <v>1278663.1066007547</v>
      </c>
    </row>
    <row r="889" spans="2:13" s="11" customFormat="1" x14ac:dyDescent="0.2">
      <c r="B889" s="24">
        <v>1943.12</v>
      </c>
      <c r="C889" s="25">
        <v>11.48</v>
      </c>
      <c r="D889" s="40">
        <f t="shared" si="12"/>
        <v>11.898333333333333</v>
      </c>
      <c r="E889" s="40">
        <f t="shared" si="13"/>
        <v>11.84</v>
      </c>
      <c r="F889" s="12"/>
      <c r="G889" s="18" t="str">
        <f t="shared" si="14"/>
        <v>No</v>
      </c>
      <c r="H889" s="12"/>
      <c r="I889" s="39" t="str">
        <f>IF(BuyAllowed="Yes",IF(AND(G889 = "No", C889&gt;D889), "Yes", "No"),"No")</f>
        <v>No</v>
      </c>
      <c r="J889" s="39" t="str">
        <f>IF(SellAllowed="Yes",IF(AND(G889 = "Yes", C889&lt;E889), "Yes", "No"),"No")</f>
        <v>No</v>
      </c>
      <c r="K889" s="39">
        <f>IF(I889 = "Yes", M888/(C889+CostBuy), IF(J889 = "Yes", 0, K888))</f>
        <v>0</v>
      </c>
      <c r="M889" s="19">
        <f>IF(I889 = "Yes", M888-(C889+CostBuy)*K889, IF(J889="Yes", M888+(C889-CostSell)*K888, M888+K889*Rate))</f>
        <v>1278663.1066007547</v>
      </c>
    </row>
    <row r="890" spans="2:13" s="11" customFormat="1" x14ac:dyDescent="0.2">
      <c r="B890" s="24">
        <v>1944.01</v>
      </c>
      <c r="C890" s="25">
        <v>11.85</v>
      </c>
      <c r="D890" s="40">
        <f t="shared" si="12"/>
        <v>11.795</v>
      </c>
      <c r="E890" s="40">
        <f t="shared" si="13"/>
        <v>11.845000000000001</v>
      </c>
      <c r="F890" s="12"/>
      <c r="G890" s="18" t="str">
        <f t="shared" si="14"/>
        <v>No</v>
      </c>
      <c r="H890" s="12"/>
      <c r="I890" s="39" t="str">
        <f>IF(BuyAllowed="Yes",IF(AND(G890 = "No", C890&gt;D890), "Yes", "No"),"No")</f>
        <v>Yes</v>
      </c>
      <c r="J890" s="39" t="str">
        <f>IF(SellAllowed="Yes",IF(AND(G890 = "Yes", C890&lt;E890), "Yes", "No"),"No")</f>
        <v>No</v>
      </c>
      <c r="K890" s="39">
        <f>IF(I890 = "Yes", M889/(C890+CostBuy), IF(J890 = "Yes", 0, K889))</f>
        <v>107631.57462969316</v>
      </c>
      <c r="M890" s="19">
        <f>IF(I890 = "Yes", M889-(C890+CostBuy)*K890, IF(J890="Yes", M889+(C890-CostSell)*K889, M889+K890*Rate))</f>
        <v>0</v>
      </c>
    </row>
    <row r="891" spans="2:13" s="11" customFormat="1" x14ac:dyDescent="0.2">
      <c r="B891" s="24">
        <v>1944.02</v>
      </c>
      <c r="C891" s="25">
        <v>11.77</v>
      </c>
      <c r="D891" s="40">
        <f t="shared" si="12"/>
        <v>11.711666666666666</v>
      </c>
      <c r="E891" s="40">
        <f t="shared" si="13"/>
        <v>11.84</v>
      </c>
      <c r="F891" s="12"/>
      <c r="G891" s="18" t="str">
        <f t="shared" si="14"/>
        <v>Yes</v>
      </c>
      <c r="H891" s="12"/>
      <c r="I891" s="39" t="str">
        <f>IF(BuyAllowed="Yes",IF(AND(G891 = "No", C891&gt;D891), "Yes", "No"),"No")</f>
        <v>No</v>
      </c>
      <c r="J891" s="39" t="str">
        <f>IF(SellAllowed="Yes",IF(AND(G891 = "Yes", C891&lt;E891), "Yes", "No"),"No")</f>
        <v>Yes</v>
      </c>
      <c r="K891" s="39">
        <f>IF(I891 = "Yes", M890/(C891+CostBuy), IF(J891 = "Yes", 0, K890))</f>
        <v>0</v>
      </c>
      <c r="M891" s="19">
        <f>IF(I891 = "Yes", M890-(C891+CostBuy)*K891, IF(J891="Yes", M890+(C891-CostSell)*K890, M890+K891*Rate))</f>
        <v>1260365.7389137067</v>
      </c>
    </row>
    <row r="892" spans="2:13" s="11" customFormat="1" x14ac:dyDescent="0.2">
      <c r="B892" s="24">
        <v>1944.03</v>
      </c>
      <c r="C892" s="25">
        <v>12.1</v>
      </c>
      <c r="D892" s="40">
        <f t="shared" si="12"/>
        <v>11.716666666666669</v>
      </c>
      <c r="E892" s="40">
        <f t="shared" si="13"/>
        <v>11.798749999999998</v>
      </c>
      <c r="F892" s="12"/>
      <c r="G892" s="18" t="str">
        <f t="shared" si="14"/>
        <v>No</v>
      </c>
      <c r="H892" s="12"/>
      <c r="I892" s="39" t="str">
        <f>IF(BuyAllowed="Yes",IF(AND(G892 = "No", C892&gt;D892), "Yes", "No"),"No")</f>
        <v>Yes</v>
      </c>
      <c r="J892" s="39" t="str">
        <f>IF(SellAllowed="Yes",IF(AND(G892 = "Yes", C892&lt;E892), "Yes", "No"),"No")</f>
        <v>No</v>
      </c>
      <c r="K892" s="39">
        <f>IF(I892 = "Yes", M891/(C892+CostBuy), IF(J892 = "Yes", 0, K891))</f>
        <v>103904.84244960485</v>
      </c>
      <c r="M892" s="19">
        <f>IF(I892 = "Yes", M891-(C892+CostBuy)*K892, IF(J892="Yes", M891+(C892-CostSell)*K891, M891+K892*Rate))</f>
        <v>0</v>
      </c>
    </row>
    <row r="893" spans="2:13" s="11" customFormat="1" x14ac:dyDescent="0.2">
      <c r="B893" s="24">
        <v>1944.04</v>
      </c>
      <c r="C893" s="25">
        <v>11.89</v>
      </c>
      <c r="D893" s="40">
        <f t="shared" si="12"/>
        <v>11.734999999999999</v>
      </c>
      <c r="E893" s="40">
        <f t="shared" si="13"/>
        <v>11.767499999999998</v>
      </c>
      <c r="F893" s="12"/>
      <c r="G893" s="18" t="str">
        <f t="shared" si="14"/>
        <v>Yes</v>
      </c>
      <c r="H893" s="12"/>
      <c r="I893" s="39" t="str">
        <f>IF(BuyAllowed="Yes",IF(AND(G893 = "No", C893&gt;D893), "Yes", "No"),"No")</f>
        <v>No</v>
      </c>
      <c r="J893" s="39" t="str">
        <f>IF(SellAllowed="Yes",IF(AND(G893 = "Yes", C893&lt;E893), "Yes", "No"),"No")</f>
        <v>No</v>
      </c>
      <c r="K893" s="39">
        <f>IF(I893 = "Yes", M892/(C893+CostBuy), IF(J893 = "Yes", 0, K892))</f>
        <v>103904.84244960485</v>
      </c>
      <c r="M893" s="19">
        <f>IF(I893 = "Yes", M892-(C893+CostBuy)*K893, IF(J893="Yes", M892+(C893-CostSell)*K892, M892+K893*Rate))</f>
        <v>5195.2421224802429</v>
      </c>
    </row>
    <row r="894" spans="2:13" s="11" customFormat="1" x14ac:dyDescent="0.2">
      <c r="B894" s="24">
        <v>1944.05</v>
      </c>
      <c r="C894" s="25">
        <v>12.1</v>
      </c>
      <c r="D894" s="40">
        <f t="shared" si="12"/>
        <v>11.73666666666667</v>
      </c>
      <c r="E894" s="40">
        <f t="shared" si="13"/>
        <v>11.786250000000001</v>
      </c>
      <c r="F894" s="12"/>
      <c r="G894" s="18" t="str">
        <f t="shared" si="14"/>
        <v>Yes</v>
      </c>
      <c r="H894" s="12"/>
      <c r="I894" s="39" t="str">
        <f>IF(BuyAllowed="Yes",IF(AND(G894 = "No", C894&gt;D894), "Yes", "No"),"No")</f>
        <v>No</v>
      </c>
      <c r="J894" s="39" t="str">
        <f>IF(SellAllowed="Yes",IF(AND(G894 = "Yes", C894&lt;E894), "Yes", "No"),"No")</f>
        <v>No</v>
      </c>
      <c r="K894" s="39">
        <f>IF(I894 = "Yes", M893/(C894+CostBuy), IF(J894 = "Yes", 0, K893))</f>
        <v>103904.84244960485</v>
      </c>
      <c r="M894" s="19">
        <f>IF(I894 = "Yes", M893-(C894+CostBuy)*K894, IF(J894="Yes", M893+(C894-CostSell)*K893, M893+K894*Rate))</f>
        <v>10390.484244960486</v>
      </c>
    </row>
    <row r="895" spans="2:13" s="11" customFormat="1" x14ac:dyDescent="0.2">
      <c r="B895" s="24">
        <v>1944.06</v>
      </c>
      <c r="C895" s="25">
        <v>12.67</v>
      </c>
      <c r="D895" s="40">
        <f t="shared" si="12"/>
        <v>11.865</v>
      </c>
      <c r="E895" s="40">
        <f t="shared" si="13"/>
        <v>11.799999999999999</v>
      </c>
      <c r="F895" s="12"/>
      <c r="G895" s="18" t="str">
        <f t="shared" si="14"/>
        <v>Yes</v>
      </c>
      <c r="H895" s="12"/>
      <c r="I895" s="39" t="str">
        <f>IF(BuyAllowed="Yes",IF(AND(G895 = "No", C895&gt;D895), "Yes", "No"),"No")</f>
        <v>No</v>
      </c>
      <c r="J895" s="39" t="str">
        <f>IF(SellAllowed="Yes",IF(AND(G895 = "Yes", C895&lt;E895), "Yes", "No"),"No")</f>
        <v>No</v>
      </c>
      <c r="K895" s="39">
        <f>IF(I895 = "Yes", M894/(C895+CostBuy), IF(J895 = "Yes", 0, K894))</f>
        <v>103904.84244960485</v>
      </c>
      <c r="M895" s="19">
        <f>IF(I895 = "Yes", M894-(C895+CostBuy)*K895, IF(J895="Yes", M894+(C895-CostSell)*K894, M894+K895*Rate))</f>
        <v>15585.72636744073</v>
      </c>
    </row>
    <row r="896" spans="2:13" s="11" customFormat="1" x14ac:dyDescent="0.2">
      <c r="B896" s="24">
        <v>1944.07</v>
      </c>
      <c r="C896" s="25">
        <v>13</v>
      </c>
      <c r="D896" s="40">
        <f t="shared" si="12"/>
        <v>12.063333333333333</v>
      </c>
      <c r="E896" s="40">
        <f t="shared" si="13"/>
        <v>11.898750000000001</v>
      </c>
      <c r="F896" s="12"/>
      <c r="G896" s="18" t="str">
        <f t="shared" si="14"/>
        <v>Yes</v>
      </c>
      <c r="H896" s="12"/>
      <c r="I896" s="39" t="str">
        <f>IF(BuyAllowed="Yes",IF(AND(G896 = "No", C896&gt;D896), "Yes", "No"),"No")</f>
        <v>No</v>
      </c>
      <c r="J896" s="39" t="str">
        <f>IF(SellAllowed="Yes",IF(AND(G896 = "Yes", C896&lt;E896), "Yes", "No"),"No")</f>
        <v>No</v>
      </c>
      <c r="K896" s="39">
        <f>IF(I896 = "Yes", M895/(C896+CostBuy), IF(J896 = "Yes", 0, K895))</f>
        <v>103904.84244960485</v>
      </c>
      <c r="M896" s="19">
        <f>IF(I896 = "Yes", M895-(C896+CostBuy)*K896, IF(J896="Yes", M895+(C896-CostSell)*K895, M895+K896*Rate))</f>
        <v>20780.968489920971</v>
      </c>
    </row>
    <row r="897" spans="2:13" s="11" customFormat="1" x14ac:dyDescent="0.2">
      <c r="B897" s="24">
        <v>1944.08</v>
      </c>
      <c r="C897" s="25">
        <v>12.81</v>
      </c>
      <c r="D897" s="40">
        <f t="shared" si="12"/>
        <v>12.255000000000001</v>
      </c>
      <c r="E897" s="40">
        <f t="shared" si="13"/>
        <v>12.1075</v>
      </c>
      <c r="F897" s="12"/>
      <c r="G897" s="18" t="str">
        <f t="shared" si="14"/>
        <v>Yes</v>
      </c>
      <c r="H897" s="12"/>
      <c r="I897" s="39" t="str">
        <f>IF(BuyAllowed="Yes",IF(AND(G897 = "No", C897&gt;D897), "Yes", "No"),"No")</f>
        <v>No</v>
      </c>
      <c r="J897" s="39" t="str">
        <f>IF(SellAllowed="Yes",IF(AND(G897 = "Yes", C897&lt;E897), "Yes", "No"),"No")</f>
        <v>No</v>
      </c>
      <c r="K897" s="39">
        <f>IF(I897 = "Yes", M896/(C897+CostBuy), IF(J897 = "Yes", 0, K896))</f>
        <v>103904.84244960485</v>
      </c>
      <c r="M897" s="19">
        <f>IF(I897 = "Yes", M896-(C897+CostBuy)*K897, IF(J897="Yes", M896+(C897-CostSell)*K896, M896+K897*Rate))</f>
        <v>25976.210612401213</v>
      </c>
    </row>
    <row r="898" spans="2:13" s="11" customFormat="1" x14ac:dyDescent="0.2">
      <c r="B898" s="24">
        <v>1944.09</v>
      </c>
      <c r="C898" s="25">
        <v>12.6</v>
      </c>
      <c r="D898" s="40">
        <f t="shared" si="12"/>
        <v>12.428333333333335</v>
      </c>
      <c r="E898" s="40">
        <f t="shared" si="13"/>
        <v>12.27375</v>
      </c>
      <c r="F898" s="12"/>
      <c r="G898" s="18" t="str">
        <f t="shared" si="14"/>
        <v>Yes</v>
      </c>
      <c r="H898" s="12"/>
      <c r="I898" s="39" t="str">
        <f>IF(BuyAllowed="Yes",IF(AND(G898 = "No", C898&gt;D898), "Yes", "No"),"No")</f>
        <v>No</v>
      </c>
      <c r="J898" s="39" t="str">
        <f>IF(SellAllowed="Yes",IF(AND(G898 = "Yes", C898&lt;E898), "Yes", "No"),"No")</f>
        <v>No</v>
      </c>
      <c r="K898" s="39">
        <f>IF(I898 = "Yes", M897/(C898+CostBuy), IF(J898 = "Yes", 0, K897))</f>
        <v>103904.84244960485</v>
      </c>
      <c r="M898" s="19">
        <f>IF(I898 = "Yes", M897-(C898+CostBuy)*K898, IF(J898="Yes", M897+(C898-CostSell)*K897, M897+K898*Rate))</f>
        <v>31171.452734881455</v>
      </c>
    </row>
    <row r="899" spans="2:13" s="11" customFormat="1" x14ac:dyDescent="0.2">
      <c r="B899" s="24">
        <v>1944.1</v>
      </c>
      <c r="C899" s="25">
        <v>12.91</v>
      </c>
      <c r="D899" s="40">
        <f t="shared" si="12"/>
        <v>12.511666666666668</v>
      </c>
      <c r="E899" s="40">
        <f t="shared" si="13"/>
        <v>12.3675</v>
      </c>
      <c r="F899" s="12"/>
      <c r="G899" s="18" t="str">
        <f t="shared" si="14"/>
        <v>Yes</v>
      </c>
      <c r="H899" s="12"/>
      <c r="I899" s="39" t="str">
        <f>IF(BuyAllowed="Yes",IF(AND(G899 = "No", C899&gt;D899), "Yes", "No"),"No")</f>
        <v>No</v>
      </c>
      <c r="J899" s="39" t="str">
        <f>IF(SellAllowed="Yes",IF(AND(G899 = "Yes", C899&lt;E899), "Yes", "No"),"No")</f>
        <v>No</v>
      </c>
      <c r="K899" s="39">
        <f>IF(I899 = "Yes", M898/(C899+CostBuy), IF(J899 = "Yes", 0, K898))</f>
        <v>103904.84244960485</v>
      </c>
      <c r="M899" s="19">
        <f>IF(I899 = "Yes", M898-(C899+CostBuy)*K899, IF(J899="Yes", M898+(C899-CostSell)*K898, M898+K899*Rate))</f>
        <v>36366.694857361697</v>
      </c>
    </row>
    <row r="900" spans="2:13" s="11" customFormat="1" x14ac:dyDescent="0.2">
      <c r="B900" s="24">
        <v>1944.11</v>
      </c>
      <c r="C900" s="25">
        <v>12.82</v>
      </c>
      <c r="D900" s="40">
        <f t="shared" si="12"/>
        <v>12.681666666666667</v>
      </c>
      <c r="E900" s="40">
        <f t="shared" si="13"/>
        <v>12.51</v>
      </c>
      <c r="F900" s="12"/>
      <c r="G900" s="18" t="str">
        <f t="shared" si="14"/>
        <v>Yes</v>
      </c>
      <c r="H900" s="12"/>
      <c r="I900" s="39" t="str">
        <f>IF(BuyAllowed="Yes",IF(AND(G900 = "No", C900&gt;D900), "Yes", "No"),"No")</f>
        <v>No</v>
      </c>
      <c r="J900" s="39" t="str">
        <f>IF(SellAllowed="Yes",IF(AND(G900 = "Yes", C900&lt;E900), "Yes", "No"),"No")</f>
        <v>No</v>
      </c>
      <c r="K900" s="39">
        <f>IF(I900 = "Yes", M899/(C900+CostBuy), IF(J900 = "Yes", 0, K899))</f>
        <v>103904.84244960485</v>
      </c>
      <c r="M900" s="19">
        <f>IF(I900 = "Yes", M899-(C900+CostBuy)*K900, IF(J900="Yes", M899+(C900-CostSell)*K899, M899+K900*Rate))</f>
        <v>41561.936979841943</v>
      </c>
    </row>
    <row r="901" spans="2:13" s="11" customFormat="1" x14ac:dyDescent="0.2">
      <c r="B901" s="24">
        <v>1944.12</v>
      </c>
      <c r="C901" s="25">
        <v>13.1</v>
      </c>
      <c r="D901" s="40">
        <f t="shared" si="12"/>
        <v>12.801666666666668</v>
      </c>
      <c r="E901" s="40">
        <f t="shared" si="13"/>
        <v>12.600000000000001</v>
      </c>
      <c r="F901" s="12"/>
      <c r="G901" s="18" t="str">
        <f t="shared" si="14"/>
        <v>Yes</v>
      </c>
      <c r="H901" s="12"/>
      <c r="I901" s="39" t="str">
        <f>IF(BuyAllowed="Yes",IF(AND(G901 = "No", C901&gt;D901), "Yes", "No"),"No")</f>
        <v>No</v>
      </c>
      <c r="J901" s="39" t="str">
        <f>IF(SellAllowed="Yes",IF(AND(G901 = "Yes", C901&lt;E901), "Yes", "No"),"No")</f>
        <v>No</v>
      </c>
      <c r="K901" s="39">
        <f>IF(I901 = "Yes", M900/(C901+CostBuy), IF(J901 = "Yes", 0, K900))</f>
        <v>103904.84244960485</v>
      </c>
      <c r="M901" s="19">
        <f>IF(I901 = "Yes", M900-(C901+CostBuy)*K901, IF(J901="Yes", M900+(C901-CostSell)*K900, M900+K901*Rate))</f>
        <v>46757.179102322189</v>
      </c>
    </row>
    <row r="902" spans="2:13" s="11" customFormat="1" x14ac:dyDescent="0.2">
      <c r="B902" s="24">
        <v>1945.01</v>
      </c>
      <c r="C902" s="25">
        <v>13.49</v>
      </c>
      <c r="D902" s="40">
        <f t="shared" si="12"/>
        <v>12.873333333333335</v>
      </c>
      <c r="E902" s="40">
        <f t="shared" si="13"/>
        <v>12.751249999999999</v>
      </c>
      <c r="F902" s="12"/>
      <c r="G902" s="18" t="str">
        <f t="shared" si="14"/>
        <v>Yes</v>
      </c>
      <c r="H902" s="12"/>
      <c r="I902" s="39" t="str">
        <f>IF(BuyAllowed="Yes",IF(AND(G902 = "No", C902&gt;D902), "Yes", "No"),"No")</f>
        <v>No</v>
      </c>
      <c r="J902" s="39" t="str">
        <f>IF(SellAllowed="Yes",IF(AND(G902 = "Yes", C902&lt;E902), "Yes", "No"),"No")</f>
        <v>No</v>
      </c>
      <c r="K902" s="39">
        <f>IF(I902 = "Yes", M901/(C902+CostBuy), IF(J902 = "Yes", 0, K901))</f>
        <v>103904.84244960485</v>
      </c>
      <c r="M902" s="19">
        <f>IF(I902 = "Yes", M901-(C902+CostBuy)*K902, IF(J902="Yes", M901+(C902-CostSell)*K901, M901+K902*Rate))</f>
        <v>51952.421224802434</v>
      </c>
    </row>
    <row r="903" spans="2:13" s="11" customFormat="1" x14ac:dyDescent="0.2">
      <c r="B903" s="24">
        <v>1945.02</v>
      </c>
      <c r="C903" s="25">
        <v>13.94</v>
      </c>
      <c r="D903" s="40">
        <f t="shared" si="12"/>
        <v>12.954999999999998</v>
      </c>
      <c r="E903" s="40">
        <f t="shared" si="13"/>
        <v>12.924999999999999</v>
      </c>
      <c r="F903" s="12"/>
      <c r="G903" s="18" t="str">
        <f t="shared" si="14"/>
        <v>Yes</v>
      </c>
      <c r="H903" s="12"/>
      <c r="I903" s="39" t="str">
        <f>IF(BuyAllowed="Yes",IF(AND(G903 = "No", C903&gt;D903), "Yes", "No"),"No")</f>
        <v>No</v>
      </c>
      <c r="J903" s="39" t="str">
        <f>IF(SellAllowed="Yes",IF(AND(G903 = "Yes", C903&lt;E903), "Yes", "No"),"No")</f>
        <v>No</v>
      </c>
      <c r="K903" s="39">
        <f>IF(I903 = "Yes", M902/(C903+CostBuy), IF(J903 = "Yes", 0, K902))</f>
        <v>103904.84244960485</v>
      </c>
      <c r="M903" s="19">
        <f>IF(I903 = "Yes", M902-(C903+CostBuy)*K903, IF(J903="Yes", M902+(C903-CostSell)*K902, M902+K903*Rate))</f>
        <v>57147.66334728268</v>
      </c>
    </row>
    <row r="904" spans="2:13" s="11" customFormat="1" x14ac:dyDescent="0.2">
      <c r="B904" s="24">
        <v>1945.03</v>
      </c>
      <c r="C904" s="25">
        <v>13.93</v>
      </c>
      <c r="D904" s="40">
        <f t="shared" si="12"/>
        <v>13.143333333333333</v>
      </c>
      <c r="E904" s="40">
        <f t="shared" si="13"/>
        <v>13.08375</v>
      </c>
      <c r="F904" s="12"/>
      <c r="G904" s="18" t="str">
        <f t="shared" si="14"/>
        <v>Yes</v>
      </c>
      <c r="H904" s="12"/>
      <c r="I904" s="39" t="str">
        <f>IF(BuyAllowed="Yes",IF(AND(G904 = "No", C904&gt;D904), "Yes", "No"),"No")</f>
        <v>No</v>
      </c>
      <c r="J904" s="39" t="str">
        <f>IF(SellAllowed="Yes",IF(AND(G904 = "Yes", C904&lt;E904), "Yes", "No"),"No")</f>
        <v>No</v>
      </c>
      <c r="K904" s="39">
        <f>IF(I904 = "Yes", M903/(C904+CostBuy), IF(J904 = "Yes", 0, K903))</f>
        <v>103904.84244960485</v>
      </c>
      <c r="M904" s="19">
        <f>IF(I904 = "Yes", M903-(C904+CostBuy)*K904, IF(J904="Yes", M903+(C904-CostSell)*K903, M903+K904*Rate))</f>
        <v>62342.905469762925</v>
      </c>
    </row>
    <row r="905" spans="2:13" s="11" customFormat="1" x14ac:dyDescent="0.2">
      <c r="B905" s="24">
        <v>1945.04</v>
      </c>
      <c r="C905" s="25">
        <v>14.28</v>
      </c>
      <c r="D905" s="40">
        <f t="shared" si="12"/>
        <v>13.365</v>
      </c>
      <c r="E905" s="40">
        <f t="shared" si="13"/>
        <v>13.2</v>
      </c>
      <c r="F905" s="12"/>
      <c r="G905" s="18" t="str">
        <f t="shared" si="14"/>
        <v>Yes</v>
      </c>
      <c r="H905" s="12"/>
      <c r="I905" s="39" t="str">
        <f>IF(BuyAllowed="Yes",IF(AND(G905 = "No", C905&gt;D905), "Yes", "No"),"No")</f>
        <v>No</v>
      </c>
      <c r="J905" s="39" t="str">
        <f>IF(SellAllowed="Yes",IF(AND(G905 = "Yes", C905&lt;E905), "Yes", "No"),"No")</f>
        <v>No</v>
      </c>
      <c r="K905" s="39">
        <f>IF(I905 = "Yes", M904/(C905+CostBuy), IF(J905 = "Yes", 0, K904))</f>
        <v>103904.84244960485</v>
      </c>
      <c r="M905" s="19">
        <f>IF(I905 = "Yes", M904-(C905+CostBuy)*K905, IF(J905="Yes", M904+(C905-CostSell)*K904, M904+K905*Rate))</f>
        <v>67538.147592243171</v>
      </c>
    </row>
    <row r="906" spans="2:13" s="11" customFormat="1" x14ac:dyDescent="0.2">
      <c r="B906" s="24">
        <v>1945.05</v>
      </c>
      <c r="C906" s="25">
        <v>14.82</v>
      </c>
      <c r="D906" s="40">
        <f t="shared" si="12"/>
        <v>13.593333333333334</v>
      </c>
      <c r="E906" s="40">
        <f t="shared" si="13"/>
        <v>13.383749999999999</v>
      </c>
      <c r="F906" s="12"/>
      <c r="G906" s="18" t="str">
        <f t="shared" si="14"/>
        <v>Yes</v>
      </c>
      <c r="H906" s="12"/>
      <c r="I906" s="39" t="str">
        <f>IF(BuyAllowed="Yes",IF(AND(G906 = "No", C906&gt;D906), "Yes", "No"),"No")</f>
        <v>No</v>
      </c>
      <c r="J906" s="39" t="str">
        <f>IF(SellAllowed="Yes",IF(AND(G906 = "Yes", C906&lt;E906), "Yes", "No"),"No")</f>
        <v>No</v>
      </c>
      <c r="K906" s="39">
        <f>IF(I906 = "Yes", M905/(C906+CostBuy), IF(J906 = "Yes", 0, K905))</f>
        <v>103904.84244960485</v>
      </c>
      <c r="M906" s="19">
        <f>IF(I906 = "Yes", M905-(C906+CostBuy)*K906, IF(J906="Yes", M905+(C906-CostSell)*K905, M905+K906*Rate))</f>
        <v>72733.389714723409</v>
      </c>
    </row>
    <row r="907" spans="2:13" s="11" customFormat="1" x14ac:dyDescent="0.2">
      <c r="B907" s="24">
        <v>1945.06</v>
      </c>
      <c r="C907" s="25">
        <v>15.09</v>
      </c>
      <c r="D907" s="40">
        <f t="shared" si="12"/>
        <v>13.926666666666668</v>
      </c>
      <c r="E907" s="40">
        <f t="shared" si="13"/>
        <v>13.661249999999999</v>
      </c>
      <c r="F907" s="12"/>
      <c r="G907" s="18" t="str">
        <f t="shared" si="14"/>
        <v>Yes</v>
      </c>
      <c r="H907" s="12"/>
      <c r="I907" s="39" t="str">
        <f>IF(BuyAllowed="Yes",IF(AND(G907 = "No", C907&gt;D907), "Yes", "No"),"No")</f>
        <v>No</v>
      </c>
      <c r="J907" s="39" t="str">
        <f>IF(SellAllowed="Yes",IF(AND(G907 = "Yes", C907&lt;E907), "Yes", "No"),"No")</f>
        <v>No</v>
      </c>
      <c r="K907" s="39">
        <f>IF(I907 = "Yes", M906/(C907+CostBuy), IF(J907 = "Yes", 0, K906))</f>
        <v>103904.84244960485</v>
      </c>
      <c r="M907" s="19">
        <f>IF(I907 = "Yes", M906-(C907+CostBuy)*K907, IF(J907="Yes", M906+(C907-CostSell)*K906, M906+K907*Rate))</f>
        <v>77928.631837203648</v>
      </c>
    </row>
    <row r="908" spans="2:13" s="11" customFormat="1" x14ac:dyDescent="0.2">
      <c r="B908" s="24">
        <v>1945.07</v>
      </c>
      <c r="C908" s="25">
        <v>14.78</v>
      </c>
      <c r="D908" s="40">
        <f t="shared" si="12"/>
        <v>14.258333333333335</v>
      </c>
      <c r="E908" s="40">
        <f t="shared" si="13"/>
        <v>13.93375</v>
      </c>
      <c r="F908" s="12"/>
      <c r="G908" s="18" t="str">
        <f t="shared" si="14"/>
        <v>Yes</v>
      </c>
      <c r="H908" s="12"/>
      <c r="I908" s="39" t="str">
        <f>IF(BuyAllowed="Yes",IF(AND(G908 = "No", C908&gt;D908), "Yes", "No"),"No")</f>
        <v>No</v>
      </c>
      <c r="J908" s="39" t="str">
        <f>IF(SellAllowed="Yes",IF(AND(G908 = "Yes", C908&lt;E908), "Yes", "No"),"No")</f>
        <v>No</v>
      </c>
      <c r="K908" s="39">
        <f>IF(I908 = "Yes", M907/(C908+CostBuy), IF(J908 = "Yes", 0, K907))</f>
        <v>103904.84244960485</v>
      </c>
      <c r="M908" s="19">
        <f>IF(I908 = "Yes", M907-(C908+CostBuy)*K908, IF(J908="Yes", M907+(C908-CostSell)*K907, M907+K908*Rate))</f>
        <v>83123.873959683886</v>
      </c>
    </row>
    <row r="909" spans="2:13" s="11" customFormat="1" x14ac:dyDescent="0.2">
      <c r="B909" s="24">
        <v>1945.08</v>
      </c>
      <c r="C909" s="25">
        <v>14.83</v>
      </c>
      <c r="D909" s="40">
        <f t="shared" si="12"/>
        <v>14.473333333333334</v>
      </c>
      <c r="E909" s="40">
        <f t="shared" si="13"/>
        <v>14.178750000000001</v>
      </c>
      <c r="F909" s="12"/>
      <c r="G909" s="18" t="str">
        <f t="shared" si="14"/>
        <v>Yes</v>
      </c>
      <c r="H909" s="12"/>
      <c r="I909" s="39" t="str">
        <f>IF(BuyAllowed="Yes",IF(AND(G909 = "No", C909&gt;D909), "Yes", "No"),"No")</f>
        <v>No</v>
      </c>
      <c r="J909" s="39" t="str">
        <f>IF(SellAllowed="Yes",IF(AND(G909 = "Yes", C909&lt;E909), "Yes", "No"),"No")</f>
        <v>No</v>
      </c>
      <c r="K909" s="39">
        <f>IF(I909 = "Yes", M908/(C909+CostBuy), IF(J909 = "Yes", 0, K908))</f>
        <v>103904.84244960485</v>
      </c>
      <c r="M909" s="19">
        <f>IF(I909 = "Yes", M908-(C909+CostBuy)*K909, IF(J909="Yes", M908+(C909-CostSell)*K908, M908+K909*Rate))</f>
        <v>88319.116082164124</v>
      </c>
    </row>
    <row r="910" spans="2:13" s="11" customFormat="1" x14ac:dyDescent="0.2">
      <c r="B910" s="24">
        <v>1945.09</v>
      </c>
      <c r="C910" s="25">
        <v>15.84</v>
      </c>
      <c r="D910" s="40">
        <f t="shared" si="12"/>
        <v>14.621666666666668</v>
      </c>
      <c r="E910" s="40">
        <f t="shared" si="13"/>
        <v>14.395000000000001</v>
      </c>
      <c r="F910" s="12"/>
      <c r="G910" s="18" t="str">
        <f t="shared" si="14"/>
        <v>Yes</v>
      </c>
      <c r="H910" s="12"/>
      <c r="I910" s="39" t="str">
        <f>IF(BuyAllowed="Yes",IF(AND(G910 = "No", C910&gt;D910), "Yes", "No"),"No")</f>
        <v>No</v>
      </c>
      <c r="J910" s="39" t="str">
        <f>IF(SellAllowed="Yes",IF(AND(G910 = "Yes", C910&lt;E910), "Yes", "No"),"No")</f>
        <v>No</v>
      </c>
      <c r="K910" s="39">
        <f>IF(I910 = "Yes", M909/(C910+CostBuy), IF(J910 = "Yes", 0, K909))</f>
        <v>103904.84244960485</v>
      </c>
      <c r="M910" s="19">
        <f>IF(I910 = "Yes", M909-(C910+CostBuy)*K910, IF(J910="Yes", M909+(C910-CostSell)*K909, M909+K910*Rate))</f>
        <v>93514.358204644363</v>
      </c>
    </row>
    <row r="911" spans="2:13" s="11" customFormat="1" x14ac:dyDescent="0.2">
      <c r="B911" s="24">
        <v>1945.1</v>
      </c>
      <c r="C911" s="25">
        <v>16.5</v>
      </c>
      <c r="D911" s="40">
        <f t="shared" si="12"/>
        <v>14.94</v>
      </c>
      <c r="E911" s="40">
        <f t="shared" si="13"/>
        <v>14.688750000000001</v>
      </c>
      <c r="F911" s="12"/>
      <c r="G911" s="18" t="str">
        <f t="shared" si="14"/>
        <v>Yes</v>
      </c>
      <c r="H911" s="12"/>
      <c r="I911" s="39" t="str">
        <f>IF(BuyAllowed="Yes",IF(AND(G911 = "No", C911&gt;D911), "Yes", "No"),"No")</f>
        <v>No</v>
      </c>
      <c r="J911" s="39" t="str">
        <f>IF(SellAllowed="Yes",IF(AND(G911 = "Yes", C911&lt;E911), "Yes", "No"),"No")</f>
        <v>No</v>
      </c>
      <c r="K911" s="39">
        <f>IF(I911 = "Yes", M910/(C911+CostBuy), IF(J911 = "Yes", 0, K910))</f>
        <v>103904.84244960485</v>
      </c>
      <c r="M911" s="19">
        <f>IF(I911 = "Yes", M910-(C911+CostBuy)*K911, IF(J911="Yes", M910+(C911-CostSell)*K910, M910+K911*Rate))</f>
        <v>98709.600327124601</v>
      </c>
    </row>
    <row r="912" spans="2:13" s="11" customFormat="1" x14ac:dyDescent="0.2">
      <c r="B912" s="24">
        <v>1945.11</v>
      </c>
      <c r="C912" s="25">
        <v>17.04</v>
      </c>
      <c r="D912" s="40">
        <f t="shared" si="12"/>
        <v>15.31</v>
      </c>
      <c r="E912" s="40">
        <f t="shared" si="13"/>
        <v>15.008750000000001</v>
      </c>
      <c r="F912" s="12"/>
      <c r="G912" s="18" t="str">
        <f t="shared" si="14"/>
        <v>Yes</v>
      </c>
      <c r="H912" s="12"/>
      <c r="I912" s="39" t="str">
        <f>IF(BuyAllowed="Yes",IF(AND(G912 = "No", C912&gt;D912), "Yes", "No"),"No")</f>
        <v>No</v>
      </c>
      <c r="J912" s="39" t="str">
        <f>IF(SellAllowed="Yes",IF(AND(G912 = "Yes", C912&lt;E912), "Yes", "No"),"No")</f>
        <v>No</v>
      </c>
      <c r="K912" s="39">
        <f>IF(I912 = "Yes", M911/(C912+CostBuy), IF(J912 = "Yes", 0, K911))</f>
        <v>103904.84244960485</v>
      </c>
      <c r="M912" s="19">
        <f>IF(I912 = "Yes", M911-(C912+CostBuy)*K912, IF(J912="Yes", M911+(C912-CostSell)*K911, M911+K912*Rate))</f>
        <v>103904.84244960484</v>
      </c>
    </row>
    <row r="913" spans="2:13" s="11" customFormat="1" x14ac:dyDescent="0.2">
      <c r="B913" s="24">
        <v>1945.12</v>
      </c>
      <c r="C913" s="25">
        <v>17.329999999999998</v>
      </c>
      <c r="D913" s="40">
        <f t="shared" si="12"/>
        <v>15.679999999999998</v>
      </c>
      <c r="E913" s="40">
        <f t="shared" si="13"/>
        <v>15.397500000000001</v>
      </c>
      <c r="F913" s="12"/>
      <c r="G913" s="18" t="str">
        <f t="shared" si="14"/>
        <v>Yes</v>
      </c>
      <c r="H913" s="12"/>
      <c r="I913" s="39" t="str">
        <f>IF(BuyAllowed="Yes",IF(AND(G913 = "No", C913&gt;D913), "Yes", "No"),"No")</f>
        <v>No</v>
      </c>
      <c r="J913" s="39" t="str">
        <f>IF(SellAllowed="Yes",IF(AND(G913 = "Yes", C913&lt;E913), "Yes", "No"),"No")</f>
        <v>No</v>
      </c>
      <c r="K913" s="39">
        <f>IF(I913 = "Yes", M912/(C913+CostBuy), IF(J913 = "Yes", 0, K912))</f>
        <v>103904.84244960485</v>
      </c>
      <c r="M913" s="19">
        <f>IF(I913 = "Yes", M912-(C913+CostBuy)*K913, IF(J913="Yes", M912+(C913-CostSell)*K912, M912+K913*Rate))</f>
        <v>109100.08457208508</v>
      </c>
    </row>
    <row r="914" spans="2:13" s="11" customFormat="1" x14ac:dyDescent="0.2">
      <c r="B914" s="24">
        <v>1946.01</v>
      </c>
      <c r="C914" s="25">
        <v>18.02</v>
      </c>
      <c r="D914" s="40">
        <f t="shared" si="12"/>
        <v>16.053333333333335</v>
      </c>
      <c r="E914" s="40">
        <f t="shared" si="13"/>
        <v>15.77875</v>
      </c>
      <c r="F914" s="12"/>
      <c r="G914" s="18" t="str">
        <f t="shared" si="14"/>
        <v>Yes</v>
      </c>
      <c r="H914" s="12"/>
      <c r="I914" s="39" t="str">
        <f>IF(BuyAllowed="Yes",IF(AND(G914 = "No", C914&gt;D914), "Yes", "No"),"No")</f>
        <v>No</v>
      </c>
      <c r="J914" s="39" t="str">
        <f>IF(SellAllowed="Yes",IF(AND(G914 = "Yes", C914&lt;E914), "Yes", "No"),"No")</f>
        <v>No</v>
      </c>
      <c r="K914" s="39">
        <f>IF(I914 = "Yes", M913/(C914+CostBuy), IF(J914 = "Yes", 0, K913))</f>
        <v>103904.84244960485</v>
      </c>
      <c r="M914" s="19">
        <f>IF(I914 = "Yes", M913-(C914+CostBuy)*K914, IF(J914="Yes", M913+(C914-CostSell)*K913, M913+K914*Rate))</f>
        <v>114295.32669456532</v>
      </c>
    </row>
    <row r="915" spans="2:13" s="11" customFormat="1" x14ac:dyDescent="0.2">
      <c r="B915" s="24">
        <v>1946.02</v>
      </c>
      <c r="C915" s="25">
        <v>18.07</v>
      </c>
      <c r="D915" s="40">
        <f t="shared" si="12"/>
        <v>16.593333333333334</v>
      </c>
      <c r="E915" s="40">
        <f t="shared" si="13"/>
        <v>16.178749999999997</v>
      </c>
      <c r="F915" s="12"/>
      <c r="G915" s="18" t="str">
        <f t="shared" si="14"/>
        <v>Yes</v>
      </c>
      <c r="H915" s="12"/>
      <c r="I915" s="39" t="str">
        <f>IF(BuyAllowed="Yes",IF(AND(G915 = "No", C915&gt;D915), "Yes", "No"),"No")</f>
        <v>No</v>
      </c>
      <c r="J915" s="39" t="str">
        <f>IF(SellAllowed="Yes",IF(AND(G915 = "Yes", C915&lt;E915), "Yes", "No"),"No")</f>
        <v>No</v>
      </c>
      <c r="K915" s="39">
        <f>IF(I915 = "Yes", M914/(C915+CostBuy), IF(J915 = "Yes", 0, K914))</f>
        <v>103904.84244960485</v>
      </c>
      <c r="M915" s="19">
        <f>IF(I915 = "Yes", M914-(C915+CostBuy)*K915, IF(J915="Yes", M914+(C915-CostSell)*K914, M914+K915*Rate))</f>
        <v>119490.56881704555</v>
      </c>
    </row>
    <row r="916" spans="2:13" s="11" customFormat="1" x14ac:dyDescent="0.2">
      <c r="B916" s="24">
        <v>1946.03</v>
      </c>
      <c r="C916" s="25">
        <v>17.53</v>
      </c>
      <c r="D916" s="40">
        <f t="shared" si="12"/>
        <v>17.133333333333336</v>
      </c>
      <c r="E916" s="40">
        <f t="shared" si="13"/>
        <v>16.55125</v>
      </c>
      <c r="F916" s="12"/>
      <c r="G916" s="18" t="str">
        <f t="shared" si="14"/>
        <v>Yes</v>
      </c>
      <c r="H916" s="12"/>
      <c r="I916" s="39" t="str">
        <f>IF(BuyAllowed="Yes",IF(AND(G916 = "No", C916&gt;D916), "Yes", "No"),"No")</f>
        <v>No</v>
      </c>
      <c r="J916" s="39" t="str">
        <f>IF(SellAllowed="Yes",IF(AND(G916 = "Yes", C916&lt;E916), "Yes", "No"),"No")</f>
        <v>No</v>
      </c>
      <c r="K916" s="39">
        <f>IF(I916 = "Yes", M915/(C916+CostBuy), IF(J916 = "Yes", 0, K915))</f>
        <v>103904.84244960485</v>
      </c>
      <c r="M916" s="19">
        <f>IF(I916 = "Yes", M915-(C916+CostBuy)*K916, IF(J916="Yes", M915+(C916-CostSell)*K915, M915+K916*Rate))</f>
        <v>124685.81093952579</v>
      </c>
    </row>
    <row r="917" spans="2:13" s="11" customFormat="1" x14ac:dyDescent="0.2">
      <c r="B917" s="24">
        <v>1946.04</v>
      </c>
      <c r="C917" s="25">
        <v>18.66</v>
      </c>
      <c r="D917" s="40">
        <f t="shared" si="12"/>
        <v>17.415000000000003</v>
      </c>
      <c r="E917" s="40">
        <f t="shared" si="13"/>
        <v>16.895</v>
      </c>
      <c r="F917" s="12"/>
      <c r="G917" s="18" t="str">
        <f t="shared" si="14"/>
        <v>Yes</v>
      </c>
      <c r="H917" s="12"/>
      <c r="I917" s="39" t="str">
        <f>IF(BuyAllowed="Yes",IF(AND(G917 = "No", C917&gt;D917), "Yes", "No"),"No")</f>
        <v>No</v>
      </c>
      <c r="J917" s="39" t="str">
        <f>IF(SellAllowed="Yes",IF(AND(G917 = "Yes", C917&lt;E917), "Yes", "No"),"No")</f>
        <v>No</v>
      </c>
      <c r="K917" s="39">
        <f>IF(I917 = "Yes", M916/(C917+CostBuy), IF(J917 = "Yes", 0, K916))</f>
        <v>103904.84244960485</v>
      </c>
      <c r="M917" s="19">
        <f>IF(I917 = "Yes", M916-(C917+CostBuy)*K917, IF(J917="Yes", M916+(C917-CostSell)*K916, M916+K917*Rate))</f>
        <v>129881.05306200603</v>
      </c>
    </row>
    <row r="918" spans="2:13" s="11" customFormat="1" x14ac:dyDescent="0.2">
      <c r="B918" s="24">
        <v>1946.05</v>
      </c>
      <c r="C918" s="25">
        <v>18.7</v>
      </c>
      <c r="D918" s="40">
        <f t="shared" si="12"/>
        <v>17.775000000000002</v>
      </c>
      <c r="E918" s="40">
        <f t="shared" si="13"/>
        <v>17.373750000000001</v>
      </c>
      <c r="F918" s="12"/>
      <c r="G918" s="18" t="str">
        <f t="shared" si="14"/>
        <v>Yes</v>
      </c>
      <c r="H918" s="12"/>
      <c r="I918" s="39" t="str">
        <f>IF(BuyAllowed="Yes",IF(AND(G918 = "No", C918&gt;D918), "Yes", "No"),"No")</f>
        <v>No</v>
      </c>
      <c r="J918" s="39" t="str">
        <f>IF(SellAllowed="Yes",IF(AND(G918 = "Yes", C918&lt;E918), "Yes", "No"),"No")</f>
        <v>No</v>
      </c>
      <c r="K918" s="39">
        <f>IF(I918 = "Yes", M917/(C918+CostBuy), IF(J918 = "Yes", 0, K917))</f>
        <v>103904.84244960485</v>
      </c>
      <c r="M918" s="19">
        <f>IF(I918 = "Yes", M917-(C918+CostBuy)*K918, IF(J918="Yes", M917+(C918-CostSell)*K917, M917+K918*Rate))</f>
        <v>135076.29518448628</v>
      </c>
    </row>
    <row r="919" spans="2:13" s="11" customFormat="1" x14ac:dyDescent="0.2">
      <c r="B919" s="24">
        <v>1946.06</v>
      </c>
      <c r="C919" s="25">
        <v>18.579999999999998</v>
      </c>
      <c r="D919" s="40">
        <f t="shared" si="12"/>
        <v>18.051666666666666</v>
      </c>
      <c r="E919" s="40">
        <f t="shared" si="13"/>
        <v>17.731249999999999</v>
      </c>
      <c r="F919" s="12"/>
      <c r="G919" s="18" t="str">
        <f t="shared" si="14"/>
        <v>Yes</v>
      </c>
      <c r="H919" s="12"/>
      <c r="I919" s="39" t="str">
        <f>IF(BuyAllowed="Yes",IF(AND(G919 = "No", C919&gt;D919), "Yes", "No"),"No")</f>
        <v>No</v>
      </c>
      <c r="J919" s="39" t="str">
        <f>IF(SellAllowed="Yes",IF(AND(G919 = "Yes", C919&lt;E919), "Yes", "No"),"No")</f>
        <v>No</v>
      </c>
      <c r="K919" s="39">
        <f>IF(I919 = "Yes", M918/(C919+CostBuy), IF(J919 = "Yes", 0, K918))</f>
        <v>103904.84244960485</v>
      </c>
      <c r="M919" s="19">
        <f>IF(I919 = "Yes", M918-(C919+CostBuy)*K919, IF(J919="Yes", M918+(C919-CostSell)*K918, M918+K919*Rate))</f>
        <v>140271.53730696652</v>
      </c>
    </row>
    <row r="920" spans="2:13" s="11" customFormat="1" x14ac:dyDescent="0.2">
      <c r="B920" s="24">
        <v>1946.07</v>
      </c>
      <c r="C920" s="25">
        <v>18.05</v>
      </c>
      <c r="D920" s="40">
        <f t="shared" si="12"/>
        <v>18.260000000000002</v>
      </c>
      <c r="E920" s="40">
        <f t="shared" si="13"/>
        <v>17.991250000000001</v>
      </c>
      <c r="F920" s="12"/>
      <c r="G920" s="18" t="str">
        <f t="shared" si="14"/>
        <v>Yes</v>
      </c>
      <c r="H920" s="12"/>
      <c r="I920" s="39" t="str">
        <f>IF(BuyAllowed="Yes",IF(AND(G920 = "No", C920&gt;D920), "Yes", "No"),"No")</f>
        <v>No</v>
      </c>
      <c r="J920" s="39" t="str">
        <f>IF(SellAllowed="Yes",IF(AND(G920 = "Yes", C920&lt;E920), "Yes", "No"),"No")</f>
        <v>No</v>
      </c>
      <c r="K920" s="39">
        <f>IF(I920 = "Yes", M919/(C920+CostBuy), IF(J920 = "Yes", 0, K919))</f>
        <v>103904.84244960485</v>
      </c>
      <c r="M920" s="19">
        <f>IF(I920 = "Yes", M919-(C920+CostBuy)*K920, IF(J920="Yes", M919+(C920-CostSell)*K919, M919+K920*Rate))</f>
        <v>145466.77942944676</v>
      </c>
    </row>
    <row r="921" spans="2:13" s="11" customFormat="1" x14ac:dyDescent="0.2">
      <c r="B921" s="24">
        <v>1946.08</v>
      </c>
      <c r="C921" s="25">
        <v>17.7</v>
      </c>
      <c r="D921" s="40">
        <f t="shared" si="12"/>
        <v>18.265000000000001</v>
      </c>
      <c r="E921" s="40">
        <f t="shared" si="13"/>
        <v>18.1175</v>
      </c>
      <c r="F921" s="12"/>
      <c r="G921" s="18" t="str">
        <f t="shared" si="14"/>
        <v>Yes</v>
      </c>
      <c r="H921" s="12"/>
      <c r="I921" s="39" t="str">
        <f>IF(BuyAllowed="Yes",IF(AND(G921 = "No", C921&gt;D921), "Yes", "No"),"No")</f>
        <v>No</v>
      </c>
      <c r="J921" s="39" t="str">
        <f>IF(SellAllowed="Yes",IF(AND(G921 = "Yes", C921&lt;E921), "Yes", "No"),"No")</f>
        <v>Yes</v>
      </c>
      <c r="K921" s="39">
        <f>IF(I921 = "Yes", M920/(C921+CostBuy), IF(J921 = "Yes", 0, K920))</f>
        <v>0</v>
      </c>
      <c r="M921" s="19">
        <f>IF(I921 = "Yes", M920-(C921+CostBuy)*K921, IF(J921="Yes", M920+(C921-CostSell)*K920, M920+K921*Rate))</f>
        <v>1978348.2002404763</v>
      </c>
    </row>
    <row r="922" spans="2:13" s="11" customFormat="1" x14ac:dyDescent="0.2">
      <c r="B922" s="24">
        <v>1946.09</v>
      </c>
      <c r="C922" s="25">
        <v>15.09</v>
      </c>
      <c r="D922" s="40">
        <f t="shared" si="12"/>
        <v>18.203333333333333</v>
      </c>
      <c r="E922" s="40">
        <f t="shared" si="13"/>
        <v>18.16375</v>
      </c>
      <c r="F922" s="12"/>
      <c r="G922" s="18" t="str">
        <f t="shared" si="14"/>
        <v>No</v>
      </c>
      <c r="H922" s="12"/>
      <c r="I922" s="39" t="str">
        <f>IF(BuyAllowed="Yes",IF(AND(G922 = "No", C922&gt;D922), "Yes", "No"),"No")</f>
        <v>No</v>
      </c>
      <c r="J922" s="39" t="str">
        <f>IF(SellAllowed="Yes",IF(AND(G922 = "Yes", C922&lt;E922), "Yes", "No"),"No")</f>
        <v>No</v>
      </c>
      <c r="K922" s="39">
        <f>IF(I922 = "Yes", M921/(C922+CostBuy), IF(J922 = "Yes", 0, K921))</f>
        <v>0</v>
      </c>
      <c r="M922" s="19">
        <f>IF(I922 = "Yes", M921-(C922+CostBuy)*K922, IF(J922="Yes", M921+(C922-CostSell)*K921, M921+K922*Rate))</f>
        <v>1978348.2002404763</v>
      </c>
    </row>
    <row r="923" spans="2:13" s="11" customFormat="1" x14ac:dyDescent="0.2">
      <c r="B923" s="24">
        <v>1946.1</v>
      </c>
      <c r="C923" s="25">
        <v>14.75</v>
      </c>
      <c r="D923" s="40">
        <f t="shared" ref="D923:D986" si="15">AVERAGE(C917:C922)</f>
        <v>17.796666666666667</v>
      </c>
      <c r="E923" s="40">
        <f t="shared" ref="E923:E986" si="16">AVERAGE(C915:C922)</f>
        <v>17.797499999999999</v>
      </c>
      <c r="F923" s="12"/>
      <c r="G923" s="18" t="str">
        <f t="shared" si="14"/>
        <v>No</v>
      </c>
      <c r="H923" s="12"/>
      <c r="I923" s="39" t="str">
        <f>IF(BuyAllowed="Yes",IF(AND(G923 = "No", C923&gt;D923), "Yes", "No"),"No")</f>
        <v>No</v>
      </c>
      <c r="J923" s="39" t="str">
        <f>IF(SellAllowed="Yes",IF(AND(G923 = "Yes", C923&lt;E923), "Yes", "No"),"No")</f>
        <v>No</v>
      </c>
      <c r="K923" s="39">
        <f>IF(I923 = "Yes", M922/(C923+CostBuy), IF(J923 = "Yes", 0, K922))</f>
        <v>0</v>
      </c>
      <c r="M923" s="19">
        <f>IF(I923 = "Yes", M922-(C923+CostBuy)*K923, IF(J923="Yes", M922+(C923-CostSell)*K922, M922+K923*Rate))</f>
        <v>1978348.2002404763</v>
      </c>
    </row>
    <row r="924" spans="2:13" s="11" customFormat="1" x14ac:dyDescent="0.2">
      <c r="B924" s="24">
        <v>1946.11</v>
      </c>
      <c r="C924" s="25">
        <v>14.69</v>
      </c>
      <c r="D924" s="40">
        <f t="shared" si="15"/>
        <v>17.145</v>
      </c>
      <c r="E924" s="40">
        <f t="shared" si="16"/>
        <v>17.3825</v>
      </c>
      <c r="F924" s="12"/>
      <c r="G924" s="18" t="str">
        <f t="shared" ref="G924:G987" si="17">IF(I923 = "Yes", "Yes", IF(J923="Yes", "No", G923))</f>
        <v>No</v>
      </c>
      <c r="H924" s="12"/>
      <c r="I924" s="39" t="str">
        <f>IF(BuyAllowed="Yes",IF(AND(G924 = "No", C924&gt;D924), "Yes", "No"),"No")</f>
        <v>No</v>
      </c>
      <c r="J924" s="39" t="str">
        <f>IF(SellAllowed="Yes",IF(AND(G924 = "Yes", C924&lt;E924), "Yes", "No"),"No")</f>
        <v>No</v>
      </c>
      <c r="K924" s="39">
        <f>IF(I924 = "Yes", M923/(C924+CostBuy), IF(J924 = "Yes", 0, K923))</f>
        <v>0</v>
      </c>
      <c r="M924" s="19">
        <f>IF(I924 = "Yes", M923-(C924+CostBuy)*K924, IF(J924="Yes", M923+(C924-CostSell)*K923, M923+K924*Rate))</f>
        <v>1978348.2002404763</v>
      </c>
    </row>
    <row r="925" spans="2:13" s="11" customFormat="1" x14ac:dyDescent="0.2">
      <c r="B925" s="24">
        <v>1946.12</v>
      </c>
      <c r="C925" s="25">
        <v>15.13</v>
      </c>
      <c r="D925" s="40">
        <f t="shared" si="15"/>
        <v>16.476666666666667</v>
      </c>
      <c r="E925" s="40">
        <f t="shared" si="16"/>
        <v>17.0275</v>
      </c>
      <c r="F925" s="12"/>
      <c r="G925" s="18" t="str">
        <f t="shared" si="17"/>
        <v>No</v>
      </c>
      <c r="H925" s="12"/>
      <c r="I925" s="39" t="str">
        <f>IF(BuyAllowed="Yes",IF(AND(G925 = "No", C925&gt;D925), "Yes", "No"),"No")</f>
        <v>No</v>
      </c>
      <c r="J925" s="39" t="str">
        <f>IF(SellAllowed="Yes",IF(AND(G925 = "Yes", C925&lt;E925), "Yes", "No"),"No")</f>
        <v>No</v>
      </c>
      <c r="K925" s="39">
        <f>IF(I925 = "Yes", M924/(C925+CostBuy), IF(J925 = "Yes", 0, K924))</f>
        <v>0</v>
      </c>
      <c r="M925" s="19">
        <f>IF(I925 = "Yes", M924-(C925+CostBuy)*K925, IF(J925="Yes", M924+(C925-CostSell)*K924, M924+K925*Rate))</f>
        <v>1978348.2002404763</v>
      </c>
    </row>
    <row r="926" spans="2:13" s="11" customFormat="1" x14ac:dyDescent="0.2">
      <c r="B926" s="24">
        <v>1947.01</v>
      </c>
      <c r="C926" s="25">
        <v>15.21</v>
      </c>
      <c r="D926" s="40">
        <f t="shared" si="15"/>
        <v>15.901666666666666</v>
      </c>
      <c r="E926" s="40">
        <f t="shared" si="16"/>
        <v>16.58625</v>
      </c>
      <c r="F926" s="12"/>
      <c r="G926" s="18" t="str">
        <f t="shared" si="17"/>
        <v>No</v>
      </c>
      <c r="H926" s="12"/>
      <c r="I926" s="39" t="str">
        <f>IF(BuyAllowed="Yes",IF(AND(G926 = "No", C926&gt;D926), "Yes", "No"),"No")</f>
        <v>No</v>
      </c>
      <c r="J926" s="39" t="str">
        <f>IF(SellAllowed="Yes",IF(AND(G926 = "Yes", C926&lt;E926), "Yes", "No"),"No")</f>
        <v>No</v>
      </c>
      <c r="K926" s="39">
        <f>IF(I926 = "Yes", M925/(C926+CostBuy), IF(J926 = "Yes", 0, K925))</f>
        <v>0</v>
      </c>
      <c r="M926" s="19">
        <f>IF(I926 = "Yes", M925-(C926+CostBuy)*K926, IF(J926="Yes", M925+(C926-CostSell)*K925, M925+K926*Rate))</f>
        <v>1978348.2002404763</v>
      </c>
    </row>
    <row r="927" spans="2:13" s="11" customFormat="1" x14ac:dyDescent="0.2">
      <c r="B927" s="24">
        <v>1947.02</v>
      </c>
      <c r="C927" s="25">
        <v>15.8</v>
      </c>
      <c r="D927" s="40">
        <f t="shared" si="15"/>
        <v>15.428333333333333</v>
      </c>
      <c r="E927" s="40">
        <f t="shared" si="16"/>
        <v>16.149999999999999</v>
      </c>
      <c r="F927" s="12"/>
      <c r="G927" s="18" t="str">
        <f t="shared" si="17"/>
        <v>No</v>
      </c>
      <c r="H927" s="12"/>
      <c r="I927" s="39" t="str">
        <f>IF(BuyAllowed="Yes",IF(AND(G927 = "No", C927&gt;D927), "Yes", "No"),"No")</f>
        <v>Yes</v>
      </c>
      <c r="J927" s="39" t="str">
        <f>IF(SellAllowed="Yes",IF(AND(G927 = "Yes", C927&lt;E927), "Yes", "No"),"No")</f>
        <v>No</v>
      </c>
      <c r="K927" s="39">
        <f>IF(I927 = "Yes", M926/(C927+CostBuy), IF(J927 = "Yes", 0, K926))</f>
        <v>124974.61782946787</v>
      </c>
      <c r="M927" s="19">
        <f>IF(I927 = "Yes", M926-(C927+CostBuy)*K927, IF(J927="Yes", M926+(C927-CostSell)*K926, M926+K927*Rate))</f>
        <v>0</v>
      </c>
    </row>
    <row r="928" spans="2:13" s="11" customFormat="1" x14ac:dyDescent="0.2">
      <c r="B928" s="24">
        <v>1947.03</v>
      </c>
      <c r="C928" s="25">
        <v>15.16</v>
      </c>
      <c r="D928" s="40">
        <f t="shared" si="15"/>
        <v>15.111666666666666</v>
      </c>
      <c r="E928" s="40">
        <f t="shared" si="16"/>
        <v>15.8025</v>
      </c>
      <c r="F928" s="12"/>
      <c r="G928" s="18" t="str">
        <f t="shared" si="17"/>
        <v>Yes</v>
      </c>
      <c r="H928" s="12"/>
      <c r="I928" s="39" t="str">
        <f>IF(BuyAllowed="Yes",IF(AND(G928 = "No", C928&gt;D928), "Yes", "No"),"No")</f>
        <v>No</v>
      </c>
      <c r="J928" s="39" t="str">
        <f>IF(SellAllowed="Yes",IF(AND(G928 = "Yes", C928&lt;E928), "Yes", "No"),"No")</f>
        <v>Yes</v>
      </c>
      <c r="K928" s="39">
        <f>IF(I928 = "Yes", M927/(C928+CostBuy), IF(J928 = "Yes", 0, K927))</f>
        <v>0</v>
      </c>
      <c r="M928" s="19">
        <f>IF(I928 = "Yes", M927-(C928+CostBuy)*K928, IF(J928="Yes", M927+(C928-CostSell)*K927, M927+K928*Rate))</f>
        <v>1887116.7292249647</v>
      </c>
    </row>
    <row r="929" spans="2:13" s="11" customFormat="1" x14ac:dyDescent="0.2">
      <c r="B929" s="24">
        <v>1947.04</v>
      </c>
      <c r="C929" s="25">
        <v>14.6</v>
      </c>
      <c r="D929" s="40">
        <f t="shared" si="15"/>
        <v>15.123333333333333</v>
      </c>
      <c r="E929" s="40">
        <f t="shared" si="16"/>
        <v>15.441249999999998</v>
      </c>
      <c r="F929" s="12"/>
      <c r="G929" s="18" t="str">
        <f t="shared" si="17"/>
        <v>No</v>
      </c>
      <c r="H929" s="12"/>
      <c r="I929" s="39" t="str">
        <f>IF(BuyAllowed="Yes",IF(AND(G929 = "No", C929&gt;D929), "Yes", "No"),"No")</f>
        <v>No</v>
      </c>
      <c r="J929" s="39" t="str">
        <f>IF(SellAllowed="Yes",IF(AND(G929 = "Yes", C929&lt;E929), "Yes", "No"),"No")</f>
        <v>No</v>
      </c>
      <c r="K929" s="39">
        <f>IF(I929 = "Yes", M928/(C929+CostBuy), IF(J929 = "Yes", 0, K928))</f>
        <v>0</v>
      </c>
      <c r="M929" s="19">
        <f>IF(I929 = "Yes", M928-(C929+CostBuy)*K929, IF(J929="Yes", M928+(C929-CostSell)*K928, M928+K929*Rate))</f>
        <v>1887116.7292249647</v>
      </c>
    </row>
    <row r="930" spans="2:13" s="11" customFormat="1" x14ac:dyDescent="0.2">
      <c r="B930" s="24">
        <v>1947.05</v>
      </c>
      <c r="C930" s="25">
        <v>14.34</v>
      </c>
      <c r="D930" s="40">
        <f t="shared" si="15"/>
        <v>15.098333333333331</v>
      </c>
      <c r="E930" s="40">
        <f t="shared" si="16"/>
        <v>15.053749999999999</v>
      </c>
      <c r="F930" s="12"/>
      <c r="G930" s="18" t="str">
        <f t="shared" si="17"/>
        <v>No</v>
      </c>
      <c r="H930" s="12"/>
      <c r="I930" s="39" t="str">
        <f>IF(BuyAllowed="Yes",IF(AND(G930 = "No", C930&gt;D930), "Yes", "No"),"No")</f>
        <v>No</v>
      </c>
      <c r="J930" s="39" t="str">
        <f>IF(SellAllowed="Yes",IF(AND(G930 = "Yes", C930&lt;E930), "Yes", "No"),"No")</f>
        <v>No</v>
      </c>
      <c r="K930" s="39">
        <f>IF(I930 = "Yes", M929/(C930+CostBuy), IF(J930 = "Yes", 0, K929))</f>
        <v>0</v>
      </c>
      <c r="M930" s="19">
        <f>IF(I930 = "Yes", M929-(C930+CostBuy)*K930, IF(J930="Yes", M929+(C930-CostSell)*K929, M929+K930*Rate))</f>
        <v>1887116.7292249647</v>
      </c>
    </row>
    <row r="931" spans="2:13" s="11" customFormat="1" x14ac:dyDescent="0.2">
      <c r="B931" s="24">
        <v>1947.06</v>
      </c>
      <c r="C931" s="25">
        <v>14.84</v>
      </c>
      <c r="D931" s="40">
        <f t="shared" si="15"/>
        <v>15.04</v>
      </c>
      <c r="E931" s="40">
        <f t="shared" si="16"/>
        <v>14.959999999999999</v>
      </c>
      <c r="F931" s="12"/>
      <c r="G931" s="18" t="str">
        <f t="shared" si="17"/>
        <v>No</v>
      </c>
      <c r="H931" s="12"/>
      <c r="I931" s="39" t="str">
        <f>IF(BuyAllowed="Yes",IF(AND(G931 = "No", C931&gt;D931), "Yes", "No"),"No")</f>
        <v>No</v>
      </c>
      <c r="J931" s="39" t="str">
        <f>IF(SellAllowed="Yes",IF(AND(G931 = "Yes", C931&lt;E931), "Yes", "No"),"No")</f>
        <v>No</v>
      </c>
      <c r="K931" s="39">
        <f>IF(I931 = "Yes", M930/(C931+CostBuy), IF(J931 = "Yes", 0, K930))</f>
        <v>0</v>
      </c>
      <c r="M931" s="19">
        <f>IF(I931 = "Yes", M930-(C931+CostBuy)*K931, IF(J931="Yes", M930+(C931-CostSell)*K930, M930+K931*Rate))</f>
        <v>1887116.7292249647</v>
      </c>
    </row>
    <row r="932" spans="2:13" s="11" customFormat="1" x14ac:dyDescent="0.2">
      <c r="B932" s="24">
        <v>1947.07</v>
      </c>
      <c r="C932" s="25">
        <v>15.77</v>
      </c>
      <c r="D932" s="40">
        <f t="shared" si="15"/>
        <v>14.991666666666667</v>
      </c>
      <c r="E932" s="40">
        <f t="shared" si="16"/>
        <v>14.97125</v>
      </c>
      <c r="F932" s="12"/>
      <c r="G932" s="18" t="str">
        <f t="shared" si="17"/>
        <v>No</v>
      </c>
      <c r="H932" s="12"/>
      <c r="I932" s="39" t="str">
        <f>IF(BuyAllowed="Yes",IF(AND(G932 = "No", C932&gt;D932), "Yes", "No"),"No")</f>
        <v>Yes</v>
      </c>
      <c r="J932" s="39" t="str">
        <f>IF(SellAllowed="Yes",IF(AND(G932 = "Yes", C932&lt;E932), "Yes", "No"),"No")</f>
        <v>No</v>
      </c>
      <c r="K932" s="39">
        <f>IF(I932 = "Yes", M931/(C932+CostBuy), IF(J932 = "Yes", 0, K931))</f>
        <v>119437.76767246613</v>
      </c>
      <c r="M932" s="19">
        <f>IF(I932 = "Yes", M931-(C932+CostBuy)*K932, IF(J932="Yes", M931+(C932-CostSell)*K931, M931+K932*Rate))</f>
        <v>0</v>
      </c>
    </row>
    <row r="933" spans="2:13" s="11" customFormat="1" x14ac:dyDescent="0.2">
      <c r="B933" s="24">
        <v>1947.08</v>
      </c>
      <c r="C933" s="25">
        <v>15.46</v>
      </c>
      <c r="D933" s="40">
        <f t="shared" si="15"/>
        <v>15.085000000000001</v>
      </c>
      <c r="E933" s="40">
        <f t="shared" si="16"/>
        <v>15.106249999999999</v>
      </c>
      <c r="F933" s="12"/>
      <c r="G933" s="18" t="str">
        <f t="shared" si="17"/>
        <v>Yes</v>
      </c>
      <c r="H933" s="12"/>
      <c r="I933" s="39" t="str">
        <f>IF(BuyAllowed="Yes",IF(AND(G933 = "No", C933&gt;D933), "Yes", "No"),"No")</f>
        <v>No</v>
      </c>
      <c r="J933" s="39" t="str">
        <f>IF(SellAllowed="Yes",IF(AND(G933 = "Yes", C933&lt;E933), "Yes", "No"),"No")</f>
        <v>No</v>
      </c>
      <c r="K933" s="39">
        <f>IF(I933 = "Yes", M932/(C933+CostBuy), IF(J933 = "Yes", 0, K932))</f>
        <v>119437.76767246613</v>
      </c>
      <c r="M933" s="19">
        <f>IF(I933 = "Yes", M932-(C933+CostBuy)*K933, IF(J933="Yes", M932+(C933-CostSell)*K932, M932+K933*Rate))</f>
        <v>5971.8883836233072</v>
      </c>
    </row>
    <row r="934" spans="2:13" s="11" customFormat="1" x14ac:dyDescent="0.2">
      <c r="B934" s="24">
        <v>1947.09</v>
      </c>
      <c r="C934" s="25">
        <v>15.06</v>
      </c>
      <c r="D934" s="40">
        <f t="shared" si="15"/>
        <v>15.028333333333331</v>
      </c>
      <c r="E934" s="40">
        <f t="shared" si="16"/>
        <v>15.147500000000001</v>
      </c>
      <c r="F934" s="12"/>
      <c r="G934" s="18" t="str">
        <f t="shared" si="17"/>
        <v>Yes</v>
      </c>
      <c r="H934" s="12"/>
      <c r="I934" s="39" t="str">
        <f>IF(BuyAllowed="Yes",IF(AND(G934 = "No", C934&gt;D934), "Yes", "No"),"No")</f>
        <v>No</v>
      </c>
      <c r="J934" s="39" t="str">
        <f>IF(SellAllowed="Yes",IF(AND(G934 = "Yes", C934&lt;E934), "Yes", "No"),"No")</f>
        <v>Yes</v>
      </c>
      <c r="K934" s="39">
        <f>IF(I934 = "Yes", M933/(C934+CostBuy), IF(J934 = "Yes", 0, K933))</f>
        <v>0</v>
      </c>
      <c r="M934" s="19">
        <f>IF(I934 = "Yes", M933-(C934+CostBuy)*K934, IF(J934="Yes", M933+(C934-CostSell)*K933, M933+K934*Rate))</f>
        <v>1797538.4034706152</v>
      </c>
    </row>
    <row r="935" spans="2:13" s="11" customFormat="1" x14ac:dyDescent="0.2">
      <c r="B935" s="24">
        <v>1947.1</v>
      </c>
      <c r="C935" s="25">
        <v>15.45</v>
      </c>
      <c r="D935" s="40">
        <f t="shared" si="15"/>
        <v>15.011666666666665</v>
      </c>
      <c r="E935" s="40">
        <f t="shared" si="16"/>
        <v>15.12875</v>
      </c>
      <c r="F935" s="12"/>
      <c r="G935" s="18" t="str">
        <f t="shared" si="17"/>
        <v>No</v>
      </c>
      <c r="H935" s="12"/>
      <c r="I935" s="39" t="str">
        <f>IF(BuyAllowed="Yes",IF(AND(G935 = "No", C935&gt;D935), "Yes", "No"),"No")</f>
        <v>Yes</v>
      </c>
      <c r="J935" s="39" t="str">
        <f>IF(SellAllowed="Yes",IF(AND(G935 = "Yes", C935&lt;E935), "Yes", "No"),"No")</f>
        <v>No</v>
      </c>
      <c r="K935" s="39">
        <f>IF(I935 = "Yes", M934/(C935+CostBuy), IF(J935 = "Yes", 0, K934))</f>
        <v>116120.05190378652</v>
      </c>
      <c r="M935" s="19">
        <f>IF(I935 = "Yes", M934-(C935+CostBuy)*K935, IF(J935="Yes", M934+(C935-CostSell)*K934, M934+K935*Rate))</f>
        <v>0</v>
      </c>
    </row>
    <row r="936" spans="2:13" s="11" customFormat="1" x14ac:dyDescent="0.2">
      <c r="B936" s="24">
        <v>1947.11</v>
      </c>
      <c r="C936" s="25">
        <v>15.27</v>
      </c>
      <c r="D936" s="40">
        <f t="shared" si="15"/>
        <v>15.153333333333334</v>
      </c>
      <c r="E936" s="40">
        <f t="shared" si="16"/>
        <v>15.084999999999999</v>
      </c>
      <c r="F936" s="12"/>
      <c r="G936" s="18" t="str">
        <f t="shared" si="17"/>
        <v>Yes</v>
      </c>
      <c r="H936" s="12"/>
      <c r="I936" s="39" t="str">
        <f>IF(BuyAllowed="Yes",IF(AND(G936 = "No", C936&gt;D936), "Yes", "No"),"No")</f>
        <v>No</v>
      </c>
      <c r="J936" s="39" t="str">
        <f>IF(SellAllowed="Yes",IF(AND(G936 = "Yes", C936&lt;E936), "Yes", "No"),"No")</f>
        <v>No</v>
      </c>
      <c r="K936" s="39">
        <f>IF(I936 = "Yes", M935/(C936+CostBuy), IF(J936 = "Yes", 0, K935))</f>
        <v>116120.05190378652</v>
      </c>
      <c r="M936" s="19">
        <f>IF(I936 = "Yes", M935-(C936+CostBuy)*K936, IF(J936="Yes", M935+(C936-CostSell)*K935, M935+K936*Rate))</f>
        <v>5806.0025951893258</v>
      </c>
    </row>
    <row r="937" spans="2:13" s="11" customFormat="1" x14ac:dyDescent="0.2">
      <c r="B937" s="24">
        <v>1947.12</v>
      </c>
      <c r="C937" s="25">
        <v>15.03</v>
      </c>
      <c r="D937" s="40">
        <f t="shared" si="15"/>
        <v>15.308333333333332</v>
      </c>
      <c r="E937" s="40">
        <f t="shared" si="16"/>
        <v>15.098749999999999</v>
      </c>
      <c r="F937" s="12"/>
      <c r="G937" s="18" t="str">
        <f t="shared" si="17"/>
        <v>Yes</v>
      </c>
      <c r="H937" s="12"/>
      <c r="I937" s="39" t="str">
        <f>IF(BuyAllowed="Yes",IF(AND(G937 = "No", C937&gt;D937), "Yes", "No"),"No")</f>
        <v>No</v>
      </c>
      <c r="J937" s="39" t="str">
        <f>IF(SellAllowed="Yes",IF(AND(G937 = "Yes", C937&lt;E937), "Yes", "No"),"No")</f>
        <v>Yes</v>
      </c>
      <c r="K937" s="39">
        <f>IF(I937 = "Yes", M936/(C937+CostBuy), IF(J937 = "Yes", 0, K936))</f>
        <v>0</v>
      </c>
      <c r="M937" s="19">
        <f>IF(I937 = "Yes", M936-(C937+CostBuy)*K937, IF(J937="Yes", M936+(C937-CostSell)*K936, M936+K937*Rate))</f>
        <v>1744123.1795948732</v>
      </c>
    </row>
    <row r="938" spans="2:13" s="11" customFormat="1" x14ac:dyDescent="0.2">
      <c r="B938" s="24">
        <v>1948.01</v>
      </c>
      <c r="C938" s="25">
        <v>14.83</v>
      </c>
      <c r="D938" s="40">
        <f t="shared" si="15"/>
        <v>15.339999999999998</v>
      </c>
      <c r="E938" s="40">
        <f t="shared" si="16"/>
        <v>15.1525</v>
      </c>
      <c r="F938" s="12"/>
      <c r="G938" s="18" t="str">
        <f t="shared" si="17"/>
        <v>No</v>
      </c>
      <c r="H938" s="12"/>
      <c r="I938" s="39" t="str">
        <f>IF(BuyAllowed="Yes",IF(AND(G938 = "No", C938&gt;D938), "Yes", "No"),"No")</f>
        <v>No</v>
      </c>
      <c r="J938" s="39" t="str">
        <f>IF(SellAllowed="Yes",IF(AND(G938 = "Yes", C938&lt;E938), "Yes", "No"),"No")</f>
        <v>No</v>
      </c>
      <c r="K938" s="39">
        <f>IF(I938 = "Yes", M937/(C938+CostBuy), IF(J938 = "Yes", 0, K937))</f>
        <v>0</v>
      </c>
      <c r="M938" s="19">
        <f>IF(I938 = "Yes", M937-(C938+CostBuy)*K938, IF(J938="Yes", M937+(C938-CostSell)*K937, M937+K938*Rate))</f>
        <v>1744123.1795948732</v>
      </c>
    </row>
    <row r="939" spans="2:13" s="11" customFormat="1" x14ac:dyDescent="0.2">
      <c r="B939" s="24">
        <v>1948.02</v>
      </c>
      <c r="C939" s="25">
        <v>14.1</v>
      </c>
      <c r="D939" s="40">
        <f t="shared" si="15"/>
        <v>15.183333333333332</v>
      </c>
      <c r="E939" s="40">
        <f t="shared" si="16"/>
        <v>15.213749999999999</v>
      </c>
      <c r="F939" s="12"/>
      <c r="G939" s="18" t="str">
        <f t="shared" si="17"/>
        <v>No</v>
      </c>
      <c r="H939" s="12"/>
      <c r="I939" s="39" t="str">
        <f>IF(BuyAllowed="Yes",IF(AND(G939 = "No", C939&gt;D939), "Yes", "No"),"No")</f>
        <v>No</v>
      </c>
      <c r="J939" s="39" t="str">
        <f>IF(SellAllowed="Yes",IF(AND(G939 = "Yes", C939&lt;E939), "Yes", "No"),"No")</f>
        <v>No</v>
      </c>
      <c r="K939" s="39">
        <f>IF(I939 = "Yes", M938/(C939+CostBuy), IF(J939 = "Yes", 0, K938))</f>
        <v>0</v>
      </c>
      <c r="M939" s="19">
        <f>IF(I939 = "Yes", M938-(C939+CostBuy)*K939, IF(J939="Yes", M938+(C939-CostSell)*K938, M938+K939*Rate))</f>
        <v>1744123.1795948732</v>
      </c>
    </row>
    <row r="940" spans="2:13" s="11" customFormat="1" x14ac:dyDescent="0.2">
      <c r="B940" s="24">
        <v>1948.03</v>
      </c>
      <c r="C940" s="25">
        <v>14.3</v>
      </c>
      <c r="D940" s="40">
        <f t="shared" si="15"/>
        <v>14.956666666666665</v>
      </c>
      <c r="E940" s="40">
        <f t="shared" si="16"/>
        <v>15.121249999999998</v>
      </c>
      <c r="F940" s="12"/>
      <c r="G940" s="18" t="str">
        <f t="shared" si="17"/>
        <v>No</v>
      </c>
      <c r="H940" s="12"/>
      <c r="I940" s="39" t="str">
        <f>IF(BuyAllowed="Yes",IF(AND(G940 = "No", C940&gt;D940), "Yes", "No"),"No")</f>
        <v>No</v>
      </c>
      <c r="J940" s="39" t="str">
        <f>IF(SellAllowed="Yes",IF(AND(G940 = "Yes", C940&lt;E940), "Yes", "No"),"No")</f>
        <v>No</v>
      </c>
      <c r="K940" s="39">
        <f>IF(I940 = "Yes", M939/(C940+CostBuy), IF(J940 = "Yes", 0, K939))</f>
        <v>0</v>
      </c>
      <c r="M940" s="19">
        <f>IF(I940 = "Yes", M939-(C940+CostBuy)*K940, IF(J940="Yes", M939+(C940-CostSell)*K939, M939+K940*Rate))</f>
        <v>1744123.1795948732</v>
      </c>
    </row>
    <row r="941" spans="2:13" s="11" customFormat="1" x14ac:dyDescent="0.2">
      <c r="B941" s="24">
        <v>1948.04</v>
      </c>
      <c r="C941" s="25">
        <v>15.4</v>
      </c>
      <c r="D941" s="40">
        <f t="shared" si="15"/>
        <v>14.829999999999998</v>
      </c>
      <c r="E941" s="40">
        <f t="shared" si="16"/>
        <v>14.937499999999998</v>
      </c>
      <c r="F941" s="12"/>
      <c r="G941" s="18" t="str">
        <f t="shared" si="17"/>
        <v>No</v>
      </c>
      <c r="H941" s="12"/>
      <c r="I941" s="39" t="str">
        <f>IF(BuyAllowed="Yes",IF(AND(G941 = "No", C941&gt;D941), "Yes", "No"),"No")</f>
        <v>Yes</v>
      </c>
      <c r="J941" s="39" t="str">
        <f>IF(SellAllowed="Yes",IF(AND(G941 = "Yes", C941&lt;E941), "Yes", "No"),"No")</f>
        <v>No</v>
      </c>
      <c r="K941" s="39">
        <f>IF(I941 = "Yes", M940/(C941+CostBuy), IF(J941 = "Yes", 0, K940))</f>
        <v>113034.55473719204</v>
      </c>
      <c r="M941" s="19">
        <f>IF(I941 = "Yes", M940-(C941+CostBuy)*K941, IF(J941="Yes", M940+(C941-CostSell)*K940, M940+K941*Rate))</f>
        <v>0</v>
      </c>
    </row>
    <row r="942" spans="2:13" s="11" customFormat="1" x14ac:dyDescent="0.2">
      <c r="B942" s="24">
        <v>1948.05</v>
      </c>
      <c r="C942" s="25">
        <v>16.149999999999999</v>
      </c>
      <c r="D942" s="40">
        <f t="shared" si="15"/>
        <v>14.821666666666667</v>
      </c>
      <c r="E942" s="40">
        <f t="shared" si="16"/>
        <v>14.93</v>
      </c>
      <c r="F942" s="12"/>
      <c r="G942" s="18" t="str">
        <f t="shared" si="17"/>
        <v>Yes</v>
      </c>
      <c r="H942" s="12"/>
      <c r="I942" s="39" t="str">
        <f>IF(BuyAllowed="Yes",IF(AND(G942 = "No", C942&gt;D942), "Yes", "No"),"No")</f>
        <v>No</v>
      </c>
      <c r="J942" s="39" t="str">
        <f>IF(SellAllowed="Yes",IF(AND(G942 = "Yes", C942&lt;E942), "Yes", "No"),"No")</f>
        <v>No</v>
      </c>
      <c r="K942" s="39">
        <f>IF(I942 = "Yes", M941/(C942+CostBuy), IF(J942 = "Yes", 0, K941))</f>
        <v>113034.55473719204</v>
      </c>
      <c r="M942" s="19">
        <f>IF(I942 = "Yes", M941-(C942+CostBuy)*K942, IF(J942="Yes", M941+(C942-CostSell)*K941, M941+K942*Rate))</f>
        <v>5651.7277368596024</v>
      </c>
    </row>
    <row r="943" spans="2:13" s="11" customFormat="1" x14ac:dyDescent="0.2">
      <c r="B943" s="24">
        <v>1948.06</v>
      </c>
      <c r="C943" s="25">
        <v>16.82</v>
      </c>
      <c r="D943" s="40">
        <f t="shared" si="15"/>
        <v>14.968333333333334</v>
      </c>
      <c r="E943" s="40">
        <f t="shared" si="16"/>
        <v>15.06625</v>
      </c>
      <c r="F943" s="12"/>
      <c r="G943" s="18" t="str">
        <f t="shared" si="17"/>
        <v>Yes</v>
      </c>
      <c r="H943" s="12"/>
      <c r="I943" s="39" t="str">
        <f>IF(BuyAllowed="Yes",IF(AND(G943 = "No", C943&gt;D943), "Yes", "No"),"No")</f>
        <v>No</v>
      </c>
      <c r="J943" s="39" t="str">
        <f>IF(SellAllowed="Yes",IF(AND(G943 = "Yes", C943&lt;E943), "Yes", "No"),"No")</f>
        <v>No</v>
      </c>
      <c r="K943" s="39">
        <f>IF(I943 = "Yes", M942/(C943+CostBuy), IF(J943 = "Yes", 0, K942))</f>
        <v>113034.55473719204</v>
      </c>
      <c r="M943" s="19">
        <f>IF(I943 = "Yes", M942-(C943+CostBuy)*K943, IF(J943="Yes", M942+(C943-CostSell)*K942, M942+K943*Rate))</f>
        <v>11303.455473719205</v>
      </c>
    </row>
    <row r="944" spans="2:13" s="11" customFormat="1" x14ac:dyDescent="0.2">
      <c r="B944" s="24">
        <v>1948.07</v>
      </c>
      <c r="C944" s="25">
        <v>16.420000000000002</v>
      </c>
      <c r="D944" s="40">
        <f t="shared" si="15"/>
        <v>15.266666666666666</v>
      </c>
      <c r="E944" s="40">
        <f t="shared" si="16"/>
        <v>15.237500000000001</v>
      </c>
      <c r="F944" s="12"/>
      <c r="G944" s="18" t="str">
        <f t="shared" si="17"/>
        <v>Yes</v>
      </c>
      <c r="H944" s="12"/>
      <c r="I944" s="39" t="str">
        <f>IF(BuyAllowed="Yes",IF(AND(G944 = "No", C944&gt;D944), "Yes", "No"),"No")</f>
        <v>No</v>
      </c>
      <c r="J944" s="39" t="str">
        <f>IF(SellAllowed="Yes",IF(AND(G944 = "Yes", C944&lt;E944), "Yes", "No"),"No")</f>
        <v>No</v>
      </c>
      <c r="K944" s="39">
        <f>IF(I944 = "Yes", M943/(C944+CostBuy), IF(J944 = "Yes", 0, K943))</f>
        <v>113034.55473719204</v>
      </c>
      <c r="M944" s="19">
        <f>IF(I944 = "Yes", M943-(C944+CostBuy)*K944, IF(J944="Yes", M943+(C944-CostSell)*K943, M943+K944*Rate))</f>
        <v>16955.183210578805</v>
      </c>
    </row>
    <row r="945" spans="2:13" s="11" customFormat="1" x14ac:dyDescent="0.2">
      <c r="B945" s="24">
        <v>1948.08</v>
      </c>
      <c r="C945" s="25">
        <v>15.94</v>
      </c>
      <c r="D945" s="40">
        <f t="shared" si="15"/>
        <v>15.531666666666666</v>
      </c>
      <c r="E945" s="40">
        <f t="shared" si="16"/>
        <v>15.38125</v>
      </c>
      <c r="F945" s="12"/>
      <c r="G945" s="18" t="str">
        <f t="shared" si="17"/>
        <v>Yes</v>
      </c>
      <c r="H945" s="12"/>
      <c r="I945" s="39" t="str">
        <f>IF(BuyAllowed="Yes",IF(AND(G945 = "No", C945&gt;D945), "Yes", "No"),"No")</f>
        <v>No</v>
      </c>
      <c r="J945" s="39" t="str">
        <f>IF(SellAllowed="Yes",IF(AND(G945 = "Yes", C945&lt;E945), "Yes", "No"),"No")</f>
        <v>No</v>
      </c>
      <c r="K945" s="39">
        <f>IF(I945 = "Yes", M944/(C945+CostBuy), IF(J945 = "Yes", 0, K944))</f>
        <v>113034.55473719204</v>
      </c>
      <c r="M945" s="19">
        <f>IF(I945 = "Yes", M944-(C945+CostBuy)*K945, IF(J945="Yes", M944+(C945-CostSell)*K944, M944+K945*Rate))</f>
        <v>22606.910947438409</v>
      </c>
    </row>
    <row r="946" spans="2:13" s="11" customFormat="1" x14ac:dyDescent="0.2">
      <c r="B946" s="24">
        <v>1948.09</v>
      </c>
      <c r="C946" s="25">
        <v>15.76</v>
      </c>
      <c r="D946" s="40">
        <f t="shared" si="15"/>
        <v>15.838333333333333</v>
      </c>
      <c r="E946" s="40">
        <f t="shared" si="16"/>
        <v>15.494999999999999</v>
      </c>
      <c r="F946" s="12"/>
      <c r="G946" s="18" t="str">
        <f t="shared" si="17"/>
        <v>Yes</v>
      </c>
      <c r="H946" s="12"/>
      <c r="I946" s="39" t="str">
        <f>IF(BuyAllowed="Yes",IF(AND(G946 = "No", C946&gt;D946), "Yes", "No"),"No")</f>
        <v>No</v>
      </c>
      <c r="J946" s="39" t="str">
        <f>IF(SellAllowed="Yes",IF(AND(G946 = "Yes", C946&lt;E946), "Yes", "No"),"No")</f>
        <v>No</v>
      </c>
      <c r="K946" s="39">
        <f>IF(I946 = "Yes", M945/(C946+CostBuy), IF(J946 = "Yes", 0, K945))</f>
        <v>113034.55473719204</v>
      </c>
      <c r="M946" s="19">
        <f>IF(I946 = "Yes", M945-(C946+CostBuy)*K946, IF(J946="Yes", M945+(C946-CostSell)*K945, M945+K946*Rate))</f>
        <v>28258.638684298014</v>
      </c>
    </row>
    <row r="947" spans="2:13" s="11" customFormat="1" x14ac:dyDescent="0.2">
      <c r="B947" s="24">
        <v>1948.1</v>
      </c>
      <c r="C947" s="25">
        <v>16.190000000000001</v>
      </c>
      <c r="D947" s="40">
        <f t="shared" si="15"/>
        <v>16.081666666666667</v>
      </c>
      <c r="E947" s="40">
        <f t="shared" si="16"/>
        <v>15.61125</v>
      </c>
      <c r="F947" s="12"/>
      <c r="G947" s="18" t="str">
        <f t="shared" si="17"/>
        <v>Yes</v>
      </c>
      <c r="H947" s="12"/>
      <c r="I947" s="39" t="str">
        <f>IF(BuyAllowed="Yes",IF(AND(G947 = "No", C947&gt;D947), "Yes", "No"),"No")</f>
        <v>No</v>
      </c>
      <c r="J947" s="39" t="str">
        <f>IF(SellAllowed="Yes",IF(AND(G947 = "Yes", C947&lt;E947), "Yes", "No"),"No")</f>
        <v>No</v>
      </c>
      <c r="K947" s="39">
        <f>IF(I947 = "Yes", M946/(C947+CostBuy), IF(J947 = "Yes", 0, K946))</f>
        <v>113034.55473719204</v>
      </c>
      <c r="M947" s="19">
        <f>IF(I947 = "Yes", M946-(C947+CostBuy)*K947, IF(J947="Yes", M946+(C947-CostSell)*K946, M946+K947*Rate))</f>
        <v>33910.366421157618</v>
      </c>
    </row>
    <row r="948" spans="2:13" s="11" customFormat="1" x14ac:dyDescent="0.2">
      <c r="B948" s="24">
        <v>1948.11</v>
      </c>
      <c r="C948" s="25">
        <v>15.29</v>
      </c>
      <c r="D948" s="40">
        <f t="shared" si="15"/>
        <v>16.213333333333335</v>
      </c>
      <c r="E948" s="40">
        <f t="shared" si="16"/>
        <v>15.8725</v>
      </c>
      <c r="F948" s="12"/>
      <c r="G948" s="18" t="str">
        <f t="shared" si="17"/>
        <v>Yes</v>
      </c>
      <c r="H948" s="12"/>
      <c r="I948" s="39" t="str">
        <f>IF(BuyAllowed="Yes",IF(AND(G948 = "No", C948&gt;D948), "Yes", "No"),"No")</f>
        <v>No</v>
      </c>
      <c r="J948" s="39" t="str">
        <f>IF(SellAllowed="Yes",IF(AND(G948 = "Yes", C948&lt;E948), "Yes", "No"),"No")</f>
        <v>Yes</v>
      </c>
      <c r="K948" s="39">
        <f>IF(I948 = "Yes", M947/(C948+CostBuy), IF(J948 = "Yes", 0, K947))</f>
        <v>0</v>
      </c>
      <c r="M948" s="19">
        <f>IF(I948 = "Yes", M947-(C948+CostBuy)*K948, IF(J948="Yes", M947+(C948-CostSell)*K947, M947+K948*Rate))</f>
        <v>1755426.6350685924</v>
      </c>
    </row>
    <row r="949" spans="2:13" s="11" customFormat="1" x14ac:dyDescent="0.2">
      <c r="B949" s="24">
        <v>1948.12</v>
      </c>
      <c r="C949" s="25">
        <v>15.19</v>
      </c>
      <c r="D949" s="40">
        <f t="shared" si="15"/>
        <v>16.069999999999997</v>
      </c>
      <c r="E949" s="40">
        <f t="shared" si="16"/>
        <v>15.99625</v>
      </c>
      <c r="F949" s="12"/>
      <c r="G949" s="18" t="str">
        <f t="shared" si="17"/>
        <v>No</v>
      </c>
      <c r="H949" s="12"/>
      <c r="I949" s="39" t="str">
        <f>IF(BuyAllowed="Yes",IF(AND(G949 = "No", C949&gt;D949), "Yes", "No"),"No")</f>
        <v>No</v>
      </c>
      <c r="J949" s="39" t="str">
        <f>IF(SellAllowed="Yes",IF(AND(G949 = "Yes", C949&lt;E949), "Yes", "No"),"No")</f>
        <v>No</v>
      </c>
      <c r="K949" s="39">
        <f>IF(I949 = "Yes", M948/(C949+CostBuy), IF(J949 = "Yes", 0, K948))</f>
        <v>0</v>
      </c>
      <c r="M949" s="19">
        <f>IF(I949 = "Yes", M948-(C949+CostBuy)*K949, IF(J949="Yes", M948+(C949-CostSell)*K948, M948+K949*Rate))</f>
        <v>1755426.6350685924</v>
      </c>
    </row>
    <row r="950" spans="2:13" s="11" customFormat="1" x14ac:dyDescent="0.2">
      <c r="B950" s="24">
        <v>1949.01</v>
      </c>
      <c r="C950" s="25">
        <v>15.36</v>
      </c>
      <c r="D950" s="40">
        <f t="shared" si="15"/>
        <v>15.798333333333332</v>
      </c>
      <c r="E950" s="40">
        <f t="shared" si="16"/>
        <v>15.969999999999999</v>
      </c>
      <c r="F950" s="12"/>
      <c r="G950" s="18" t="str">
        <f t="shared" si="17"/>
        <v>No</v>
      </c>
      <c r="H950" s="12"/>
      <c r="I950" s="39" t="str">
        <f>IF(BuyAllowed="Yes",IF(AND(G950 = "No", C950&gt;D950), "Yes", "No"),"No")</f>
        <v>No</v>
      </c>
      <c r="J950" s="39" t="str">
        <f>IF(SellAllowed="Yes",IF(AND(G950 = "Yes", C950&lt;E950), "Yes", "No"),"No")</f>
        <v>No</v>
      </c>
      <c r="K950" s="39">
        <f>IF(I950 = "Yes", M949/(C950+CostBuy), IF(J950 = "Yes", 0, K949))</f>
        <v>0</v>
      </c>
      <c r="M950" s="19">
        <f>IF(I950 = "Yes", M949-(C950+CostBuy)*K950, IF(J950="Yes", M949+(C950-CostSell)*K949, M949+K950*Rate))</f>
        <v>1755426.6350685924</v>
      </c>
    </row>
    <row r="951" spans="2:13" s="11" customFormat="1" x14ac:dyDescent="0.2">
      <c r="B951" s="24">
        <v>1949.02</v>
      </c>
      <c r="C951" s="25">
        <v>14.77</v>
      </c>
      <c r="D951" s="40">
        <f t="shared" si="15"/>
        <v>15.621666666666668</v>
      </c>
      <c r="E951" s="40">
        <f t="shared" si="16"/>
        <v>15.871249999999998</v>
      </c>
      <c r="F951" s="12"/>
      <c r="G951" s="18" t="str">
        <f t="shared" si="17"/>
        <v>No</v>
      </c>
      <c r="H951" s="12"/>
      <c r="I951" s="39" t="str">
        <f>IF(BuyAllowed="Yes",IF(AND(G951 = "No", C951&gt;D951), "Yes", "No"),"No")</f>
        <v>No</v>
      </c>
      <c r="J951" s="39" t="str">
        <f>IF(SellAllowed="Yes",IF(AND(G951 = "Yes", C951&lt;E951), "Yes", "No"),"No")</f>
        <v>No</v>
      </c>
      <c r="K951" s="39">
        <f>IF(I951 = "Yes", M950/(C951+CostBuy), IF(J951 = "Yes", 0, K950))</f>
        <v>0</v>
      </c>
      <c r="M951" s="19">
        <f>IF(I951 = "Yes", M950-(C951+CostBuy)*K951, IF(J951="Yes", M950+(C951-CostSell)*K950, M950+K951*Rate))</f>
        <v>1755426.6350685924</v>
      </c>
    </row>
    <row r="952" spans="2:13" s="11" customFormat="1" x14ac:dyDescent="0.2">
      <c r="B952" s="24">
        <v>1949.03</v>
      </c>
      <c r="C952" s="25">
        <v>14.91</v>
      </c>
      <c r="D952" s="40">
        <f t="shared" si="15"/>
        <v>15.426666666666664</v>
      </c>
      <c r="E952" s="40">
        <f t="shared" si="16"/>
        <v>15.614999999999998</v>
      </c>
      <c r="F952" s="12"/>
      <c r="G952" s="18" t="str">
        <f t="shared" si="17"/>
        <v>No</v>
      </c>
      <c r="H952" s="12"/>
      <c r="I952" s="39" t="str">
        <f>IF(BuyAllowed="Yes",IF(AND(G952 = "No", C952&gt;D952), "Yes", "No"),"No")</f>
        <v>No</v>
      </c>
      <c r="J952" s="39" t="str">
        <f>IF(SellAllowed="Yes",IF(AND(G952 = "Yes", C952&lt;E952), "Yes", "No"),"No")</f>
        <v>No</v>
      </c>
      <c r="K952" s="39">
        <f>IF(I952 = "Yes", M951/(C952+CostBuy), IF(J952 = "Yes", 0, K951))</f>
        <v>0</v>
      </c>
      <c r="M952" s="19">
        <f>IF(I952 = "Yes", M951-(C952+CostBuy)*K952, IF(J952="Yes", M951+(C952-CostSell)*K951, M951+K952*Rate))</f>
        <v>1755426.6350685924</v>
      </c>
    </row>
    <row r="953" spans="2:13" s="11" customFormat="1" x14ac:dyDescent="0.2">
      <c r="B953" s="24">
        <v>1949.04</v>
      </c>
      <c r="C953" s="25">
        <v>14.89</v>
      </c>
      <c r="D953" s="40">
        <f t="shared" si="15"/>
        <v>15.284999999999998</v>
      </c>
      <c r="E953" s="40">
        <f t="shared" si="16"/>
        <v>15.42625</v>
      </c>
      <c r="F953" s="12"/>
      <c r="G953" s="18" t="str">
        <f t="shared" si="17"/>
        <v>No</v>
      </c>
      <c r="H953" s="12"/>
      <c r="I953" s="39" t="str">
        <f>IF(BuyAllowed="Yes",IF(AND(G953 = "No", C953&gt;D953), "Yes", "No"),"No")</f>
        <v>No</v>
      </c>
      <c r="J953" s="39" t="str">
        <f>IF(SellAllowed="Yes",IF(AND(G953 = "Yes", C953&lt;E953), "Yes", "No"),"No")</f>
        <v>No</v>
      </c>
      <c r="K953" s="39">
        <f>IF(I953 = "Yes", M952/(C953+CostBuy), IF(J953 = "Yes", 0, K952))</f>
        <v>0</v>
      </c>
      <c r="M953" s="19">
        <f>IF(I953 = "Yes", M952-(C953+CostBuy)*K953, IF(J953="Yes", M952+(C953-CostSell)*K952, M952+K953*Rate))</f>
        <v>1755426.6350685924</v>
      </c>
    </row>
    <row r="954" spans="2:13" s="11" customFormat="1" x14ac:dyDescent="0.2">
      <c r="B954" s="24">
        <v>1949.05</v>
      </c>
      <c r="C954" s="25">
        <v>14.78</v>
      </c>
      <c r="D954" s="40">
        <f t="shared" si="15"/>
        <v>15.068333333333333</v>
      </c>
      <c r="E954" s="40">
        <f t="shared" si="16"/>
        <v>15.294999999999998</v>
      </c>
      <c r="F954" s="12"/>
      <c r="G954" s="18" t="str">
        <f t="shared" si="17"/>
        <v>No</v>
      </c>
      <c r="H954" s="12"/>
      <c r="I954" s="39" t="str">
        <f>IF(BuyAllowed="Yes",IF(AND(G954 = "No", C954&gt;D954), "Yes", "No"),"No")</f>
        <v>No</v>
      </c>
      <c r="J954" s="39" t="str">
        <f>IF(SellAllowed="Yes",IF(AND(G954 = "Yes", C954&lt;E954), "Yes", "No"),"No")</f>
        <v>No</v>
      </c>
      <c r="K954" s="39">
        <f>IF(I954 = "Yes", M953/(C954+CostBuy), IF(J954 = "Yes", 0, K953))</f>
        <v>0</v>
      </c>
      <c r="M954" s="19">
        <f>IF(I954 = "Yes", M953-(C954+CostBuy)*K954, IF(J954="Yes", M953+(C954-CostSell)*K953, M953+K954*Rate))</f>
        <v>1755426.6350685924</v>
      </c>
    </row>
    <row r="955" spans="2:13" s="11" customFormat="1" x14ac:dyDescent="0.2">
      <c r="B955" s="24">
        <v>1949.06</v>
      </c>
      <c r="C955" s="25">
        <v>13.97</v>
      </c>
      <c r="D955" s="40">
        <f t="shared" si="15"/>
        <v>14.983333333333333</v>
      </c>
      <c r="E955" s="40">
        <f t="shared" si="16"/>
        <v>15.172499999999999</v>
      </c>
      <c r="F955" s="12"/>
      <c r="G955" s="18" t="str">
        <f t="shared" si="17"/>
        <v>No</v>
      </c>
      <c r="H955" s="12"/>
      <c r="I955" s="39" t="str">
        <f>IF(BuyAllowed="Yes",IF(AND(G955 = "No", C955&gt;D955), "Yes", "No"),"No")</f>
        <v>No</v>
      </c>
      <c r="J955" s="39" t="str">
        <f>IF(SellAllowed="Yes",IF(AND(G955 = "Yes", C955&lt;E955), "Yes", "No"),"No")</f>
        <v>No</v>
      </c>
      <c r="K955" s="39">
        <f>IF(I955 = "Yes", M954/(C955+CostBuy), IF(J955 = "Yes", 0, K954))</f>
        <v>0</v>
      </c>
      <c r="M955" s="19">
        <f>IF(I955 = "Yes", M954-(C955+CostBuy)*K955, IF(J955="Yes", M954+(C955-CostSell)*K954, M954+K955*Rate))</f>
        <v>1755426.6350685924</v>
      </c>
    </row>
    <row r="956" spans="2:13" s="11" customFormat="1" x14ac:dyDescent="0.2">
      <c r="B956" s="24">
        <v>1949.07</v>
      </c>
      <c r="C956" s="25">
        <v>14.76</v>
      </c>
      <c r="D956" s="40">
        <f t="shared" si="15"/>
        <v>14.78</v>
      </c>
      <c r="E956" s="40">
        <f t="shared" si="16"/>
        <v>14.895</v>
      </c>
      <c r="F956" s="12"/>
      <c r="G956" s="18" t="str">
        <f t="shared" si="17"/>
        <v>No</v>
      </c>
      <c r="H956" s="12"/>
      <c r="I956" s="39" t="str">
        <f>IF(BuyAllowed="Yes",IF(AND(G956 = "No", C956&gt;D956), "Yes", "No"),"No")</f>
        <v>No</v>
      </c>
      <c r="J956" s="39" t="str">
        <f>IF(SellAllowed="Yes",IF(AND(G956 = "Yes", C956&lt;E956), "Yes", "No"),"No")</f>
        <v>No</v>
      </c>
      <c r="K956" s="39">
        <f>IF(I956 = "Yes", M955/(C956+CostBuy), IF(J956 = "Yes", 0, K955))</f>
        <v>0</v>
      </c>
      <c r="M956" s="19">
        <f>IF(I956 = "Yes", M955-(C956+CostBuy)*K956, IF(J956="Yes", M955+(C956-CostSell)*K955, M955+K956*Rate))</f>
        <v>1755426.6350685924</v>
      </c>
    </row>
    <row r="957" spans="2:13" s="11" customFormat="1" x14ac:dyDescent="0.2">
      <c r="B957" s="24">
        <v>1949.08</v>
      </c>
      <c r="C957" s="25">
        <v>15.29</v>
      </c>
      <c r="D957" s="40">
        <f t="shared" si="15"/>
        <v>14.680000000000001</v>
      </c>
      <c r="E957" s="40">
        <f t="shared" si="16"/>
        <v>14.828749999999999</v>
      </c>
      <c r="F957" s="12"/>
      <c r="G957" s="18" t="str">
        <f t="shared" si="17"/>
        <v>No</v>
      </c>
      <c r="H957" s="12"/>
      <c r="I957" s="39" t="str">
        <f>IF(BuyAllowed="Yes",IF(AND(G957 = "No", C957&gt;D957), "Yes", "No"),"No")</f>
        <v>Yes</v>
      </c>
      <c r="J957" s="39" t="str">
        <f>IF(SellAllowed="Yes",IF(AND(G957 = "Yes", C957&lt;E957), "Yes", "No"),"No")</f>
        <v>No</v>
      </c>
      <c r="K957" s="39">
        <f>IF(I957 = "Yes", M956/(C957+CostBuy), IF(J957 = "Yes", 0, K956))</f>
        <v>114583.98401231022</v>
      </c>
      <c r="M957" s="19">
        <f>IF(I957 = "Yes", M956-(C957+CostBuy)*K957, IF(J957="Yes", M956+(C957-CostSell)*K956, M956+K957*Rate))</f>
        <v>0</v>
      </c>
    </row>
    <row r="958" spans="2:13" s="11" customFormat="1" x14ac:dyDescent="0.2">
      <c r="B958" s="24">
        <v>1949.09</v>
      </c>
      <c r="C958" s="25">
        <v>15.49</v>
      </c>
      <c r="D958" s="40">
        <f t="shared" si="15"/>
        <v>14.766666666666666</v>
      </c>
      <c r="E958" s="40">
        <f t="shared" si="16"/>
        <v>14.841249999999999</v>
      </c>
      <c r="F958" s="12"/>
      <c r="G958" s="18" t="str">
        <f t="shared" si="17"/>
        <v>Yes</v>
      </c>
      <c r="H958" s="12"/>
      <c r="I958" s="39" t="str">
        <f>IF(BuyAllowed="Yes",IF(AND(G958 = "No", C958&gt;D958), "Yes", "No"),"No")</f>
        <v>No</v>
      </c>
      <c r="J958" s="39" t="str">
        <f>IF(SellAllowed="Yes",IF(AND(G958 = "Yes", C958&lt;E958), "Yes", "No"),"No")</f>
        <v>No</v>
      </c>
      <c r="K958" s="39">
        <f>IF(I958 = "Yes", M957/(C958+CostBuy), IF(J958 = "Yes", 0, K957))</f>
        <v>114583.98401231022</v>
      </c>
      <c r="M958" s="19">
        <f>IF(I958 = "Yes", M957-(C958+CostBuy)*K958, IF(J958="Yes", M957+(C958-CostSell)*K957, M957+K958*Rate))</f>
        <v>5729.1992006155115</v>
      </c>
    </row>
    <row r="959" spans="2:13" s="11" customFormat="1" x14ac:dyDescent="0.2">
      <c r="B959" s="24">
        <v>1949.1</v>
      </c>
      <c r="C959" s="25">
        <v>15.89</v>
      </c>
      <c r="D959" s="40">
        <f t="shared" si="15"/>
        <v>14.863333333333332</v>
      </c>
      <c r="E959" s="40">
        <f t="shared" si="16"/>
        <v>14.8575</v>
      </c>
      <c r="F959" s="12"/>
      <c r="G959" s="18" t="str">
        <f t="shared" si="17"/>
        <v>Yes</v>
      </c>
      <c r="H959" s="12"/>
      <c r="I959" s="39" t="str">
        <f>IF(BuyAllowed="Yes",IF(AND(G959 = "No", C959&gt;D959), "Yes", "No"),"No")</f>
        <v>No</v>
      </c>
      <c r="J959" s="39" t="str">
        <f>IF(SellAllowed="Yes",IF(AND(G959 = "Yes", C959&lt;E959), "Yes", "No"),"No")</f>
        <v>No</v>
      </c>
      <c r="K959" s="39">
        <f>IF(I959 = "Yes", M958/(C959+CostBuy), IF(J959 = "Yes", 0, K958))</f>
        <v>114583.98401231022</v>
      </c>
      <c r="M959" s="19">
        <f>IF(I959 = "Yes", M958-(C959+CostBuy)*K959, IF(J959="Yes", M958+(C959-CostSell)*K958, M958+K959*Rate))</f>
        <v>11458.398401231023</v>
      </c>
    </row>
    <row r="960" spans="2:13" s="11" customFormat="1" x14ac:dyDescent="0.2">
      <c r="B960" s="24">
        <v>1949.11</v>
      </c>
      <c r="C960" s="25">
        <v>16.11</v>
      </c>
      <c r="D960" s="40">
        <f t="shared" si="15"/>
        <v>15.03</v>
      </c>
      <c r="E960" s="40">
        <f t="shared" si="16"/>
        <v>14.997499999999999</v>
      </c>
      <c r="F960" s="12"/>
      <c r="G960" s="18" t="str">
        <f t="shared" si="17"/>
        <v>Yes</v>
      </c>
      <c r="H960" s="12"/>
      <c r="I960" s="39" t="str">
        <f>IF(BuyAllowed="Yes",IF(AND(G960 = "No", C960&gt;D960), "Yes", "No"),"No")</f>
        <v>No</v>
      </c>
      <c r="J960" s="39" t="str">
        <f>IF(SellAllowed="Yes",IF(AND(G960 = "Yes", C960&lt;E960), "Yes", "No"),"No")</f>
        <v>No</v>
      </c>
      <c r="K960" s="39">
        <f>IF(I960 = "Yes", M959/(C960+CostBuy), IF(J960 = "Yes", 0, K959))</f>
        <v>114583.98401231022</v>
      </c>
      <c r="M960" s="19">
        <f>IF(I960 = "Yes", M959-(C960+CostBuy)*K960, IF(J960="Yes", M959+(C960-CostSell)*K959, M959+K960*Rate))</f>
        <v>17187.597601846534</v>
      </c>
    </row>
    <row r="961" spans="2:13" s="11" customFormat="1" x14ac:dyDescent="0.2">
      <c r="B961" s="24">
        <v>1949.12</v>
      </c>
      <c r="C961" s="25">
        <v>16.54</v>
      </c>
      <c r="D961" s="40">
        <f t="shared" si="15"/>
        <v>15.251666666666667</v>
      </c>
      <c r="E961" s="40">
        <f t="shared" si="16"/>
        <v>15.147499999999999</v>
      </c>
      <c r="F961" s="12"/>
      <c r="G961" s="18" t="str">
        <f t="shared" si="17"/>
        <v>Yes</v>
      </c>
      <c r="H961" s="12"/>
      <c r="I961" s="39" t="str">
        <f>IF(BuyAllowed="Yes",IF(AND(G961 = "No", C961&gt;D961), "Yes", "No"),"No")</f>
        <v>No</v>
      </c>
      <c r="J961" s="39" t="str">
        <f>IF(SellAllowed="Yes",IF(AND(G961 = "Yes", C961&lt;E961), "Yes", "No"),"No")</f>
        <v>No</v>
      </c>
      <c r="K961" s="39">
        <f>IF(I961 = "Yes", M960/(C961+CostBuy), IF(J961 = "Yes", 0, K960))</f>
        <v>114583.98401231022</v>
      </c>
      <c r="M961" s="19">
        <f>IF(I961 = "Yes", M960-(C961+CostBuy)*K961, IF(J961="Yes", M960+(C961-CostSell)*K960, M960+K961*Rate))</f>
        <v>22916.796802462046</v>
      </c>
    </row>
    <row r="962" spans="2:13" s="11" customFormat="1" x14ac:dyDescent="0.2">
      <c r="B962" s="24">
        <v>1950.01</v>
      </c>
      <c r="C962" s="25">
        <v>16.88</v>
      </c>
      <c r="D962" s="40">
        <f t="shared" si="15"/>
        <v>15.679999999999998</v>
      </c>
      <c r="E962" s="40">
        <f t="shared" si="16"/>
        <v>15.353749999999998</v>
      </c>
      <c r="F962" s="12"/>
      <c r="G962" s="18" t="str">
        <f t="shared" si="17"/>
        <v>Yes</v>
      </c>
      <c r="H962" s="12"/>
      <c r="I962" s="39" t="str">
        <f>IF(BuyAllowed="Yes",IF(AND(G962 = "No", C962&gt;D962), "Yes", "No"),"No")</f>
        <v>No</v>
      </c>
      <c r="J962" s="39" t="str">
        <f>IF(SellAllowed="Yes",IF(AND(G962 = "Yes", C962&lt;E962), "Yes", "No"),"No")</f>
        <v>No</v>
      </c>
      <c r="K962" s="39">
        <f>IF(I962 = "Yes", M961/(C962+CostBuy), IF(J962 = "Yes", 0, K961))</f>
        <v>114583.98401231022</v>
      </c>
      <c r="M962" s="19">
        <f>IF(I962 = "Yes", M961-(C962+CostBuy)*K962, IF(J962="Yes", M961+(C962-CostSell)*K961, M961+K962*Rate))</f>
        <v>28645.996003077558</v>
      </c>
    </row>
    <row r="963" spans="2:13" s="11" customFormat="1" x14ac:dyDescent="0.2">
      <c r="B963" s="24">
        <v>1950.02</v>
      </c>
      <c r="C963" s="25">
        <v>17.21</v>
      </c>
      <c r="D963" s="40">
        <f t="shared" si="15"/>
        <v>16.033333333333331</v>
      </c>
      <c r="E963" s="40">
        <f t="shared" si="16"/>
        <v>15.616250000000001</v>
      </c>
      <c r="F963" s="12"/>
      <c r="G963" s="18" t="str">
        <f t="shared" si="17"/>
        <v>Yes</v>
      </c>
      <c r="H963" s="12"/>
      <c r="I963" s="39" t="str">
        <f>IF(BuyAllowed="Yes",IF(AND(G963 = "No", C963&gt;D963), "Yes", "No"),"No")</f>
        <v>No</v>
      </c>
      <c r="J963" s="39" t="str">
        <f>IF(SellAllowed="Yes",IF(AND(G963 = "Yes", C963&lt;E963), "Yes", "No"),"No")</f>
        <v>No</v>
      </c>
      <c r="K963" s="39">
        <f>IF(I963 = "Yes", M962/(C963+CostBuy), IF(J963 = "Yes", 0, K962))</f>
        <v>114583.98401231022</v>
      </c>
      <c r="M963" s="19">
        <f>IF(I963 = "Yes", M962-(C963+CostBuy)*K963, IF(J963="Yes", M962+(C963-CostSell)*K962, M962+K963*Rate))</f>
        <v>34375.195203693067</v>
      </c>
    </row>
    <row r="964" spans="2:13" s="11" customFormat="1" x14ac:dyDescent="0.2">
      <c r="B964" s="24">
        <v>1950.03</v>
      </c>
      <c r="C964" s="25">
        <v>17.350000000000001</v>
      </c>
      <c r="D964" s="40">
        <f t="shared" si="15"/>
        <v>16.353333333333335</v>
      </c>
      <c r="E964" s="40">
        <f t="shared" si="16"/>
        <v>16.021249999999998</v>
      </c>
      <c r="F964" s="12"/>
      <c r="G964" s="18" t="str">
        <f t="shared" si="17"/>
        <v>Yes</v>
      </c>
      <c r="H964" s="12"/>
      <c r="I964" s="39" t="str">
        <f>IF(BuyAllowed="Yes",IF(AND(G964 = "No", C964&gt;D964), "Yes", "No"),"No")</f>
        <v>No</v>
      </c>
      <c r="J964" s="39" t="str">
        <f>IF(SellAllowed="Yes",IF(AND(G964 = "Yes", C964&lt;E964), "Yes", "No"),"No")</f>
        <v>No</v>
      </c>
      <c r="K964" s="39">
        <f>IF(I964 = "Yes", M963/(C964+CostBuy), IF(J964 = "Yes", 0, K963))</f>
        <v>114583.98401231022</v>
      </c>
      <c r="M964" s="19">
        <f>IF(I964 = "Yes", M963-(C964+CostBuy)*K964, IF(J964="Yes", M963+(C964-CostSell)*K963, M963+K964*Rate))</f>
        <v>40104.394404308579</v>
      </c>
    </row>
    <row r="965" spans="2:13" s="11" customFormat="1" x14ac:dyDescent="0.2">
      <c r="B965" s="24">
        <v>1950.04</v>
      </c>
      <c r="C965" s="25">
        <v>17.84</v>
      </c>
      <c r="D965" s="40">
        <f t="shared" si="15"/>
        <v>16.66333333333333</v>
      </c>
      <c r="E965" s="40">
        <f t="shared" si="16"/>
        <v>16.344999999999999</v>
      </c>
      <c r="F965" s="12"/>
      <c r="G965" s="18" t="str">
        <f t="shared" si="17"/>
        <v>Yes</v>
      </c>
      <c r="H965" s="12"/>
      <c r="I965" s="39" t="str">
        <f>IF(BuyAllowed="Yes",IF(AND(G965 = "No", C965&gt;D965), "Yes", "No"),"No")</f>
        <v>No</v>
      </c>
      <c r="J965" s="39" t="str">
        <f>IF(SellAllowed="Yes",IF(AND(G965 = "Yes", C965&lt;E965), "Yes", "No"),"No")</f>
        <v>No</v>
      </c>
      <c r="K965" s="39">
        <f>IF(I965 = "Yes", M964/(C965+CostBuy), IF(J965 = "Yes", 0, K964))</f>
        <v>114583.98401231022</v>
      </c>
      <c r="M965" s="19">
        <f>IF(I965 = "Yes", M964-(C965+CostBuy)*K965, IF(J965="Yes", M964+(C965-CostSell)*K964, M964+K965*Rate))</f>
        <v>45833.593604924092</v>
      </c>
    </row>
    <row r="966" spans="2:13" s="11" customFormat="1" x14ac:dyDescent="0.2">
      <c r="B966" s="24">
        <v>1950.05</v>
      </c>
      <c r="C966" s="25">
        <v>18.440000000000001</v>
      </c>
      <c r="D966" s="40">
        <f t="shared" si="15"/>
        <v>16.988333333333333</v>
      </c>
      <c r="E966" s="40">
        <f t="shared" si="16"/>
        <v>16.66375</v>
      </c>
      <c r="F966" s="12"/>
      <c r="G966" s="18" t="str">
        <f t="shared" si="17"/>
        <v>Yes</v>
      </c>
      <c r="H966" s="12"/>
      <c r="I966" s="39" t="str">
        <f>IF(BuyAllowed="Yes",IF(AND(G966 = "No", C966&gt;D966), "Yes", "No"),"No")</f>
        <v>No</v>
      </c>
      <c r="J966" s="39" t="str">
        <f>IF(SellAllowed="Yes",IF(AND(G966 = "Yes", C966&lt;E966), "Yes", "No"),"No")</f>
        <v>No</v>
      </c>
      <c r="K966" s="39">
        <f>IF(I966 = "Yes", M965/(C966+CostBuy), IF(J966 = "Yes", 0, K965))</f>
        <v>114583.98401231022</v>
      </c>
      <c r="M966" s="19">
        <f>IF(I966 = "Yes", M965-(C966+CostBuy)*K966, IF(J966="Yes", M965+(C966-CostSell)*K965, M965+K966*Rate))</f>
        <v>51562.792805539604</v>
      </c>
    </row>
    <row r="967" spans="2:13" s="11" customFormat="1" x14ac:dyDescent="0.2">
      <c r="B967" s="24">
        <v>1950.06</v>
      </c>
      <c r="C967" s="25">
        <v>18.739999999999998</v>
      </c>
      <c r="D967" s="40">
        <f t="shared" si="15"/>
        <v>17.376666666666669</v>
      </c>
      <c r="E967" s="40">
        <f t="shared" si="16"/>
        <v>17.032499999999999</v>
      </c>
      <c r="F967" s="12"/>
      <c r="G967" s="18" t="str">
        <f t="shared" si="17"/>
        <v>Yes</v>
      </c>
      <c r="H967" s="12"/>
      <c r="I967" s="39" t="str">
        <f>IF(BuyAllowed="Yes",IF(AND(G967 = "No", C967&gt;D967), "Yes", "No"),"No")</f>
        <v>No</v>
      </c>
      <c r="J967" s="39" t="str">
        <f>IF(SellAllowed="Yes",IF(AND(G967 = "Yes", C967&lt;E967), "Yes", "No"),"No")</f>
        <v>No</v>
      </c>
      <c r="K967" s="39">
        <f>IF(I967 = "Yes", M966/(C967+CostBuy), IF(J967 = "Yes", 0, K966))</f>
        <v>114583.98401231022</v>
      </c>
      <c r="M967" s="19">
        <f>IF(I967 = "Yes", M966-(C967+CostBuy)*K967, IF(J967="Yes", M966+(C967-CostSell)*K966, M966+K967*Rate))</f>
        <v>57291.992006155117</v>
      </c>
    </row>
    <row r="968" spans="2:13" s="11" customFormat="1" x14ac:dyDescent="0.2">
      <c r="B968" s="24">
        <v>1950.07</v>
      </c>
      <c r="C968" s="25">
        <v>17.38</v>
      </c>
      <c r="D968" s="40">
        <f t="shared" si="15"/>
        <v>17.743333333333332</v>
      </c>
      <c r="E968" s="40">
        <f t="shared" si="16"/>
        <v>17.388750000000002</v>
      </c>
      <c r="F968" s="12"/>
      <c r="G968" s="18" t="str">
        <f t="shared" si="17"/>
        <v>Yes</v>
      </c>
      <c r="H968" s="12"/>
      <c r="I968" s="39" t="str">
        <f>IF(BuyAllowed="Yes",IF(AND(G968 = "No", C968&gt;D968), "Yes", "No"),"No")</f>
        <v>No</v>
      </c>
      <c r="J968" s="39" t="str">
        <f>IF(SellAllowed="Yes",IF(AND(G968 = "Yes", C968&lt;E968), "Yes", "No"),"No")</f>
        <v>Yes</v>
      </c>
      <c r="K968" s="39">
        <f>IF(I968 = "Yes", M967/(C968+CostBuy), IF(J968 = "Yes", 0, K967))</f>
        <v>0</v>
      </c>
      <c r="M968" s="19">
        <f>IF(I968 = "Yes", M967-(C968+CostBuy)*K968, IF(J968="Yes", M967+(C968-CostSell)*K967, M967+K968*Rate))</f>
        <v>2041886.5950993681</v>
      </c>
    </row>
    <row r="969" spans="2:13" s="11" customFormat="1" x14ac:dyDescent="0.2">
      <c r="B969" s="24">
        <v>1950.08</v>
      </c>
      <c r="C969" s="25">
        <v>18.43</v>
      </c>
      <c r="D969" s="40">
        <f t="shared" si="15"/>
        <v>17.826666666666664</v>
      </c>
      <c r="E969" s="40">
        <f t="shared" si="16"/>
        <v>17.547499999999999</v>
      </c>
      <c r="F969" s="12"/>
      <c r="G969" s="18" t="str">
        <f t="shared" si="17"/>
        <v>No</v>
      </c>
      <c r="H969" s="12"/>
      <c r="I969" s="39" t="str">
        <f>IF(BuyAllowed="Yes",IF(AND(G969 = "No", C969&gt;D969), "Yes", "No"),"No")</f>
        <v>Yes</v>
      </c>
      <c r="J969" s="39" t="str">
        <f>IF(SellAllowed="Yes",IF(AND(G969 = "Yes", C969&lt;E969), "Yes", "No"),"No")</f>
        <v>No</v>
      </c>
      <c r="K969" s="39">
        <f>IF(I969 = "Yes", M968/(C969+CostBuy), IF(J969 = "Yes", 0, K968))</f>
        <v>110611.40818523121</v>
      </c>
      <c r="M969" s="19">
        <f>IF(I969 = "Yes", M968-(C969+CostBuy)*K969, IF(J969="Yes", M968+(C969-CostSell)*K968, M968+K969*Rate))</f>
        <v>0</v>
      </c>
    </row>
    <row r="970" spans="2:13" s="11" customFormat="1" x14ac:dyDescent="0.2">
      <c r="B970" s="24">
        <v>1950.09</v>
      </c>
      <c r="C970" s="25">
        <v>19.079999999999998</v>
      </c>
      <c r="D970" s="40">
        <f t="shared" si="15"/>
        <v>18.029999999999998</v>
      </c>
      <c r="E970" s="40">
        <f t="shared" si="16"/>
        <v>17.783749999999998</v>
      </c>
      <c r="F970" s="12"/>
      <c r="G970" s="18" t="str">
        <f t="shared" si="17"/>
        <v>Yes</v>
      </c>
      <c r="H970" s="12"/>
      <c r="I970" s="39" t="str">
        <f>IF(BuyAllowed="Yes",IF(AND(G970 = "No", C970&gt;D970), "Yes", "No"),"No")</f>
        <v>No</v>
      </c>
      <c r="J970" s="39" t="str">
        <f>IF(SellAllowed="Yes",IF(AND(G970 = "Yes", C970&lt;E970), "Yes", "No"),"No")</f>
        <v>No</v>
      </c>
      <c r="K970" s="39">
        <f>IF(I970 = "Yes", M969/(C970+CostBuy), IF(J970 = "Yes", 0, K969))</f>
        <v>110611.40818523121</v>
      </c>
      <c r="M970" s="19">
        <f>IF(I970 = "Yes", M969-(C970+CostBuy)*K970, IF(J970="Yes", M969+(C970-CostSell)*K969, M969+K970*Rate))</f>
        <v>5530.5704092615606</v>
      </c>
    </row>
    <row r="971" spans="2:13" s="11" customFormat="1" x14ac:dyDescent="0.2">
      <c r="B971" s="24">
        <v>1950.1</v>
      </c>
      <c r="C971" s="25">
        <v>19.87</v>
      </c>
      <c r="D971" s="40">
        <f t="shared" si="15"/>
        <v>18.318333333333332</v>
      </c>
      <c r="E971" s="40">
        <f t="shared" si="16"/>
        <v>18.058749999999996</v>
      </c>
      <c r="F971" s="12"/>
      <c r="G971" s="18" t="str">
        <f t="shared" si="17"/>
        <v>Yes</v>
      </c>
      <c r="H971" s="12"/>
      <c r="I971" s="39" t="str">
        <f>IF(BuyAllowed="Yes",IF(AND(G971 = "No", C971&gt;D971), "Yes", "No"),"No")</f>
        <v>No</v>
      </c>
      <c r="J971" s="39" t="str">
        <f>IF(SellAllowed="Yes",IF(AND(G971 = "Yes", C971&lt;E971), "Yes", "No"),"No")</f>
        <v>No</v>
      </c>
      <c r="K971" s="39">
        <f>IF(I971 = "Yes", M970/(C971+CostBuy), IF(J971 = "Yes", 0, K970))</f>
        <v>110611.40818523121</v>
      </c>
      <c r="M971" s="19">
        <f>IF(I971 = "Yes", M970-(C971+CostBuy)*K971, IF(J971="Yes", M970+(C971-CostSell)*K970, M970+K971*Rate))</f>
        <v>11061.140818523121</v>
      </c>
    </row>
    <row r="972" spans="2:13" s="11" customFormat="1" x14ac:dyDescent="0.2">
      <c r="B972" s="24">
        <v>1950.11</v>
      </c>
      <c r="C972" s="25">
        <v>19.829999999999998</v>
      </c>
      <c r="D972" s="40">
        <f t="shared" si="15"/>
        <v>18.65666666666667</v>
      </c>
      <c r="E972" s="40">
        <f t="shared" si="16"/>
        <v>18.391249999999996</v>
      </c>
      <c r="F972" s="12"/>
      <c r="G972" s="18" t="str">
        <f t="shared" si="17"/>
        <v>Yes</v>
      </c>
      <c r="H972" s="12"/>
      <c r="I972" s="39" t="str">
        <f>IF(BuyAllowed="Yes",IF(AND(G972 = "No", C972&gt;D972), "Yes", "No"),"No")</f>
        <v>No</v>
      </c>
      <c r="J972" s="39" t="str">
        <f>IF(SellAllowed="Yes",IF(AND(G972 = "Yes", C972&lt;E972), "Yes", "No"),"No")</f>
        <v>No</v>
      </c>
      <c r="K972" s="39">
        <f>IF(I972 = "Yes", M971/(C972+CostBuy), IF(J972 = "Yes", 0, K971))</f>
        <v>110611.40818523121</v>
      </c>
      <c r="M972" s="19">
        <f>IF(I972 = "Yes", M971-(C972+CostBuy)*K972, IF(J972="Yes", M971+(C972-CostSell)*K971, M971+K972*Rate))</f>
        <v>16591.711227784683</v>
      </c>
    </row>
    <row r="973" spans="2:13" s="11" customFormat="1" x14ac:dyDescent="0.2">
      <c r="B973" s="24">
        <v>1950.12</v>
      </c>
      <c r="C973" s="25">
        <v>19.75</v>
      </c>
      <c r="D973" s="40">
        <f t="shared" si="15"/>
        <v>18.888333333333332</v>
      </c>
      <c r="E973" s="40">
        <f t="shared" si="16"/>
        <v>18.701249999999995</v>
      </c>
      <c r="F973" s="12"/>
      <c r="G973" s="18" t="str">
        <f t="shared" si="17"/>
        <v>Yes</v>
      </c>
      <c r="H973" s="12"/>
      <c r="I973" s="39" t="str">
        <f>IF(BuyAllowed="Yes",IF(AND(G973 = "No", C973&gt;D973), "Yes", "No"),"No")</f>
        <v>No</v>
      </c>
      <c r="J973" s="39" t="str">
        <f>IF(SellAllowed="Yes",IF(AND(G973 = "Yes", C973&lt;E973), "Yes", "No"),"No")</f>
        <v>No</v>
      </c>
      <c r="K973" s="39">
        <f>IF(I973 = "Yes", M972/(C973+CostBuy), IF(J973 = "Yes", 0, K972))</f>
        <v>110611.40818523121</v>
      </c>
      <c r="M973" s="19">
        <f>IF(I973 = "Yes", M972-(C973+CostBuy)*K973, IF(J973="Yes", M972+(C973-CostSell)*K972, M972+K973*Rate))</f>
        <v>22122.281637046242</v>
      </c>
    </row>
    <row r="974" spans="2:13" s="11" customFormat="1" x14ac:dyDescent="0.2">
      <c r="B974" s="24">
        <v>1951.01</v>
      </c>
      <c r="C974" s="25">
        <v>21.21</v>
      </c>
      <c r="D974" s="40">
        <f t="shared" si="15"/>
        <v>19.056666666666668</v>
      </c>
      <c r="E974" s="40">
        <f t="shared" si="16"/>
        <v>18.940000000000001</v>
      </c>
      <c r="F974" s="12"/>
      <c r="G974" s="18" t="str">
        <f t="shared" si="17"/>
        <v>Yes</v>
      </c>
      <c r="H974" s="12"/>
      <c r="I974" s="39" t="str">
        <f>IF(BuyAllowed="Yes",IF(AND(G974 = "No", C974&gt;D974), "Yes", "No"),"No")</f>
        <v>No</v>
      </c>
      <c r="J974" s="39" t="str">
        <f>IF(SellAllowed="Yes",IF(AND(G974 = "Yes", C974&lt;E974), "Yes", "No"),"No")</f>
        <v>No</v>
      </c>
      <c r="K974" s="39">
        <f>IF(I974 = "Yes", M973/(C974+CostBuy), IF(J974 = "Yes", 0, K973))</f>
        <v>110611.40818523121</v>
      </c>
      <c r="M974" s="19">
        <f>IF(I974 = "Yes", M973-(C974+CostBuy)*K974, IF(J974="Yes", M973+(C974-CostSell)*K973, M973+K974*Rate))</f>
        <v>27652.852046307802</v>
      </c>
    </row>
    <row r="975" spans="2:13" s="11" customFormat="1" x14ac:dyDescent="0.2">
      <c r="B975" s="24">
        <v>1951.02</v>
      </c>
      <c r="C975" s="25">
        <v>22</v>
      </c>
      <c r="D975" s="40">
        <f t="shared" si="15"/>
        <v>19.694999999999997</v>
      </c>
      <c r="E975" s="40">
        <f t="shared" si="16"/>
        <v>19.286249999999999</v>
      </c>
      <c r="F975" s="12"/>
      <c r="G975" s="18" t="str">
        <f t="shared" si="17"/>
        <v>Yes</v>
      </c>
      <c r="H975" s="12"/>
      <c r="I975" s="39" t="str">
        <f>IF(BuyAllowed="Yes",IF(AND(G975 = "No", C975&gt;D975), "Yes", "No"),"No")</f>
        <v>No</v>
      </c>
      <c r="J975" s="39" t="str">
        <f>IF(SellAllowed="Yes",IF(AND(G975 = "Yes", C975&lt;E975), "Yes", "No"),"No")</f>
        <v>No</v>
      </c>
      <c r="K975" s="39">
        <f>IF(I975 = "Yes", M974/(C975+CostBuy), IF(J975 = "Yes", 0, K974))</f>
        <v>110611.40818523121</v>
      </c>
      <c r="M975" s="19">
        <f>IF(I975 = "Yes", M974-(C975+CostBuy)*K975, IF(J975="Yes", M974+(C975-CostSell)*K974, M974+K975*Rate))</f>
        <v>33183.422455569365</v>
      </c>
    </row>
    <row r="976" spans="2:13" s="11" customFormat="1" x14ac:dyDescent="0.2">
      <c r="B976" s="24">
        <v>1951.03</v>
      </c>
      <c r="C976" s="25">
        <v>21.63</v>
      </c>
      <c r="D976" s="40">
        <f t="shared" si="15"/>
        <v>20.290000000000003</v>
      </c>
      <c r="E976" s="40">
        <f t="shared" si="16"/>
        <v>19.693750000000001</v>
      </c>
      <c r="F976" s="12"/>
      <c r="G976" s="18" t="str">
        <f t="shared" si="17"/>
        <v>Yes</v>
      </c>
      <c r="H976" s="12"/>
      <c r="I976" s="39" t="str">
        <f>IF(BuyAllowed="Yes",IF(AND(G976 = "No", C976&gt;D976), "Yes", "No"),"No")</f>
        <v>No</v>
      </c>
      <c r="J976" s="39" t="str">
        <f>IF(SellAllowed="Yes",IF(AND(G976 = "Yes", C976&lt;E976), "Yes", "No"),"No")</f>
        <v>No</v>
      </c>
      <c r="K976" s="39">
        <f>IF(I976 = "Yes", M975/(C976+CostBuy), IF(J976 = "Yes", 0, K975))</f>
        <v>110611.40818523121</v>
      </c>
      <c r="M976" s="19">
        <f>IF(I976 = "Yes", M975-(C976+CostBuy)*K976, IF(J976="Yes", M975+(C976-CostSell)*K975, M975+K976*Rate))</f>
        <v>38713.992864830929</v>
      </c>
    </row>
    <row r="977" spans="2:13" s="11" customFormat="1" x14ac:dyDescent="0.2">
      <c r="B977" s="24">
        <v>1951.04</v>
      </c>
      <c r="C977" s="25">
        <v>21.92</v>
      </c>
      <c r="D977" s="40">
        <f t="shared" si="15"/>
        <v>20.715</v>
      </c>
      <c r="E977" s="40">
        <f t="shared" si="16"/>
        <v>20.224999999999998</v>
      </c>
      <c r="F977" s="12"/>
      <c r="G977" s="18" t="str">
        <f t="shared" si="17"/>
        <v>Yes</v>
      </c>
      <c r="H977" s="12"/>
      <c r="I977" s="39" t="str">
        <f>IF(BuyAllowed="Yes",IF(AND(G977 = "No", C977&gt;D977), "Yes", "No"),"No")</f>
        <v>No</v>
      </c>
      <c r="J977" s="39" t="str">
        <f>IF(SellAllowed="Yes",IF(AND(G977 = "Yes", C977&lt;E977), "Yes", "No"),"No")</f>
        <v>No</v>
      </c>
      <c r="K977" s="39">
        <f>IF(I977 = "Yes", M976/(C977+CostBuy), IF(J977 = "Yes", 0, K976))</f>
        <v>110611.40818523121</v>
      </c>
      <c r="M977" s="19">
        <f>IF(I977 = "Yes", M976-(C977+CostBuy)*K977, IF(J977="Yes", M976+(C977-CostSell)*K976, M976+K977*Rate))</f>
        <v>44244.563274092492</v>
      </c>
    </row>
    <row r="978" spans="2:13" s="11" customFormat="1" x14ac:dyDescent="0.2">
      <c r="B978" s="24">
        <v>1951.05</v>
      </c>
      <c r="C978" s="25">
        <v>21.93</v>
      </c>
      <c r="D978" s="40">
        <f t="shared" si="15"/>
        <v>21.056666666666665</v>
      </c>
      <c r="E978" s="40">
        <f t="shared" si="16"/>
        <v>20.661250000000003</v>
      </c>
      <c r="F978" s="12"/>
      <c r="G978" s="18" t="str">
        <f t="shared" si="17"/>
        <v>Yes</v>
      </c>
      <c r="H978" s="12"/>
      <c r="I978" s="39" t="str">
        <f>IF(BuyAllowed="Yes",IF(AND(G978 = "No", C978&gt;D978), "Yes", "No"),"No")</f>
        <v>No</v>
      </c>
      <c r="J978" s="39" t="str">
        <f>IF(SellAllowed="Yes",IF(AND(G978 = "Yes", C978&lt;E978), "Yes", "No"),"No")</f>
        <v>No</v>
      </c>
      <c r="K978" s="39">
        <f>IF(I978 = "Yes", M977/(C978+CostBuy), IF(J978 = "Yes", 0, K977))</f>
        <v>110611.40818523121</v>
      </c>
      <c r="M978" s="19">
        <f>IF(I978 = "Yes", M977-(C978+CostBuy)*K978, IF(J978="Yes", M977+(C978-CostSell)*K977, M977+K978*Rate))</f>
        <v>49775.133683354055</v>
      </c>
    </row>
    <row r="979" spans="2:13" s="11" customFormat="1" x14ac:dyDescent="0.2">
      <c r="B979" s="24">
        <v>1951.06</v>
      </c>
      <c r="C979" s="25">
        <v>21.55</v>
      </c>
      <c r="D979" s="40">
        <f t="shared" si="15"/>
        <v>21.406666666666666</v>
      </c>
      <c r="E979" s="40">
        <f t="shared" si="16"/>
        <v>21.017499999999998</v>
      </c>
      <c r="F979" s="12"/>
      <c r="G979" s="18" t="str">
        <f t="shared" si="17"/>
        <v>Yes</v>
      </c>
      <c r="H979" s="12"/>
      <c r="I979" s="39" t="str">
        <f>IF(BuyAllowed="Yes",IF(AND(G979 = "No", C979&gt;D979), "Yes", "No"),"No")</f>
        <v>No</v>
      </c>
      <c r="J979" s="39" t="str">
        <f>IF(SellAllowed="Yes",IF(AND(G979 = "Yes", C979&lt;E979), "Yes", "No"),"No")</f>
        <v>No</v>
      </c>
      <c r="K979" s="39">
        <f>IF(I979 = "Yes", M978/(C979+CostBuy), IF(J979 = "Yes", 0, K978))</f>
        <v>110611.40818523121</v>
      </c>
      <c r="M979" s="19">
        <f>IF(I979 = "Yes", M978-(C979+CostBuy)*K979, IF(J979="Yes", M978+(C979-CostSell)*K978, M978+K979*Rate))</f>
        <v>55305.704092615619</v>
      </c>
    </row>
    <row r="980" spans="2:13" s="11" customFormat="1" x14ac:dyDescent="0.2">
      <c r="B980" s="24">
        <v>1951.07</v>
      </c>
      <c r="C980" s="25">
        <v>21.93</v>
      </c>
      <c r="D980" s="40">
        <f t="shared" si="15"/>
        <v>21.706666666666667</v>
      </c>
      <c r="E980" s="40">
        <f t="shared" si="16"/>
        <v>21.227499999999999</v>
      </c>
      <c r="F980" s="12"/>
      <c r="G980" s="18" t="str">
        <f t="shared" si="17"/>
        <v>Yes</v>
      </c>
      <c r="H980" s="12"/>
      <c r="I980" s="39" t="str">
        <f>IF(BuyAllowed="Yes",IF(AND(G980 = "No", C980&gt;D980), "Yes", "No"),"No")</f>
        <v>No</v>
      </c>
      <c r="J980" s="39" t="str">
        <f>IF(SellAllowed="Yes",IF(AND(G980 = "Yes", C980&lt;E980), "Yes", "No"),"No")</f>
        <v>No</v>
      </c>
      <c r="K980" s="39">
        <f>IF(I980 = "Yes", M979/(C980+CostBuy), IF(J980 = "Yes", 0, K979))</f>
        <v>110611.40818523121</v>
      </c>
      <c r="M980" s="19">
        <f>IF(I980 = "Yes", M979-(C980+CostBuy)*K980, IF(J980="Yes", M979+(C980-CostSell)*K979, M979+K980*Rate))</f>
        <v>60836.274501877182</v>
      </c>
    </row>
    <row r="981" spans="2:13" s="11" customFormat="1" x14ac:dyDescent="0.2">
      <c r="B981" s="24">
        <v>1951.08</v>
      </c>
      <c r="C981" s="25">
        <v>22.89</v>
      </c>
      <c r="D981" s="40">
        <f t="shared" si="15"/>
        <v>21.826666666666664</v>
      </c>
      <c r="E981" s="40">
        <f t="shared" si="16"/>
        <v>21.490000000000002</v>
      </c>
      <c r="F981" s="12"/>
      <c r="G981" s="18" t="str">
        <f t="shared" si="17"/>
        <v>Yes</v>
      </c>
      <c r="H981" s="12"/>
      <c r="I981" s="39" t="str">
        <f>IF(BuyAllowed="Yes",IF(AND(G981 = "No", C981&gt;D981), "Yes", "No"),"No")</f>
        <v>No</v>
      </c>
      <c r="J981" s="39" t="str">
        <f>IF(SellAllowed="Yes",IF(AND(G981 = "Yes", C981&lt;E981), "Yes", "No"),"No")</f>
        <v>No</v>
      </c>
      <c r="K981" s="39">
        <f>IF(I981 = "Yes", M980/(C981+CostBuy), IF(J981 = "Yes", 0, K980))</f>
        <v>110611.40818523121</v>
      </c>
      <c r="M981" s="19">
        <f>IF(I981 = "Yes", M980-(C981+CostBuy)*K981, IF(J981="Yes", M980+(C981-CostSell)*K980, M980+K981*Rate))</f>
        <v>66366.844911138745</v>
      </c>
    </row>
    <row r="982" spans="2:13" s="11" customFormat="1" x14ac:dyDescent="0.2">
      <c r="B982" s="24">
        <v>1951.09</v>
      </c>
      <c r="C982" s="25">
        <v>23.48</v>
      </c>
      <c r="D982" s="40">
        <f t="shared" si="15"/>
        <v>21.974999999999994</v>
      </c>
      <c r="E982" s="40">
        <f t="shared" si="16"/>
        <v>21.8825</v>
      </c>
      <c r="F982" s="12"/>
      <c r="G982" s="18" t="str">
        <f t="shared" si="17"/>
        <v>Yes</v>
      </c>
      <c r="H982" s="12"/>
      <c r="I982" s="39" t="str">
        <f>IF(BuyAllowed="Yes",IF(AND(G982 = "No", C982&gt;D982), "Yes", "No"),"No")</f>
        <v>No</v>
      </c>
      <c r="J982" s="39" t="str">
        <f>IF(SellAllowed="Yes",IF(AND(G982 = "Yes", C982&lt;E982), "Yes", "No"),"No")</f>
        <v>No</v>
      </c>
      <c r="K982" s="39">
        <f>IF(I982 = "Yes", M981/(C982+CostBuy), IF(J982 = "Yes", 0, K981))</f>
        <v>110611.40818523121</v>
      </c>
      <c r="M982" s="19">
        <f>IF(I982 = "Yes", M981-(C982+CostBuy)*K982, IF(J982="Yes", M981+(C982-CostSell)*K981, M981+K982*Rate))</f>
        <v>71897.415320400309</v>
      </c>
    </row>
    <row r="983" spans="2:13" s="11" customFormat="1" x14ac:dyDescent="0.2">
      <c r="B983" s="24">
        <v>1951.1</v>
      </c>
      <c r="C983" s="25">
        <v>23.36</v>
      </c>
      <c r="D983" s="40">
        <f t="shared" si="15"/>
        <v>22.283333333333335</v>
      </c>
      <c r="E983" s="40">
        <f t="shared" si="16"/>
        <v>22.166249999999994</v>
      </c>
      <c r="F983" s="12"/>
      <c r="G983" s="18" t="str">
        <f t="shared" si="17"/>
        <v>Yes</v>
      </c>
      <c r="H983" s="12"/>
      <c r="I983" s="39" t="str">
        <f>IF(BuyAllowed="Yes",IF(AND(G983 = "No", C983&gt;D983), "Yes", "No"),"No")</f>
        <v>No</v>
      </c>
      <c r="J983" s="39" t="str">
        <f>IF(SellAllowed="Yes",IF(AND(G983 = "Yes", C983&lt;E983), "Yes", "No"),"No")</f>
        <v>No</v>
      </c>
      <c r="K983" s="39">
        <f>IF(I983 = "Yes", M982/(C983+CostBuy), IF(J983 = "Yes", 0, K982))</f>
        <v>110611.40818523121</v>
      </c>
      <c r="M983" s="19">
        <f>IF(I983 = "Yes", M982-(C983+CostBuy)*K983, IF(J983="Yes", M982+(C983-CostSell)*K982, M982+K983*Rate))</f>
        <v>77427.985729661872</v>
      </c>
    </row>
    <row r="984" spans="2:13" s="11" customFormat="1" x14ac:dyDescent="0.2">
      <c r="B984" s="24">
        <v>1951.11</v>
      </c>
      <c r="C984" s="25">
        <v>22.71</v>
      </c>
      <c r="D984" s="40">
        <f t="shared" si="15"/>
        <v>22.52333333333333</v>
      </c>
      <c r="E984" s="40">
        <f t="shared" si="16"/>
        <v>22.336249999999993</v>
      </c>
      <c r="F984" s="12"/>
      <c r="G984" s="18" t="str">
        <f t="shared" si="17"/>
        <v>Yes</v>
      </c>
      <c r="H984" s="12"/>
      <c r="I984" s="39" t="str">
        <f>IF(BuyAllowed="Yes",IF(AND(G984 = "No", C984&gt;D984), "Yes", "No"),"No")</f>
        <v>No</v>
      </c>
      <c r="J984" s="39" t="str">
        <f>IF(SellAllowed="Yes",IF(AND(G984 = "Yes", C984&lt;E984), "Yes", "No"),"No")</f>
        <v>No</v>
      </c>
      <c r="K984" s="39">
        <f>IF(I984 = "Yes", M983/(C984+CostBuy), IF(J984 = "Yes", 0, K983))</f>
        <v>110611.40818523121</v>
      </c>
      <c r="M984" s="19">
        <f>IF(I984 = "Yes", M983-(C984+CostBuy)*K984, IF(J984="Yes", M983+(C984-CostSell)*K983, M983+K984*Rate))</f>
        <v>82958.556138923435</v>
      </c>
    </row>
    <row r="985" spans="2:13" s="11" customFormat="1" x14ac:dyDescent="0.2">
      <c r="B985" s="24">
        <v>1951.12</v>
      </c>
      <c r="C985" s="25">
        <v>23.41</v>
      </c>
      <c r="D985" s="40">
        <f t="shared" si="15"/>
        <v>22.653333333333336</v>
      </c>
      <c r="E985" s="40">
        <f t="shared" si="16"/>
        <v>22.471250000000001</v>
      </c>
      <c r="F985" s="12"/>
      <c r="G985" s="18" t="str">
        <f t="shared" si="17"/>
        <v>Yes</v>
      </c>
      <c r="H985" s="12"/>
      <c r="I985" s="39" t="str">
        <f>IF(BuyAllowed="Yes",IF(AND(G985 = "No", C985&gt;D985), "Yes", "No"),"No")</f>
        <v>No</v>
      </c>
      <c r="J985" s="39" t="str">
        <f>IF(SellAllowed="Yes",IF(AND(G985 = "Yes", C985&lt;E985), "Yes", "No"),"No")</f>
        <v>No</v>
      </c>
      <c r="K985" s="39">
        <f>IF(I985 = "Yes", M984/(C985+CostBuy), IF(J985 = "Yes", 0, K984))</f>
        <v>110611.40818523121</v>
      </c>
      <c r="M985" s="19">
        <f>IF(I985 = "Yes", M984-(C985+CostBuy)*K985, IF(J985="Yes", M984+(C985-CostSell)*K984, M984+K985*Rate))</f>
        <v>88489.126548184999</v>
      </c>
    </row>
    <row r="986" spans="2:13" s="11" customFormat="1" x14ac:dyDescent="0.2">
      <c r="B986" s="24">
        <v>1952.01</v>
      </c>
      <c r="C986" s="25">
        <v>24.19</v>
      </c>
      <c r="D986" s="40">
        <f t="shared" si="15"/>
        <v>22.963333333333335</v>
      </c>
      <c r="E986" s="40">
        <f t="shared" si="16"/>
        <v>22.657499999999999</v>
      </c>
      <c r="F986" s="12"/>
      <c r="G986" s="18" t="str">
        <f t="shared" si="17"/>
        <v>Yes</v>
      </c>
      <c r="H986" s="12"/>
      <c r="I986" s="39" t="str">
        <f>IF(BuyAllowed="Yes",IF(AND(G986 = "No", C986&gt;D986), "Yes", "No"),"No")</f>
        <v>No</v>
      </c>
      <c r="J986" s="39" t="str">
        <f>IF(SellAllowed="Yes",IF(AND(G986 = "Yes", C986&lt;E986), "Yes", "No"),"No")</f>
        <v>No</v>
      </c>
      <c r="K986" s="39">
        <f>IF(I986 = "Yes", M985/(C986+CostBuy), IF(J986 = "Yes", 0, K985))</f>
        <v>110611.40818523121</v>
      </c>
      <c r="M986" s="19">
        <f>IF(I986 = "Yes", M985-(C986+CostBuy)*K986, IF(J986="Yes", M985+(C986-CostSell)*K985, M985+K986*Rate))</f>
        <v>94019.696957446562</v>
      </c>
    </row>
    <row r="987" spans="2:13" s="11" customFormat="1" x14ac:dyDescent="0.2">
      <c r="B987" s="24">
        <v>1952.02</v>
      </c>
      <c r="C987" s="25">
        <v>23.75</v>
      </c>
      <c r="D987" s="40">
        <f t="shared" ref="D987:D1050" si="18">AVERAGE(C981:C986)</f>
        <v>23.34</v>
      </c>
      <c r="E987" s="40">
        <f t="shared" ref="E987:E1050" si="19">AVERAGE(C979:C986)</f>
        <v>22.94</v>
      </c>
      <c r="F987" s="12"/>
      <c r="G987" s="18" t="str">
        <f t="shared" si="17"/>
        <v>Yes</v>
      </c>
      <c r="H987" s="12"/>
      <c r="I987" s="39" t="str">
        <f>IF(BuyAllowed="Yes",IF(AND(G987 = "No", C987&gt;D987), "Yes", "No"),"No")</f>
        <v>No</v>
      </c>
      <c r="J987" s="39" t="str">
        <f>IF(SellAllowed="Yes",IF(AND(G987 = "Yes", C987&lt;E987), "Yes", "No"),"No")</f>
        <v>No</v>
      </c>
      <c r="K987" s="39">
        <f>IF(I987 = "Yes", M986/(C987+CostBuy), IF(J987 = "Yes", 0, K986))</f>
        <v>110611.40818523121</v>
      </c>
      <c r="M987" s="19">
        <f>IF(I987 = "Yes", M986-(C987+CostBuy)*K987, IF(J987="Yes", M986+(C987-CostSell)*K986, M986+K987*Rate))</f>
        <v>99550.267366708125</v>
      </c>
    </row>
    <row r="988" spans="2:13" s="11" customFormat="1" x14ac:dyDescent="0.2">
      <c r="B988" s="24">
        <v>1952.03</v>
      </c>
      <c r="C988" s="25">
        <v>23.81</v>
      </c>
      <c r="D988" s="40">
        <f t="shared" si="18"/>
        <v>23.483333333333334</v>
      </c>
      <c r="E988" s="40">
        <f t="shared" si="19"/>
        <v>23.215</v>
      </c>
      <c r="F988" s="12"/>
      <c r="G988" s="18" t="str">
        <f t="shared" ref="G988:G1051" si="20">IF(I987 = "Yes", "Yes", IF(J987="Yes", "No", G987))</f>
        <v>Yes</v>
      </c>
      <c r="H988" s="12"/>
      <c r="I988" s="39" t="str">
        <f>IF(BuyAllowed="Yes",IF(AND(G988 = "No", C988&gt;D988), "Yes", "No"),"No")</f>
        <v>No</v>
      </c>
      <c r="J988" s="39" t="str">
        <f>IF(SellAllowed="Yes",IF(AND(G988 = "Yes", C988&lt;E988), "Yes", "No"),"No")</f>
        <v>No</v>
      </c>
      <c r="K988" s="39">
        <f>IF(I988 = "Yes", M987/(C988+CostBuy), IF(J988 = "Yes", 0, K987))</f>
        <v>110611.40818523121</v>
      </c>
      <c r="M988" s="19">
        <f>IF(I988 = "Yes", M987-(C988+CostBuy)*K988, IF(J988="Yes", M987+(C988-CostSell)*K987, M987+K988*Rate))</f>
        <v>105080.83777596969</v>
      </c>
    </row>
    <row r="989" spans="2:13" s="11" customFormat="1" x14ac:dyDescent="0.2">
      <c r="B989" s="24">
        <v>1952.04</v>
      </c>
      <c r="C989" s="25">
        <v>23.74</v>
      </c>
      <c r="D989" s="40">
        <f t="shared" si="18"/>
        <v>23.53833333333333</v>
      </c>
      <c r="E989" s="40">
        <f t="shared" si="19"/>
        <v>23.45</v>
      </c>
      <c r="F989" s="12"/>
      <c r="G989" s="18" t="str">
        <f t="shared" si="20"/>
        <v>Yes</v>
      </c>
      <c r="H989" s="12"/>
      <c r="I989" s="39" t="str">
        <f>IF(BuyAllowed="Yes",IF(AND(G989 = "No", C989&gt;D989), "Yes", "No"),"No")</f>
        <v>No</v>
      </c>
      <c r="J989" s="39" t="str">
        <f>IF(SellAllowed="Yes",IF(AND(G989 = "Yes", C989&lt;E989), "Yes", "No"),"No")</f>
        <v>No</v>
      </c>
      <c r="K989" s="39">
        <f>IF(I989 = "Yes", M988/(C989+CostBuy), IF(J989 = "Yes", 0, K988))</f>
        <v>110611.40818523121</v>
      </c>
      <c r="M989" s="19">
        <f>IF(I989 = "Yes", M988-(C989+CostBuy)*K989, IF(J989="Yes", M988+(C989-CostSell)*K988, M988+K989*Rate))</f>
        <v>110611.40818523125</v>
      </c>
    </row>
    <row r="990" spans="2:13" s="11" customFormat="1" x14ac:dyDescent="0.2">
      <c r="B990" s="24">
        <v>1952.05</v>
      </c>
      <c r="C990" s="25">
        <v>23.73</v>
      </c>
      <c r="D990" s="40">
        <f t="shared" si="18"/>
        <v>23.60166666666667</v>
      </c>
      <c r="E990" s="40">
        <f t="shared" si="19"/>
        <v>23.556250000000002</v>
      </c>
      <c r="F990" s="12"/>
      <c r="G990" s="18" t="str">
        <f t="shared" si="20"/>
        <v>Yes</v>
      </c>
      <c r="H990" s="12"/>
      <c r="I990" s="39" t="str">
        <f>IF(BuyAllowed="Yes",IF(AND(G990 = "No", C990&gt;D990), "Yes", "No"),"No")</f>
        <v>No</v>
      </c>
      <c r="J990" s="39" t="str">
        <f>IF(SellAllowed="Yes",IF(AND(G990 = "Yes", C990&lt;E990), "Yes", "No"),"No")</f>
        <v>No</v>
      </c>
      <c r="K990" s="39">
        <f>IF(I990 = "Yes", M989/(C990+CostBuy), IF(J990 = "Yes", 0, K989))</f>
        <v>110611.40818523121</v>
      </c>
      <c r="M990" s="19">
        <f>IF(I990 = "Yes", M989-(C990+CostBuy)*K990, IF(J990="Yes", M989+(C990-CostSell)*K989, M989+K990*Rate))</f>
        <v>116141.97859449282</v>
      </c>
    </row>
    <row r="991" spans="2:13" s="11" customFormat="1" x14ac:dyDescent="0.2">
      <c r="B991" s="24">
        <v>1952.06</v>
      </c>
      <c r="C991" s="25">
        <v>24.38</v>
      </c>
      <c r="D991" s="40">
        <f t="shared" si="18"/>
        <v>23.771666666666665</v>
      </c>
      <c r="E991" s="40">
        <f t="shared" si="19"/>
        <v>23.587499999999999</v>
      </c>
      <c r="F991" s="12"/>
      <c r="G991" s="18" t="str">
        <f t="shared" si="20"/>
        <v>Yes</v>
      </c>
      <c r="H991" s="12"/>
      <c r="I991" s="39" t="str">
        <f>IF(BuyAllowed="Yes",IF(AND(G991 = "No", C991&gt;D991), "Yes", "No"),"No")</f>
        <v>No</v>
      </c>
      <c r="J991" s="39" t="str">
        <f>IF(SellAllowed="Yes",IF(AND(G991 = "Yes", C991&lt;E991), "Yes", "No"),"No")</f>
        <v>No</v>
      </c>
      <c r="K991" s="39">
        <f>IF(I991 = "Yes", M990/(C991+CostBuy), IF(J991 = "Yes", 0, K990))</f>
        <v>110611.40818523121</v>
      </c>
      <c r="M991" s="19">
        <f>IF(I991 = "Yes", M990-(C991+CostBuy)*K991, IF(J991="Yes", M990+(C991-CostSell)*K990, M990+K991*Rate))</f>
        <v>121672.54900375438</v>
      </c>
    </row>
    <row r="992" spans="2:13" s="11" customFormat="1" x14ac:dyDescent="0.2">
      <c r="B992" s="24">
        <v>1952.07</v>
      </c>
      <c r="C992" s="25">
        <v>25.08</v>
      </c>
      <c r="D992" s="40">
        <f t="shared" si="18"/>
        <v>23.933333333333334</v>
      </c>
      <c r="E992" s="40">
        <f t="shared" si="19"/>
        <v>23.715</v>
      </c>
      <c r="F992" s="12"/>
      <c r="G992" s="18" t="str">
        <f t="shared" si="20"/>
        <v>Yes</v>
      </c>
      <c r="H992" s="12"/>
      <c r="I992" s="39" t="str">
        <f>IF(BuyAllowed="Yes",IF(AND(G992 = "No", C992&gt;D992), "Yes", "No"),"No")</f>
        <v>No</v>
      </c>
      <c r="J992" s="39" t="str">
        <f>IF(SellAllowed="Yes",IF(AND(G992 = "Yes", C992&lt;E992), "Yes", "No"),"No")</f>
        <v>No</v>
      </c>
      <c r="K992" s="39">
        <f>IF(I992 = "Yes", M991/(C992+CostBuy), IF(J992 = "Yes", 0, K991))</f>
        <v>110611.40818523121</v>
      </c>
      <c r="M992" s="19">
        <f>IF(I992 = "Yes", M991-(C992+CostBuy)*K992, IF(J992="Yes", M991+(C992-CostSell)*K991, M991+K992*Rate))</f>
        <v>127203.11941301594</v>
      </c>
    </row>
    <row r="993" spans="2:13" s="11" customFormat="1" x14ac:dyDescent="0.2">
      <c r="B993" s="24">
        <v>1952.08</v>
      </c>
      <c r="C993" s="25">
        <v>25.18</v>
      </c>
      <c r="D993" s="40">
        <f t="shared" si="18"/>
        <v>24.081666666666667</v>
      </c>
      <c r="E993" s="40">
        <f t="shared" si="19"/>
        <v>24.011249999999997</v>
      </c>
      <c r="F993" s="12"/>
      <c r="G993" s="18" t="str">
        <f t="shared" si="20"/>
        <v>Yes</v>
      </c>
      <c r="H993" s="12"/>
      <c r="I993" s="39" t="str">
        <f>IF(BuyAllowed="Yes",IF(AND(G993 = "No", C993&gt;D993), "Yes", "No"),"No")</f>
        <v>No</v>
      </c>
      <c r="J993" s="39" t="str">
        <f>IF(SellAllowed="Yes",IF(AND(G993 = "Yes", C993&lt;E993), "Yes", "No"),"No")</f>
        <v>No</v>
      </c>
      <c r="K993" s="39">
        <f>IF(I993 = "Yes", M992/(C993+CostBuy), IF(J993 = "Yes", 0, K992))</f>
        <v>110611.40818523121</v>
      </c>
      <c r="M993" s="19">
        <f>IF(I993 = "Yes", M992-(C993+CostBuy)*K993, IF(J993="Yes", M992+(C993-CostSell)*K992, M992+K993*Rate))</f>
        <v>132733.68982227749</v>
      </c>
    </row>
    <row r="994" spans="2:13" s="11" customFormat="1" x14ac:dyDescent="0.2">
      <c r="B994" s="24">
        <v>1952.09</v>
      </c>
      <c r="C994" s="25">
        <v>24.78</v>
      </c>
      <c r="D994" s="40">
        <f t="shared" si="18"/>
        <v>24.319999999999997</v>
      </c>
      <c r="E994" s="40">
        <f t="shared" si="19"/>
        <v>24.232500000000002</v>
      </c>
      <c r="F994" s="12"/>
      <c r="G994" s="18" t="str">
        <f t="shared" si="20"/>
        <v>Yes</v>
      </c>
      <c r="H994" s="12"/>
      <c r="I994" s="39" t="str">
        <f>IF(BuyAllowed="Yes",IF(AND(G994 = "No", C994&gt;D994), "Yes", "No"),"No")</f>
        <v>No</v>
      </c>
      <c r="J994" s="39" t="str">
        <f>IF(SellAllowed="Yes",IF(AND(G994 = "Yes", C994&lt;E994), "Yes", "No"),"No")</f>
        <v>No</v>
      </c>
      <c r="K994" s="39">
        <f>IF(I994 = "Yes", M993/(C994+CostBuy), IF(J994 = "Yes", 0, K993))</f>
        <v>110611.40818523121</v>
      </c>
      <c r="M994" s="19">
        <f>IF(I994 = "Yes", M993-(C994+CostBuy)*K994, IF(J994="Yes", M993+(C994-CostSell)*K993, M993+K994*Rate))</f>
        <v>138264.26023153905</v>
      </c>
    </row>
    <row r="995" spans="2:13" s="11" customFormat="1" x14ac:dyDescent="0.2">
      <c r="B995" s="24">
        <v>1952.1</v>
      </c>
      <c r="C995" s="25">
        <v>24.26</v>
      </c>
      <c r="D995" s="40">
        <f t="shared" si="18"/>
        <v>24.481666666666666</v>
      </c>
      <c r="E995" s="40">
        <f t="shared" si="19"/>
        <v>24.306250000000002</v>
      </c>
      <c r="F995" s="12"/>
      <c r="G995" s="18" t="str">
        <f t="shared" si="20"/>
        <v>Yes</v>
      </c>
      <c r="H995" s="12"/>
      <c r="I995" s="39" t="str">
        <f>IF(BuyAllowed="Yes",IF(AND(G995 = "No", C995&gt;D995), "Yes", "No"),"No")</f>
        <v>No</v>
      </c>
      <c r="J995" s="39" t="str">
        <f>IF(SellAllowed="Yes",IF(AND(G995 = "Yes", C995&lt;E995), "Yes", "No"),"No")</f>
        <v>Yes</v>
      </c>
      <c r="K995" s="39">
        <f>IF(I995 = "Yes", M994/(C995+CostBuy), IF(J995 = "Yes", 0, K994))</f>
        <v>0</v>
      </c>
      <c r="M995" s="19">
        <f>IF(I995 = "Yes", M994-(C995+CostBuy)*K995, IF(J995="Yes", M994+(C995-CostSell)*K994, M994+K995*Rate))</f>
        <v>2815060.3383141346</v>
      </c>
    </row>
    <row r="996" spans="2:13" s="11" customFormat="1" x14ac:dyDescent="0.2">
      <c r="B996" s="24">
        <v>1952.11</v>
      </c>
      <c r="C996" s="25">
        <v>25.03</v>
      </c>
      <c r="D996" s="40">
        <f t="shared" si="18"/>
        <v>24.568333333333332</v>
      </c>
      <c r="E996" s="40">
        <f t="shared" si="19"/>
        <v>24.369999999999997</v>
      </c>
      <c r="F996" s="12"/>
      <c r="G996" s="18" t="str">
        <f t="shared" si="20"/>
        <v>No</v>
      </c>
      <c r="H996" s="12"/>
      <c r="I996" s="39" t="str">
        <f>IF(BuyAllowed="Yes",IF(AND(G996 = "No", C996&gt;D996), "Yes", "No"),"No")</f>
        <v>Yes</v>
      </c>
      <c r="J996" s="39" t="str">
        <f>IF(SellAllowed="Yes",IF(AND(G996 = "Yes", C996&lt;E996), "Yes", "No"),"No")</f>
        <v>No</v>
      </c>
      <c r="K996" s="39">
        <f>IF(I996 = "Yes", M995/(C996+CostBuy), IF(J996 = "Yes", 0, K995))</f>
        <v>112332.81477710033</v>
      </c>
      <c r="M996" s="19">
        <f>IF(I996 = "Yes", M995-(C996+CostBuy)*K996, IF(J996="Yes", M995+(C996-CostSell)*K995, M995+K996*Rate))</f>
        <v>0</v>
      </c>
    </row>
    <row r="997" spans="2:13" s="11" customFormat="1" x14ac:dyDescent="0.2">
      <c r="B997" s="24">
        <v>1952.12</v>
      </c>
      <c r="C997" s="25">
        <v>26.04</v>
      </c>
      <c r="D997" s="40">
        <f t="shared" si="18"/>
        <v>24.784999999999997</v>
      </c>
      <c r="E997" s="40">
        <f t="shared" si="19"/>
        <v>24.522499999999997</v>
      </c>
      <c r="F997" s="12"/>
      <c r="G997" s="18" t="str">
        <f t="shared" si="20"/>
        <v>Yes</v>
      </c>
      <c r="H997" s="12"/>
      <c r="I997" s="39" t="str">
        <f>IF(BuyAllowed="Yes",IF(AND(G997 = "No", C997&gt;D997), "Yes", "No"),"No")</f>
        <v>No</v>
      </c>
      <c r="J997" s="39" t="str">
        <f>IF(SellAllowed="Yes",IF(AND(G997 = "Yes", C997&lt;E997), "Yes", "No"),"No")</f>
        <v>No</v>
      </c>
      <c r="K997" s="39">
        <f>IF(I997 = "Yes", M996/(C997+CostBuy), IF(J997 = "Yes", 0, K996))</f>
        <v>112332.81477710033</v>
      </c>
      <c r="M997" s="19">
        <f>IF(I997 = "Yes", M996-(C997+CostBuy)*K997, IF(J997="Yes", M996+(C997-CostSell)*K996, M996+K997*Rate))</f>
        <v>5616.6407388550169</v>
      </c>
    </row>
    <row r="998" spans="2:13" s="11" customFormat="1" x14ac:dyDescent="0.2">
      <c r="B998" s="24">
        <v>1953.01</v>
      </c>
      <c r="C998" s="25">
        <v>26.18</v>
      </c>
      <c r="D998" s="40">
        <f t="shared" si="18"/>
        <v>25.061666666666667</v>
      </c>
      <c r="E998" s="40">
        <f t="shared" si="19"/>
        <v>24.81</v>
      </c>
      <c r="F998" s="12"/>
      <c r="G998" s="18" t="str">
        <f t="shared" si="20"/>
        <v>Yes</v>
      </c>
      <c r="H998" s="12"/>
      <c r="I998" s="39" t="str">
        <f>IF(BuyAllowed="Yes",IF(AND(G998 = "No", C998&gt;D998), "Yes", "No"),"No")</f>
        <v>No</v>
      </c>
      <c r="J998" s="39" t="str">
        <f>IF(SellAllowed="Yes",IF(AND(G998 = "Yes", C998&lt;E998), "Yes", "No"),"No")</f>
        <v>No</v>
      </c>
      <c r="K998" s="39">
        <f>IF(I998 = "Yes", M997/(C998+CostBuy), IF(J998 = "Yes", 0, K997))</f>
        <v>112332.81477710033</v>
      </c>
      <c r="M998" s="19">
        <f>IF(I998 = "Yes", M997-(C998+CostBuy)*K998, IF(J998="Yes", M997+(C998-CostSell)*K997, M997+K998*Rate))</f>
        <v>11233.281477710034</v>
      </c>
    </row>
    <row r="999" spans="2:13" s="11" customFormat="1" x14ac:dyDescent="0.2">
      <c r="B999" s="24">
        <v>1953.02</v>
      </c>
      <c r="C999" s="25">
        <v>25.86</v>
      </c>
      <c r="D999" s="40">
        <f t="shared" si="18"/>
        <v>25.245000000000001</v>
      </c>
      <c r="E999" s="40">
        <f t="shared" si="19"/>
        <v>25.116249999999997</v>
      </c>
      <c r="F999" s="12"/>
      <c r="G999" s="18" t="str">
        <f t="shared" si="20"/>
        <v>Yes</v>
      </c>
      <c r="H999" s="12"/>
      <c r="I999" s="39" t="str">
        <f>IF(BuyAllowed="Yes",IF(AND(G999 = "No", C999&gt;D999), "Yes", "No"),"No")</f>
        <v>No</v>
      </c>
      <c r="J999" s="39" t="str">
        <f>IF(SellAllowed="Yes",IF(AND(G999 = "Yes", C999&lt;E999), "Yes", "No"),"No")</f>
        <v>No</v>
      </c>
      <c r="K999" s="39">
        <f>IF(I999 = "Yes", M998/(C999+CostBuy), IF(J999 = "Yes", 0, K998))</f>
        <v>112332.81477710033</v>
      </c>
      <c r="M999" s="19">
        <f>IF(I999 = "Yes", M998-(C999+CostBuy)*K999, IF(J999="Yes", M998+(C999-CostSell)*K998, M998+K999*Rate))</f>
        <v>16849.92221656505</v>
      </c>
    </row>
    <row r="1000" spans="2:13" s="11" customFormat="1" x14ac:dyDescent="0.2">
      <c r="B1000" s="24">
        <v>1953.03</v>
      </c>
      <c r="C1000" s="25">
        <v>25.99</v>
      </c>
      <c r="D1000" s="40">
        <f t="shared" si="18"/>
        <v>25.358333333333338</v>
      </c>
      <c r="E1000" s="40">
        <f t="shared" si="19"/>
        <v>25.301250000000003</v>
      </c>
      <c r="F1000" s="12"/>
      <c r="G1000" s="18" t="str">
        <f t="shared" si="20"/>
        <v>Yes</v>
      </c>
      <c r="H1000" s="12"/>
      <c r="I1000" s="39" t="str">
        <f>IF(BuyAllowed="Yes",IF(AND(G1000 = "No", C1000&gt;D1000), "Yes", "No"),"No")</f>
        <v>No</v>
      </c>
      <c r="J1000" s="39" t="str">
        <f>IF(SellAllowed="Yes",IF(AND(G1000 = "Yes", C1000&lt;E1000), "Yes", "No"),"No")</f>
        <v>No</v>
      </c>
      <c r="K1000" s="39">
        <f>IF(I1000 = "Yes", M999/(C1000+CostBuy), IF(J1000 = "Yes", 0, K999))</f>
        <v>112332.81477710033</v>
      </c>
      <c r="M1000" s="19">
        <f>IF(I1000 = "Yes", M999-(C1000+CostBuy)*K1000, IF(J1000="Yes", M999+(C1000-CostSell)*K999, M999+K1000*Rate))</f>
        <v>22466.562955420068</v>
      </c>
    </row>
    <row r="1001" spans="2:13" s="11" customFormat="1" x14ac:dyDescent="0.2">
      <c r="B1001" s="24">
        <v>1953.04</v>
      </c>
      <c r="C1001" s="25">
        <v>24.71</v>
      </c>
      <c r="D1001" s="40">
        <f t="shared" si="18"/>
        <v>25.560000000000002</v>
      </c>
      <c r="E1001" s="40">
        <f t="shared" si="19"/>
        <v>25.414999999999999</v>
      </c>
      <c r="F1001" s="12"/>
      <c r="G1001" s="18" t="str">
        <f t="shared" si="20"/>
        <v>Yes</v>
      </c>
      <c r="H1001" s="12"/>
      <c r="I1001" s="39" t="str">
        <f>IF(BuyAllowed="Yes",IF(AND(G1001 = "No", C1001&gt;D1001), "Yes", "No"),"No")</f>
        <v>No</v>
      </c>
      <c r="J1001" s="39" t="str">
        <f>IF(SellAllowed="Yes",IF(AND(G1001 = "Yes", C1001&lt;E1001), "Yes", "No"),"No")</f>
        <v>Yes</v>
      </c>
      <c r="K1001" s="39">
        <f>IF(I1001 = "Yes", M1000/(C1001+CostBuy), IF(J1001 = "Yes", 0, K1000))</f>
        <v>0</v>
      </c>
      <c r="M1001" s="19">
        <f>IF(I1001 = "Yes", M1000-(C1001+CostBuy)*K1001, IF(J1001="Yes", M1000+(C1001-CostSell)*K1000, M1000+K1001*Rate))</f>
        <v>2791470.4472109433</v>
      </c>
    </row>
    <row r="1002" spans="2:13" s="11" customFormat="1" x14ac:dyDescent="0.2">
      <c r="B1002" s="24">
        <v>1953.05</v>
      </c>
      <c r="C1002" s="25">
        <v>24.84</v>
      </c>
      <c r="D1002" s="40">
        <f t="shared" si="18"/>
        <v>25.635000000000002</v>
      </c>
      <c r="E1002" s="40">
        <f t="shared" si="19"/>
        <v>25.356250000000006</v>
      </c>
      <c r="F1002" s="12"/>
      <c r="G1002" s="18" t="str">
        <f t="shared" si="20"/>
        <v>No</v>
      </c>
      <c r="H1002" s="12"/>
      <c r="I1002" s="39" t="str">
        <f>IF(BuyAllowed="Yes",IF(AND(G1002 = "No", C1002&gt;D1002), "Yes", "No"),"No")</f>
        <v>No</v>
      </c>
      <c r="J1002" s="39" t="str">
        <f>IF(SellAllowed="Yes",IF(AND(G1002 = "Yes", C1002&lt;E1002), "Yes", "No"),"No")</f>
        <v>No</v>
      </c>
      <c r="K1002" s="39">
        <f>IF(I1002 = "Yes", M1001/(C1002+CostBuy), IF(J1002 = "Yes", 0, K1001))</f>
        <v>0</v>
      </c>
      <c r="M1002" s="19">
        <f>IF(I1002 = "Yes", M1001-(C1002+CostBuy)*K1002, IF(J1002="Yes", M1001+(C1002-CostSell)*K1001, M1001+K1002*Rate))</f>
        <v>2791470.4472109433</v>
      </c>
    </row>
    <row r="1003" spans="2:13" s="11" customFormat="1" x14ac:dyDescent="0.2">
      <c r="B1003" s="24">
        <v>1953.06</v>
      </c>
      <c r="C1003" s="25">
        <v>23.95</v>
      </c>
      <c r="D1003" s="40">
        <f t="shared" si="18"/>
        <v>25.603333333333335</v>
      </c>
      <c r="E1003" s="40">
        <f t="shared" si="19"/>
        <v>25.363750000000003</v>
      </c>
      <c r="F1003" s="12"/>
      <c r="G1003" s="18" t="str">
        <f t="shared" si="20"/>
        <v>No</v>
      </c>
      <c r="H1003" s="12"/>
      <c r="I1003" s="39" t="str">
        <f>IF(BuyAllowed="Yes",IF(AND(G1003 = "No", C1003&gt;D1003), "Yes", "No"),"No")</f>
        <v>No</v>
      </c>
      <c r="J1003" s="39" t="str">
        <f>IF(SellAllowed="Yes",IF(AND(G1003 = "Yes", C1003&lt;E1003), "Yes", "No"),"No")</f>
        <v>No</v>
      </c>
      <c r="K1003" s="39">
        <f>IF(I1003 = "Yes", M1002/(C1003+CostBuy), IF(J1003 = "Yes", 0, K1002))</f>
        <v>0</v>
      </c>
      <c r="M1003" s="19">
        <f>IF(I1003 = "Yes", M1002-(C1003+CostBuy)*K1003, IF(J1003="Yes", M1002+(C1003-CostSell)*K1002, M1002+K1003*Rate))</f>
        <v>2791470.4472109433</v>
      </c>
    </row>
    <row r="1004" spans="2:13" s="11" customFormat="1" x14ac:dyDescent="0.2">
      <c r="B1004" s="24">
        <v>1953.07</v>
      </c>
      <c r="C1004" s="25">
        <v>24.29</v>
      </c>
      <c r="D1004" s="40">
        <f t="shared" si="18"/>
        <v>25.254999999999999</v>
      </c>
      <c r="E1004" s="40">
        <f t="shared" si="19"/>
        <v>25.324999999999999</v>
      </c>
      <c r="F1004" s="12"/>
      <c r="G1004" s="18" t="str">
        <f t="shared" si="20"/>
        <v>No</v>
      </c>
      <c r="H1004" s="12"/>
      <c r="I1004" s="39" t="str">
        <f>IF(BuyAllowed="Yes",IF(AND(G1004 = "No", C1004&gt;D1004), "Yes", "No"),"No")</f>
        <v>No</v>
      </c>
      <c r="J1004" s="39" t="str">
        <f>IF(SellAllowed="Yes",IF(AND(G1004 = "Yes", C1004&lt;E1004), "Yes", "No"),"No")</f>
        <v>No</v>
      </c>
      <c r="K1004" s="39">
        <f>IF(I1004 = "Yes", M1003/(C1004+CostBuy), IF(J1004 = "Yes", 0, K1003))</f>
        <v>0</v>
      </c>
      <c r="M1004" s="19">
        <f>IF(I1004 = "Yes", M1003-(C1004+CostBuy)*K1004, IF(J1004="Yes", M1003+(C1004-CostSell)*K1003, M1003+K1004*Rate))</f>
        <v>2791470.4472109433</v>
      </c>
    </row>
    <row r="1005" spans="2:13" s="11" customFormat="1" x14ac:dyDescent="0.2">
      <c r="B1005" s="24">
        <v>1953.08</v>
      </c>
      <c r="C1005" s="25">
        <v>24.39</v>
      </c>
      <c r="D1005" s="40">
        <f t="shared" si="18"/>
        <v>24.94</v>
      </c>
      <c r="E1005" s="40">
        <f t="shared" si="19"/>
        <v>25.232499999999998</v>
      </c>
      <c r="F1005" s="12"/>
      <c r="G1005" s="18" t="str">
        <f t="shared" si="20"/>
        <v>No</v>
      </c>
      <c r="H1005" s="12"/>
      <c r="I1005" s="39" t="str">
        <f>IF(BuyAllowed="Yes",IF(AND(G1005 = "No", C1005&gt;D1005), "Yes", "No"),"No")</f>
        <v>No</v>
      </c>
      <c r="J1005" s="39" t="str">
        <f>IF(SellAllowed="Yes",IF(AND(G1005 = "Yes", C1005&lt;E1005), "Yes", "No"),"No")</f>
        <v>No</v>
      </c>
      <c r="K1005" s="39">
        <f>IF(I1005 = "Yes", M1004/(C1005+CostBuy), IF(J1005 = "Yes", 0, K1004))</f>
        <v>0</v>
      </c>
      <c r="M1005" s="19">
        <f>IF(I1005 = "Yes", M1004-(C1005+CostBuy)*K1005, IF(J1005="Yes", M1004+(C1005-CostSell)*K1004, M1004+K1005*Rate))</f>
        <v>2791470.4472109433</v>
      </c>
    </row>
    <row r="1006" spans="2:13" s="11" customFormat="1" x14ac:dyDescent="0.2">
      <c r="B1006" s="24">
        <v>1953.09</v>
      </c>
      <c r="C1006" s="25">
        <v>23.27</v>
      </c>
      <c r="D1006" s="40">
        <f t="shared" si="18"/>
        <v>24.695000000000004</v>
      </c>
      <c r="E1006" s="40">
        <f t="shared" si="19"/>
        <v>25.026249999999997</v>
      </c>
      <c r="F1006" s="12"/>
      <c r="G1006" s="18" t="str">
        <f t="shared" si="20"/>
        <v>No</v>
      </c>
      <c r="H1006" s="12"/>
      <c r="I1006" s="39" t="str">
        <f>IF(BuyAllowed="Yes",IF(AND(G1006 = "No", C1006&gt;D1006), "Yes", "No"),"No")</f>
        <v>No</v>
      </c>
      <c r="J1006" s="39" t="str">
        <f>IF(SellAllowed="Yes",IF(AND(G1006 = "Yes", C1006&lt;E1006), "Yes", "No"),"No")</f>
        <v>No</v>
      </c>
      <c r="K1006" s="39">
        <f>IF(I1006 = "Yes", M1005/(C1006+CostBuy), IF(J1006 = "Yes", 0, K1005))</f>
        <v>0</v>
      </c>
      <c r="M1006" s="19">
        <f>IF(I1006 = "Yes", M1005-(C1006+CostBuy)*K1006, IF(J1006="Yes", M1005+(C1006-CostSell)*K1005, M1005+K1006*Rate))</f>
        <v>2791470.4472109433</v>
      </c>
    </row>
    <row r="1007" spans="2:13" s="11" customFormat="1" x14ac:dyDescent="0.2">
      <c r="B1007" s="24">
        <v>1953.1</v>
      </c>
      <c r="C1007" s="25">
        <v>23.97</v>
      </c>
      <c r="D1007" s="40">
        <f t="shared" si="18"/>
        <v>24.241666666666664</v>
      </c>
      <c r="E1007" s="40">
        <f t="shared" si="19"/>
        <v>24.662500000000005</v>
      </c>
      <c r="F1007" s="12"/>
      <c r="G1007" s="18" t="str">
        <f t="shared" si="20"/>
        <v>No</v>
      </c>
      <c r="H1007" s="12"/>
      <c r="I1007" s="39" t="str">
        <f>IF(BuyAllowed="Yes",IF(AND(G1007 = "No", C1007&gt;D1007), "Yes", "No"),"No")</f>
        <v>No</v>
      </c>
      <c r="J1007" s="39" t="str">
        <f>IF(SellAllowed="Yes",IF(AND(G1007 = "Yes", C1007&lt;E1007), "Yes", "No"),"No")</f>
        <v>No</v>
      </c>
      <c r="K1007" s="39">
        <f>IF(I1007 = "Yes", M1006/(C1007+CostBuy), IF(J1007 = "Yes", 0, K1006))</f>
        <v>0</v>
      </c>
      <c r="M1007" s="19">
        <f>IF(I1007 = "Yes", M1006-(C1007+CostBuy)*K1007, IF(J1007="Yes", M1006+(C1007-CostSell)*K1006, M1006+K1007*Rate))</f>
        <v>2791470.4472109433</v>
      </c>
    </row>
    <row r="1008" spans="2:13" s="11" customFormat="1" x14ac:dyDescent="0.2">
      <c r="B1008" s="24">
        <v>1953.11</v>
      </c>
      <c r="C1008" s="25">
        <v>24.5</v>
      </c>
      <c r="D1008" s="40">
        <f t="shared" si="18"/>
        <v>24.118333333333329</v>
      </c>
      <c r="E1008" s="40">
        <f t="shared" si="19"/>
        <v>24.426250000000003</v>
      </c>
      <c r="F1008" s="12"/>
      <c r="G1008" s="18" t="str">
        <f t="shared" si="20"/>
        <v>No</v>
      </c>
      <c r="H1008" s="12"/>
      <c r="I1008" s="39" t="str">
        <f>IF(BuyAllowed="Yes",IF(AND(G1008 = "No", C1008&gt;D1008), "Yes", "No"),"No")</f>
        <v>Yes</v>
      </c>
      <c r="J1008" s="39" t="str">
        <f>IF(SellAllowed="Yes",IF(AND(G1008 = "Yes", C1008&lt;E1008), "Yes", "No"),"No")</f>
        <v>No</v>
      </c>
      <c r="K1008" s="39">
        <f>IF(I1008 = "Yes", M1007/(C1008+CostBuy), IF(J1008 = "Yes", 0, K1007))</f>
        <v>113798.22450921089</v>
      </c>
      <c r="M1008" s="19">
        <f>IF(I1008 = "Yes", M1007-(C1008+CostBuy)*K1008, IF(J1008="Yes", M1007+(C1008-CostSell)*K1007, M1007+K1008*Rate))</f>
        <v>0</v>
      </c>
    </row>
    <row r="1009" spans="2:13" s="11" customFormat="1" x14ac:dyDescent="0.2">
      <c r="B1009" s="24">
        <v>1953.12</v>
      </c>
      <c r="C1009" s="25">
        <v>24.83</v>
      </c>
      <c r="D1009" s="40">
        <f t="shared" si="18"/>
        <v>24.061666666666667</v>
      </c>
      <c r="E1009" s="40">
        <f t="shared" si="19"/>
        <v>24.24</v>
      </c>
      <c r="F1009" s="12"/>
      <c r="G1009" s="18" t="str">
        <f t="shared" si="20"/>
        <v>Yes</v>
      </c>
      <c r="H1009" s="12"/>
      <c r="I1009" s="39" t="str">
        <f>IF(BuyAllowed="Yes",IF(AND(G1009 = "No", C1009&gt;D1009), "Yes", "No"),"No")</f>
        <v>No</v>
      </c>
      <c r="J1009" s="39" t="str">
        <f>IF(SellAllowed="Yes",IF(AND(G1009 = "Yes", C1009&lt;E1009), "Yes", "No"),"No")</f>
        <v>No</v>
      </c>
      <c r="K1009" s="39">
        <f>IF(I1009 = "Yes", M1008/(C1009+CostBuy), IF(J1009 = "Yes", 0, K1008))</f>
        <v>113798.22450921089</v>
      </c>
      <c r="M1009" s="19">
        <f>IF(I1009 = "Yes", M1008-(C1009+CostBuy)*K1009, IF(J1009="Yes", M1008+(C1009-CostSell)*K1008, M1008+K1009*Rate))</f>
        <v>5689.9112254605452</v>
      </c>
    </row>
    <row r="1010" spans="2:13" s="11" customFormat="1" x14ac:dyDescent="0.2">
      <c r="B1010" s="24">
        <v>1954.01</v>
      </c>
      <c r="C1010" s="25">
        <v>25.46</v>
      </c>
      <c r="D1010" s="40">
        <f t="shared" si="18"/>
        <v>24.208333333333332</v>
      </c>
      <c r="E1010" s="40">
        <f t="shared" si="19"/>
        <v>24.254999999999995</v>
      </c>
      <c r="F1010" s="12"/>
      <c r="G1010" s="18" t="str">
        <f t="shared" si="20"/>
        <v>Yes</v>
      </c>
      <c r="H1010" s="12"/>
      <c r="I1010" s="39" t="str">
        <f>IF(BuyAllowed="Yes",IF(AND(G1010 = "No", C1010&gt;D1010), "Yes", "No"),"No")</f>
        <v>No</v>
      </c>
      <c r="J1010" s="39" t="str">
        <f>IF(SellAllowed="Yes",IF(AND(G1010 = "Yes", C1010&lt;E1010), "Yes", "No"),"No")</f>
        <v>No</v>
      </c>
      <c r="K1010" s="39">
        <f>IF(I1010 = "Yes", M1009/(C1010+CostBuy), IF(J1010 = "Yes", 0, K1009))</f>
        <v>113798.22450921089</v>
      </c>
      <c r="M1010" s="19">
        <f>IF(I1010 = "Yes", M1009-(C1010+CostBuy)*K1010, IF(J1010="Yes", M1009+(C1010-CostSell)*K1009, M1009+K1010*Rate))</f>
        <v>11379.82245092109</v>
      </c>
    </row>
    <row r="1011" spans="2:13" s="11" customFormat="1" x14ac:dyDescent="0.2">
      <c r="B1011" s="24">
        <v>1954.02</v>
      </c>
      <c r="C1011" s="25">
        <v>26.02</v>
      </c>
      <c r="D1011" s="40">
        <f t="shared" si="18"/>
        <v>24.403333333333332</v>
      </c>
      <c r="E1011" s="40">
        <f t="shared" si="19"/>
        <v>24.3325</v>
      </c>
      <c r="F1011" s="12"/>
      <c r="G1011" s="18" t="str">
        <f t="shared" si="20"/>
        <v>Yes</v>
      </c>
      <c r="H1011" s="12"/>
      <c r="I1011" s="39" t="str">
        <f>IF(BuyAllowed="Yes",IF(AND(G1011 = "No", C1011&gt;D1011), "Yes", "No"),"No")</f>
        <v>No</v>
      </c>
      <c r="J1011" s="39" t="str">
        <f>IF(SellAllowed="Yes",IF(AND(G1011 = "Yes", C1011&lt;E1011), "Yes", "No"),"No")</f>
        <v>No</v>
      </c>
      <c r="K1011" s="39">
        <f>IF(I1011 = "Yes", M1010/(C1011+CostBuy), IF(J1011 = "Yes", 0, K1010))</f>
        <v>113798.22450921089</v>
      </c>
      <c r="M1011" s="19">
        <f>IF(I1011 = "Yes", M1010-(C1011+CostBuy)*K1011, IF(J1011="Yes", M1010+(C1011-CostSell)*K1010, M1010+K1011*Rate))</f>
        <v>17069.733676381635</v>
      </c>
    </row>
    <row r="1012" spans="2:13" s="11" customFormat="1" x14ac:dyDescent="0.2">
      <c r="B1012" s="24">
        <v>1954.03</v>
      </c>
      <c r="C1012" s="25">
        <v>26.57</v>
      </c>
      <c r="D1012" s="40">
        <f t="shared" si="18"/>
        <v>24.675000000000001</v>
      </c>
      <c r="E1012" s="40">
        <f t="shared" si="19"/>
        <v>24.591250000000002</v>
      </c>
      <c r="F1012" s="12"/>
      <c r="G1012" s="18" t="str">
        <f t="shared" si="20"/>
        <v>Yes</v>
      </c>
      <c r="H1012" s="12"/>
      <c r="I1012" s="39" t="str">
        <f>IF(BuyAllowed="Yes",IF(AND(G1012 = "No", C1012&gt;D1012), "Yes", "No"),"No")</f>
        <v>No</v>
      </c>
      <c r="J1012" s="39" t="str">
        <f>IF(SellAllowed="Yes",IF(AND(G1012 = "Yes", C1012&lt;E1012), "Yes", "No"),"No")</f>
        <v>No</v>
      </c>
      <c r="K1012" s="39">
        <f>IF(I1012 = "Yes", M1011/(C1012+CostBuy), IF(J1012 = "Yes", 0, K1011))</f>
        <v>113798.22450921089</v>
      </c>
      <c r="M1012" s="19">
        <f>IF(I1012 = "Yes", M1011-(C1012+CostBuy)*K1012, IF(J1012="Yes", M1011+(C1012-CostSell)*K1011, M1011+K1012*Rate))</f>
        <v>22759.644901842181</v>
      </c>
    </row>
    <row r="1013" spans="2:13" s="11" customFormat="1" x14ac:dyDescent="0.2">
      <c r="B1013" s="24">
        <v>1954.04</v>
      </c>
      <c r="C1013" s="25">
        <v>27.63</v>
      </c>
      <c r="D1013" s="40">
        <f t="shared" si="18"/>
        <v>25.224999999999998</v>
      </c>
      <c r="E1013" s="40">
        <f t="shared" si="19"/>
        <v>24.876249999999999</v>
      </c>
      <c r="F1013" s="12"/>
      <c r="G1013" s="18" t="str">
        <f t="shared" si="20"/>
        <v>Yes</v>
      </c>
      <c r="H1013" s="12"/>
      <c r="I1013" s="39" t="str">
        <f>IF(BuyAllowed="Yes",IF(AND(G1013 = "No", C1013&gt;D1013), "Yes", "No"),"No")</f>
        <v>No</v>
      </c>
      <c r="J1013" s="39" t="str">
        <f>IF(SellAllowed="Yes",IF(AND(G1013 = "Yes", C1013&lt;E1013), "Yes", "No"),"No")</f>
        <v>No</v>
      </c>
      <c r="K1013" s="39">
        <f>IF(I1013 = "Yes", M1012/(C1013+CostBuy), IF(J1013 = "Yes", 0, K1012))</f>
        <v>113798.22450921089</v>
      </c>
      <c r="M1013" s="19">
        <f>IF(I1013 = "Yes", M1012-(C1013+CostBuy)*K1013, IF(J1013="Yes", M1012+(C1013-CostSell)*K1012, M1012+K1013*Rate))</f>
        <v>28449.556127302727</v>
      </c>
    </row>
    <row r="1014" spans="2:13" s="11" customFormat="1" x14ac:dyDescent="0.2">
      <c r="B1014" s="24">
        <v>1954.05</v>
      </c>
      <c r="C1014" s="25">
        <v>28.73</v>
      </c>
      <c r="D1014" s="40">
        <f t="shared" si="18"/>
        <v>25.834999999999997</v>
      </c>
      <c r="E1014" s="40">
        <f t="shared" si="19"/>
        <v>25.28125</v>
      </c>
      <c r="F1014" s="12"/>
      <c r="G1014" s="18" t="str">
        <f t="shared" si="20"/>
        <v>Yes</v>
      </c>
      <c r="H1014" s="12"/>
      <c r="I1014" s="39" t="str">
        <f>IF(BuyAllowed="Yes",IF(AND(G1014 = "No", C1014&gt;D1014), "Yes", "No"),"No")</f>
        <v>No</v>
      </c>
      <c r="J1014" s="39" t="str">
        <f>IF(SellAllowed="Yes",IF(AND(G1014 = "Yes", C1014&lt;E1014), "Yes", "No"),"No")</f>
        <v>No</v>
      </c>
      <c r="K1014" s="39">
        <f>IF(I1014 = "Yes", M1013/(C1014+CostBuy), IF(J1014 = "Yes", 0, K1013))</f>
        <v>113798.22450921089</v>
      </c>
      <c r="M1014" s="19">
        <f>IF(I1014 = "Yes", M1013-(C1014+CostBuy)*K1014, IF(J1014="Yes", M1013+(C1014-CostSell)*K1013, M1013+K1014*Rate))</f>
        <v>34139.467352763269</v>
      </c>
    </row>
    <row r="1015" spans="2:13" s="11" customFormat="1" x14ac:dyDescent="0.2">
      <c r="B1015" s="24">
        <v>1954.06</v>
      </c>
      <c r="C1015" s="25">
        <v>28.96</v>
      </c>
      <c r="D1015" s="40">
        <f t="shared" si="18"/>
        <v>26.539999999999996</v>
      </c>
      <c r="E1015" s="40">
        <f t="shared" si="19"/>
        <v>25.963749999999997</v>
      </c>
      <c r="F1015" s="12"/>
      <c r="G1015" s="18" t="str">
        <f t="shared" si="20"/>
        <v>Yes</v>
      </c>
      <c r="H1015" s="12"/>
      <c r="I1015" s="39" t="str">
        <f>IF(BuyAllowed="Yes",IF(AND(G1015 = "No", C1015&gt;D1015), "Yes", "No"),"No")</f>
        <v>No</v>
      </c>
      <c r="J1015" s="39" t="str">
        <f>IF(SellAllowed="Yes",IF(AND(G1015 = "Yes", C1015&lt;E1015), "Yes", "No"),"No")</f>
        <v>No</v>
      </c>
      <c r="K1015" s="39">
        <f>IF(I1015 = "Yes", M1014/(C1015+CostBuy), IF(J1015 = "Yes", 0, K1014))</f>
        <v>113798.22450921089</v>
      </c>
      <c r="M1015" s="19">
        <f>IF(I1015 = "Yes", M1014-(C1015+CostBuy)*K1015, IF(J1015="Yes", M1014+(C1015-CostSell)*K1014, M1014+K1015*Rate))</f>
        <v>39829.378578223812</v>
      </c>
    </row>
    <row r="1016" spans="2:13" s="11" customFormat="1" x14ac:dyDescent="0.2">
      <c r="B1016" s="24">
        <v>1954.07</v>
      </c>
      <c r="C1016" s="25">
        <v>30.13</v>
      </c>
      <c r="D1016" s="40">
        <f t="shared" si="18"/>
        <v>27.228333333333335</v>
      </c>
      <c r="E1016" s="40">
        <f t="shared" si="19"/>
        <v>26.587499999999999</v>
      </c>
      <c r="F1016" s="12"/>
      <c r="G1016" s="18" t="str">
        <f t="shared" si="20"/>
        <v>Yes</v>
      </c>
      <c r="H1016" s="12"/>
      <c r="I1016" s="39" t="str">
        <f>IF(BuyAllowed="Yes",IF(AND(G1016 = "No", C1016&gt;D1016), "Yes", "No"),"No")</f>
        <v>No</v>
      </c>
      <c r="J1016" s="39" t="str">
        <f>IF(SellAllowed="Yes",IF(AND(G1016 = "Yes", C1016&lt;E1016), "Yes", "No"),"No")</f>
        <v>No</v>
      </c>
      <c r="K1016" s="39">
        <f>IF(I1016 = "Yes", M1015/(C1016+CostBuy), IF(J1016 = "Yes", 0, K1015))</f>
        <v>113798.22450921089</v>
      </c>
      <c r="M1016" s="19">
        <f>IF(I1016 = "Yes", M1015-(C1016+CostBuy)*K1016, IF(J1016="Yes", M1015+(C1016-CostSell)*K1015, M1015+K1016*Rate))</f>
        <v>45519.289803684354</v>
      </c>
    </row>
    <row r="1017" spans="2:13" s="11" customFormat="1" x14ac:dyDescent="0.2">
      <c r="B1017" s="24">
        <v>1954.08</v>
      </c>
      <c r="C1017" s="25">
        <v>30.73</v>
      </c>
      <c r="D1017" s="40">
        <f t="shared" si="18"/>
        <v>28.006666666666664</v>
      </c>
      <c r="E1017" s="40">
        <f t="shared" si="19"/>
        <v>27.291249999999998</v>
      </c>
      <c r="F1017" s="12"/>
      <c r="G1017" s="18" t="str">
        <f t="shared" si="20"/>
        <v>Yes</v>
      </c>
      <c r="H1017" s="12"/>
      <c r="I1017" s="39" t="str">
        <f>IF(BuyAllowed="Yes",IF(AND(G1017 = "No", C1017&gt;D1017), "Yes", "No"),"No")</f>
        <v>No</v>
      </c>
      <c r="J1017" s="39" t="str">
        <f>IF(SellAllowed="Yes",IF(AND(G1017 = "Yes", C1017&lt;E1017), "Yes", "No"),"No")</f>
        <v>No</v>
      </c>
      <c r="K1017" s="39">
        <f>IF(I1017 = "Yes", M1016/(C1017+CostBuy), IF(J1017 = "Yes", 0, K1016))</f>
        <v>113798.22450921089</v>
      </c>
      <c r="M1017" s="19">
        <f>IF(I1017 = "Yes", M1016-(C1017+CostBuy)*K1017, IF(J1017="Yes", M1016+(C1017-CostSell)*K1016, M1016+K1017*Rate))</f>
        <v>51209.201029144897</v>
      </c>
    </row>
    <row r="1018" spans="2:13" s="11" customFormat="1" x14ac:dyDescent="0.2">
      <c r="B1018" s="24">
        <v>1954.09</v>
      </c>
      <c r="C1018" s="25">
        <v>31.45</v>
      </c>
      <c r="D1018" s="40">
        <f t="shared" si="18"/>
        <v>28.791666666666668</v>
      </c>
      <c r="E1018" s="40">
        <f t="shared" si="19"/>
        <v>28.028749999999999</v>
      </c>
      <c r="F1018" s="12"/>
      <c r="G1018" s="18" t="str">
        <f t="shared" si="20"/>
        <v>Yes</v>
      </c>
      <c r="H1018" s="12"/>
      <c r="I1018" s="39" t="str">
        <f>IF(BuyAllowed="Yes",IF(AND(G1018 = "No", C1018&gt;D1018), "Yes", "No"),"No")</f>
        <v>No</v>
      </c>
      <c r="J1018" s="39" t="str">
        <f>IF(SellAllowed="Yes",IF(AND(G1018 = "Yes", C1018&lt;E1018), "Yes", "No"),"No")</f>
        <v>No</v>
      </c>
      <c r="K1018" s="39">
        <f>IF(I1018 = "Yes", M1017/(C1018+CostBuy), IF(J1018 = "Yes", 0, K1017))</f>
        <v>113798.22450921089</v>
      </c>
      <c r="M1018" s="19">
        <f>IF(I1018 = "Yes", M1017-(C1018+CostBuy)*K1018, IF(J1018="Yes", M1017+(C1018-CostSell)*K1017, M1017+K1018*Rate))</f>
        <v>56899.112254605439</v>
      </c>
    </row>
    <row r="1019" spans="2:13" s="11" customFormat="1" x14ac:dyDescent="0.2">
      <c r="B1019" s="24">
        <v>1954.1</v>
      </c>
      <c r="C1019" s="25">
        <v>32.18</v>
      </c>
      <c r="D1019" s="40">
        <f t="shared" si="18"/>
        <v>29.604999999999993</v>
      </c>
      <c r="E1019" s="40">
        <f t="shared" si="19"/>
        <v>28.777499999999996</v>
      </c>
      <c r="F1019" s="12"/>
      <c r="G1019" s="18" t="str">
        <f t="shared" si="20"/>
        <v>Yes</v>
      </c>
      <c r="H1019" s="12"/>
      <c r="I1019" s="39" t="str">
        <f>IF(BuyAllowed="Yes",IF(AND(G1019 = "No", C1019&gt;D1019), "Yes", "No"),"No")</f>
        <v>No</v>
      </c>
      <c r="J1019" s="39" t="str">
        <f>IF(SellAllowed="Yes",IF(AND(G1019 = "Yes", C1019&lt;E1019), "Yes", "No"),"No")</f>
        <v>No</v>
      </c>
      <c r="K1019" s="39">
        <f>IF(I1019 = "Yes", M1018/(C1019+CostBuy), IF(J1019 = "Yes", 0, K1018))</f>
        <v>113798.22450921089</v>
      </c>
      <c r="M1019" s="19">
        <f>IF(I1019 = "Yes", M1018-(C1019+CostBuy)*K1019, IF(J1019="Yes", M1018+(C1019-CostSell)*K1018, M1018+K1019*Rate))</f>
        <v>62589.023480065982</v>
      </c>
    </row>
    <row r="1020" spans="2:13" s="11" customFormat="1" x14ac:dyDescent="0.2">
      <c r="B1020" s="24">
        <v>1954.11</v>
      </c>
      <c r="C1020" s="25">
        <v>33.44</v>
      </c>
      <c r="D1020" s="40">
        <f t="shared" si="18"/>
        <v>30.363333333333333</v>
      </c>
      <c r="E1020" s="40">
        <f t="shared" si="19"/>
        <v>29.547499999999999</v>
      </c>
      <c r="F1020" s="12"/>
      <c r="G1020" s="18" t="str">
        <f t="shared" si="20"/>
        <v>Yes</v>
      </c>
      <c r="H1020" s="12"/>
      <c r="I1020" s="39" t="str">
        <f>IF(BuyAllowed="Yes",IF(AND(G1020 = "No", C1020&gt;D1020), "Yes", "No"),"No")</f>
        <v>No</v>
      </c>
      <c r="J1020" s="39" t="str">
        <f>IF(SellAllowed="Yes",IF(AND(G1020 = "Yes", C1020&lt;E1020), "Yes", "No"),"No")</f>
        <v>No</v>
      </c>
      <c r="K1020" s="39">
        <f>IF(I1020 = "Yes", M1019/(C1020+CostBuy), IF(J1020 = "Yes", 0, K1019))</f>
        <v>113798.22450921089</v>
      </c>
      <c r="M1020" s="19">
        <f>IF(I1020 = "Yes", M1019-(C1020+CostBuy)*K1020, IF(J1020="Yes", M1019+(C1020-CostSell)*K1019, M1019+K1020*Rate))</f>
        <v>68278.934705526524</v>
      </c>
    </row>
    <row r="1021" spans="2:13" s="11" customFormat="1" x14ac:dyDescent="0.2">
      <c r="B1021" s="24">
        <v>1954.12</v>
      </c>
      <c r="C1021" s="25">
        <v>34.97</v>
      </c>
      <c r="D1021" s="40">
        <f t="shared" si="18"/>
        <v>31.148333333333337</v>
      </c>
      <c r="E1021" s="40">
        <f t="shared" si="19"/>
        <v>30.406249999999996</v>
      </c>
      <c r="F1021" s="12"/>
      <c r="G1021" s="18" t="str">
        <f t="shared" si="20"/>
        <v>Yes</v>
      </c>
      <c r="H1021" s="12"/>
      <c r="I1021" s="39" t="str">
        <f>IF(BuyAllowed="Yes",IF(AND(G1021 = "No", C1021&gt;D1021), "Yes", "No"),"No")</f>
        <v>No</v>
      </c>
      <c r="J1021" s="39" t="str">
        <f>IF(SellAllowed="Yes",IF(AND(G1021 = "Yes", C1021&lt;E1021), "Yes", "No"),"No")</f>
        <v>No</v>
      </c>
      <c r="K1021" s="39">
        <f>IF(I1021 = "Yes", M1020/(C1021+CostBuy), IF(J1021 = "Yes", 0, K1020))</f>
        <v>113798.22450921089</v>
      </c>
      <c r="M1021" s="19">
        <f>IF(I1021 = "Yes", M1020-(C1021+CostBuy)*K1021, IF(J1021="Yes", M1020+(C1021-CostSell)*K1020, M1020+K1021*Rate))</f>
        <v>73968.845930987067</v>
      </c>
    </row>
    <row r="1022" spans="2:13" s="11" customFormat="1" x14ac:dyDescent="0.2">
      <c r="B1022" s="24">
        <v>1955.01</v>
      </c>
      <c r="C1022" s="25">
        <v>35.6</v>
      </c>
      <c r="D1022" s="40">
        <f t="shared" si="18"/>
        <v>32.15</v>
      </c>
      <c r="E1022" s="40">
        <f t="shared" si="19"/>
        <v>31.32375</v>
      </c>
      <c r="F1022" s="12"/>
      <c r="G1022" s="18" t="str">
        <f t="shared" si="20"/>
        <v>Yes</v>
      </c>
      <c r="H1022" s="12"/>
      <c r="I1022" s="39" t="str">
        <f>IF(BuyAllowed="Yes",IF(AND(G1022 = "No", C1022&gt;D1022), "Yes", "No"),"No")</f>
        <v>No</v>
      </c>
      <c r="J1022" s="39" t="str">
        <f>IF(SellAllowed="Yes",IF(AND(G1022 = "Yes", C1022&lt;E1022), "Yes", "No"),"No")</f>
        <v>No</v>
      </c>
      <c r="K1022" s="39">
        <f>IF(I1022 = "Yes", M1021/(C1022+CostBuy), IF(J1022 = "Yes", 0, K1021))</f>
        <v>113798.22450921089</v>
      </c>
      <c r="M1022" s="19">
        <f>IF(I1022 = "Yes", M1021-(C1022+CostBuy)*K1022, IF(J1022="Yes", M1021+(C1022-CostSell)*K1021, M1021+K1022*Rate))</f>
        <v>79658.757156447609</v>
      </c>
    </row>
    <row r="1023" spans="2:13" s="11" customFormat="1" x14ac:dyDescent="0.2">
      <c r="B1023" s="24">
        <v>1955.02</v>
      </c>
      <c r="C1023" s="25">
        <v>36.79</v>
      </c>
      <c r="D1023" s="40">
        <f t="shared" si="18"/>
        <v>33.06166666666666</v>
      </c>
      <c r="E1023" s="40">
        <f t="shared" si="19"/>
        <v>32.182500000000005</v>
      </c>
      <c r="F1023" s="12"/>
      <c r="G1023" s="18" t="str">
        <f t="shared" si="20"/>
        <v>Yes</v>
      </c>
      <c r="H1023" s="12"/>
      <c r="I1023" s="39" t="str">
        <f>IF(BuyAllowed="Yes",IF(AND(G1023 = "No", C1023&gt;D1023), "Yes", "No"),"No")</f>
        <v>No</v>
      </c>
      <c r="J1023" s="39" t="str">
        <f>IF(SellAllowed="Yes",IF(AND(G1023 = "Yes", C1023&lt;E1023), "Yes", "No"),"No")</f>
        <v>No</v>
      </c>
      <c r="K1023" s="39">
        <f>IF(I1023 = "Yes", M1022/(C1023+CostBuy), IF(J1023 = "Yes", 0, K1022))</f>
        <v>113798.22450921089</v>
      </c>
      <c r="M1023" s="19">
        <f>IF(I1023 = "Yes", M1022-(C1023+CostBuy)*K1023, IF(J1023="Yes", M1022+(C1023-CostSell)*K1022, M1022+K1023*Rate))</f>
        <v>85348.668381908152</v>
      </c>
    </row>
    <row r="1024" spans="2:13" s="11" customFormat="1" x14ac:dyDescent="0.2">
      <c r="B1024" s="24">
        <v>1955.03</v>
      </c>
      <c r="C1024" s="25">
        <v>36.5</v>
      </c>
      <c r="D1024" s="40">
        <f t="shared" si="18"/>
        <v>34.071666666666665</v>
      </c>
      <c r="E1024" s="40">
        <f t="shared" si="19"/>
        <v>33.161250000000003</v>
      </c>
      <c r="F1024" s="12"/>
      <c r="G1024" s="18" t="str">
        <f t="shared" si="20"/>
        <v>Yes</v>
      </c>
      <c r="H1024" s="12"/>
      <c r="I1024" s="39" t="str">
        <f>IF(BuyAllowed="Yes",IF(AND(G1024 = "No", C1024&gt;D1024), "Yes", "No"),"No")</f>
        <v>No</v>
      </c>
      <c r="J1024" s="39" t="str">
        <f>IF(SellAllowed="Yes",IF(AND(G1024 = "Yes", C1024&lt;E1024), "Yes", "No"),"No")</f>
        <v>No</v>
      </c>
      <c r="K1024" s="39">
        <f>IF(I1024 = "Yes", M1023/(C1024+CostBuy), IF(J1024 = "Yes", 0, K1023))</f>
        <v>113798.22450921089</v>
      </c>
      <c r="M1024" s="19">
        <f>IF(I1024 = "Yes", M1023-(C1024+CostBuy)*K1024, IF(J1024="Yes", M1023+(C1024-CostSell)*K1023, M1023+K1024*Rate))</f>
        <v>91038.579607368694</v>
      </c>
    </row>
    <row r="1025" spans="2:13" s="11" customFormat="1" x14ac:dyDescent="0.2">
      <c r="B1025" s="24">
        <v>1955.04</v>
      </c>
      <c r="C1025" s="25">
        <v>37.76</v>
      </c>
      <c r="D1025" s="40">
        <f t="shared" si="18"/>
        <v>34.913333333333334</v>
      </c>
      <c r="E1025" s="40">
        <f t="shared" si="19"/>
        <v>33.957499999999996</v>
      </c>
      <c r="F1025" s="12"/>
      <c r="G1025" s="18" t="str">
        <f t="shared" si="20"/>
        <v>Yes</v>
      </c>
      <c r="H1025" s="12"/>
      <c r="I1025" s="39" t="str">
        <f>IF(BuyAllowed="Yes",IF(AND(G1025 = "No", C1025&gt;D1025), "Yes", "No"),"No")</f>
        <v>No</v>
      </c>
      <c r="J1025" s="39" t="str">
        <f>IF(SellAllowed="Yes",IF(AND(G1025 = "Yes", C1025&lt;E1025), "Yes", "No"),"No")</f>
        <v>No</v>
      </c>
      <c r="K1025" s="39">
        <f>IF(I1025 = "Yes", M1024/(C1025+CostBuy), IF(J1025 = "Yes", 0, K1024))</f>
        <v>113798.22450921089</v>
      </c>
      <c r="M1025" s="19">
        <f>IF(I1025 = "Yes", M1024-(C1025+CostBuy)*K1025, IF(J1025="Yes", M1024+(C1025-CostSell)*K1024, M1024+K1025*Rate))</f>
        <v>96728.490832829237</v>
      </c>
    </row>
    <row r="1026" spans="2:13" s="11" customFormat="1" x14ac:dyDescent="0.2">
      <c r="B1026" s="24">
        <v>1955.05</v>
      </c>
      <c r="C1026" s="25">
        <v>37.6</v>
      </c>
      <c r="D1026" s="40">
        <f t="shared" si="18"/>
        <v>35.843333333333327</v>
      </c>
      <c r="E1026" s="40">
        <f t="shared" si="19"/>
        <v>34.83625</v>
      </c>
      <c r="F1026" s="12"/>
      <c r="G1026" s="18" t="str">
        <f t="shared" si="20"/>
        <v>Yes</v>
      </c>
      <c r="H1026" s="12"/>
      <c r="I1026" s="39" t="str">
        <f>IF(BuyAllowed="Yes",IF(AND(G1026 = "No", C1026&gt;D1026), "Yes", "No"),"No")</f>
        <v>No</v>
      </c>
      <c r="J1026" s="39" t="str">
        <f>IF(SellAllowed="Yes",IF(AND(G1026 = "Yes", C1026&lt;E1026), "Yes", "No"),"No")</f>
        <v>No</v>
      </c>
      <c r="K1026" s="39">
        <f>IF(I1026 = "Yes", M1025/(C1026+CostBuy), IF(J1026 = "Yes", 0, K1025))</f>
        <v>113798.22450921089</v>
      </c>
      <c r="M1026" s="19">
        <f>IF(I1026 = "Yes", M1025-(C1026+CostBuy)*K1026, IF(J1026="Yes", M1025+(C1026-CostSell)*K1025, M1025+K1026*Rate))</f>
        <v>102418.40205828978</v>
      </c>
    </row>
    <row r="1027" spans="2:13" s="11" customFormat="1" x14ac:dyDescent="0.2">
      <c r="B1027" s="24">
        <v>1955.06</v>
      </c>
      <c r="C1027" s="25">
        <v>39.78</v>
      </c>
      <c r="D1027" s="40">
        <f t="shared" si="18"/>
        <v>36.536666666666662</v>
      </c>
      <c r="E1027" s="40">
        <f t="shared" si="19"/>
        <v>35.604999999999997</v>
      </c>
      <c r="F1027" s="12"/>
      <c r="G1027" s="18" t="str">
        <f t="shared" si="20"/>
        <v>Yes</v>
      </c>
      <c r="H1027" s="12"/>
      <c r="I1027" s="39" t="str">
        <f>IF(BuyAllowed="Yes",IF(AND(G1027 = "No", C1027&gt;D1027), "Yes", "No"),"No")</f>
        <v>No</v>
      </c>
      <c r="J1027" s="39" t="str">
        <f>IF(SellAllowed="Yes",IF(AND(G1027 = "Yes", C1027&lt;E1027), "Yes", "No"),"No")</f>
        <v>No</v>
      </c>
      <c r="K1027" s="39">
        <f>IF(I1027 = "Yes", M1026/(C1027+CostBuy), IF(J1027 = "Yes", 0, K1026))</f>
        <v>113798.22450921089</v>
      </c>
      <c r="M1027" s="19">
        <f>IF(I1027 = "Yes", M1026-(C1027+CostBuy)*K1027, IF(J1027="Yes", M1026+(C1027-CostSell)*K1026, M1026+K1027*Rate))</f>
        <v>108108.31328375032</v>
      </c>
    </row>
    <row r="1028" spans="2:13" s="11" customFormat="1" x14ac:dyDescent="0.2">
      <c r="B1028" s="24">
        <v>1955.07</v>
      </c>
      <c r="C1028" s="25">
        <v>42.69</v>
      </c>
      <c r="D1028" s="40">
        <f t="shared" si="18"/>
        <v>37.338333333333331</v>
      </c>
      <c r="E1028" s="40">
        <f t="shared" si="19"/>
        <v>36.554999999999993</v>
      </c>
      <c r="F1028" s="12"/>
      <c r="G1028" s="18" t="str">
        <f t="shared" si="20"/>
        <v>Yes</v>
      </c>
      <c r="H1028" s="12"/>
      <c r="I1028" s="39" t="str">
        <f>IF(BuyAllowed="Yes",IF(AND(G1028 = "No", C1028&gt;D1028), "Yes", "No"),"No")</f>
        <v>No</v>
      </c>
      <c r="J1028" s="39" t="str">
        <f>IF(SellAllowed="Yes",IF(AND(G1028 = "Yes", C1028&lt;E1028), "Yes", "No"),"No")</f>
        <v>No</v>
      </c>
      <c r="K1028" s="39">
        <f>IF(I1028 = "Yes", M1027/(C1028+CostBuy), IF(J1028 = "Yes", 0, K1027))</f>
        <v>113798.22450921089</v>
      </c>
      <c r="M1028" s="19">
        <f>IF(I1028 = "Yes", M1027-(C1028+CostBuy)*K1028, IF(J1028="Yes", M1027+(C1028-CostSell)*K1027, M1027+K1028*Rate))</f>
        <v>113798.22450921086</v>
      </c>
    </row>
    <row r="1029" spans="2:13" s="11" customFormat="1" x14ac:dyDescent="0.2">
      <c r="B1029" s="24">
        <v>1955.08</v>
      </c>
      <c r="C1029" s="25">
        <v>42.43</v>
      </c>
      <c r="D1029" s="40">
        <f t="shared" si="18"/>
        <v>38.519999999999996</v>
      </c>
      <c r="E1029" s="40">
        <f t="shared" si="19"/>
        <v>37.71125</v>
      </c>
      <c r="F1029" s="12"/>
      <c r="G1029" s="18" t="str">
        <f t="shared" si="20"/>
        <v>Yes</v>
      </c>
      <c r="H1029" s="12"/>
      <c r="I1029" s="39" t="str">
        <f>IF(BuyAllowed="Yes",IF(AND(G1029 = "No", C1029&gt;D1029), "Yes", "No"),"No")</f>
        <v>No</v>
      </c>
      <c r="J1029" s="39" t="str">
        <f>IF(SellAllowed="Yes",IF(AND(G1029 = "Yes", C1029&lt;E1029), "Yes", "No"),"No")</f>
        <v>No</v>
      </c>
      <c r="K1029" s="39">
        <f>IF(I1029 = "Yes", M1028/(C1029+CostBuy), IF(J1029 = "Yes", 0, K1028))</f>
        <v>113798.22450921089</v>
      </c>
      <c r="M1029" s="19">
        <f>IF(I1029 = "Yes", M1028-(C1029+CostBuy)*K1029, IF(J1029="Yes", M1028+(C1029-CostSell)*K1028, M1028+K1029*Rate))</f>
        <v>119488.13573467141</v>
      </c>
    </row>
    <row r="1030" spans="2:13" s="11" customFormat="1" x14ac:dyDescent="0.2">
      <c r="B1030" s="24">
        <v>1955.09</v>
      </c>
      <c r="C1030" s="25">
        <v>44.34</v>
      </c>
      <c r="D1030" s="40">
        <f t="shared" si="18"/>
        <v>39.46</v>
      </c>
      <c r="E1030" s="40">
        <f t="shared" si="19"/>
        <v>38.643750000000004</v>
      </c>
      <c r="F1030" s="12"/>
      <c r="G1030" s="18" t="str">
        <f t="shared" si="20"/>
        <v>Yes</v>
      </c>
      <c r="H1030" s="12"/>
      <c r="I1030" s="39" t="str">
        <f>IF(BuyAllowed="Yes",IF(AND(G1030 = "No", C1030&gt;D1030), "Yes", "No"),"No")</f>
        <v>No</v>
      </c>
      <c r="J1030" s="39" t="str">
        <f>IF(SellAllowed="Yes",IF(AND(G1030 = "Yes", C1030&lt;E1030), "Yes", "No"),"No")</f>
        <v>No</v>
      </c>
      <c r="K1030" s="39">
        <f>IF(I1030 = "Yes", M1029/(C1030+CostBuy), IF(J1030 = "Yes", 0, K1029))</f>
        <v>113798.22450921089</v>
      </c>
      <c r="M1030" s="19">
        <f>IF(I1030 = "Yes", M1029-(C1030+CostBuy)*K1030, IF(J1030="Yes", M1029+(C1030-CostSell)*K1029, M1029+K1030*Rate))</f>
        <v>125178.04696013195</v>
      </c>
    </row>
    <row r="1031" spans="2:13" s="11" customFormat="1" x14ac:dyDescent="0.2">
      <c r="B1031" s="24">
        <v>1955.1</v>
      </c>
      <c r="C1031" s="25">
        <v>42.11</v>
      </c>
      <c r="D1031" s="40">
        <f t="shared" si="18"/>
        <v>40.766666666666666</v>
      </c>
      <c r="E1031" s="40">
        <f t="shared" si="19"/>
        <v>39.736249999999998</v>
      </c>
      <c r="F1031" s="12"/>
      <c r="G1031" s="18" t="str">
        <f t="shared" si="20"/>
        <v>Yes</v>
      </c>
      <c r="H1031" s="12"/>
      <c r="I1031" s="39" t="str">
        <f>IF(BuyAllowed="Yes",IF(AND(G1031 = "No", C1031&gt;D1031), "Yes", "No"),"No")</f>
        <v>No</v>
      </c>
      <c r="J1031" s="39" t="str">
        <f>IF(SellAllowed="Yes",IF(AND(G1031 = "Yes", C1031&lt;E1031), "Yes", "No"),"No")</f>
        <v>No</v>
      </c>
      <c r="K1031" s="39">
        <f>IF(I1031 = "Yes", M1030/(C1031+CostBuy), IF(J1031 = "Yes", 0, K1030))</f>
        <v>113798.22450921089</v>
      </c>
      <c r="M1031" s="19">
        <f>IF(I1031 = "Yes", M1030-(C1031+CostBuy)*K1031, IF(J1031="Yes", M1030+(C1031-CostSell)*K1030, M1030+K1031*Rate))</f>
        <v>130867.95818559249</v>
      </c>
    </row>
    <row r="1032" spans="2:13" s="11" customFormat="1" x14ac:dyDescent="0.2">
      <c r="B1032" s="24">
        <v>1955.11</v>
      </c>
      <c r="C1032" s="25">
        <v>44.95</v>
      </c>
      <c r="D1032" s="40">
        <f t="shared" si="18"/>
        <v>41.491666666666667</v>
      </c>
      <c r="E1032" s="40">
        <f t="shared" si="19"/>
        <v>40.401250000000005</v>
      </c>
      <c r="F1032" s="12"/>
      <c r="G1032" s="18" t="str">
        <f t="shared" si="20"/>
        <v>Yes</v>
      </c>
      <c r="H1032" s="12"/>
      <c r="I1032" s="39" t="str">
        <f>IF(BuyAllowed="Yes",IF(AND(G1032 = "No", C1032&gt;D1032), "Yes", "No"),"No")</f>
        <v>No</v>
      </c>
      <c r="J1032" s="39" t="str">
        <f>IF(SellAllowed="Yes",IF(AND(G1032 = "Yes", C1032&lt;E1032), "Yes", "No"),"No")</f>
        <v>No</v>
      </c>
      <c r="K1032" s="39">
        <f>IF(I1032 = "Yes", M1031/(C1032+CostBuy), IF(J1032 = "Yes", 0, K1031))</f>
        <v>113798.22450921089</v>
      </c>
      <c r="M1032" s="19">
        <f>IF(I1032 = "Yes", M1031-(C1032+CostBuy)*K1032, IF(J1032="Yes", M1031+(C1032-CostSell)*K1031, M1031+K1032*Rate))</f>
        <v>136557.86941105305</v>
      </c>
    </row>
    <row r="1033" spans="2:13" s="11" customFormat="1" x14ac:dyDescent="0.2">
      <c r="B1033" s="24">
        <v>1955.12</v>
      </c>
      <c r="C1033" s="25">
        <v>45.37</v>
      </c>
      <c r="D1033" s="40">
        <f t="shared" si="18"/>
        <v>42.716666666666669</v>
      </c>
      <c r="E1033" s="40">
        <f t="shared" si="19"/>
        <v>41.457499999999996</v>
      </c>
      <c r="F1033" s="12"/>
      <c r="G1033" s="18" t="str">
        <f t="shared" si="20"/>
        <v>Yes</v>
      </c>
      <c r="H1033" s="12"/>
      <c r="I1033" s="39" t="str">
        <f>IF(BuyAllowed="Yes",IF(AND(G1033 = "No", C1033&gt;D1033), "Yes", "No"),"No")</f>
        <v>No</v>
      </c>
      <c r="J1033" s="39" t="str">
        <f>IF(SellAllowed="Yes",IF(AND(G1033 = "Yes", C1033&lt;E1033), "Yes", "No"),"No")</f>
        <v>No</v>
      </c>
      <c r="K1033" s="39">
        <f>IF(I1033 = "Yes", M1032/(C1033+CostBuy), IF(J1033 = "Yes", 0, K1032))</f>
        <v>113798.22450921089</v>
      </c>
      <c r="M1033" s="19">
        <f>IF(I1033 = "Yes", M1032-(C1033+CostBuy)*K1033, IF(J1033="Yes", M1032+(C1033-CostSell)*K1032, M1032+K1033*Rate))</f>
        <v>142247.78063651361</v>
      </c>
    </row>
    <row r="1034" spans="2:13" s="11" customFormat="1" x14ac:dyDescent="0.2">
      <c r="B1034" s="24">
        <v>1956.01</v>
      </c>
      <c r="C1034" s="25">
        <v>44.15</v>
      </c>
      <c r="D1034" s="40">
        <f t="shared" si="18"/>
        <v>43.648333333333333</v>
      </c>
      <c r="E1034" s="40">
        <f t="shared" si="19"/>
        <v>42.408749999999998</v>
      </c>
      <c r="F1034" s="12"/>
      <c r="G1034" s="18" t="str">
        <f t="shared" si="20"/>
        <v>Yes</v>
      </c>
      <c r="H1034" s="12"/>
      <c r="I1034" s="39" t="str">
        <f>IF(BuyAllowed="Yes",IF(AND(G1034 = "No", C1034&gt;D1034), "Yes", "No"),"No")</f>
        <v>No</v>
      </c>
      <c r="J1034" s="39" t="str">
        <f>IF(SellAllowed="Yes",IF(AND(G1034 = "Yes", C1034&lt;E1034), "Yes", "No"),"No")</f>
        <v>No</v>
      </c>
      <c r="K1034" s="39">
        <f>IF(I1034 = "Yes", M1033/(C1034+CostBuy), IF(J1034 = "Yes", 0, K1033))</f>
        <v>113798.22450921089</v>
      </c>
      <c r="M1034" s="19">
        <f>IF(I1034 = "Yes", M1033-(C1034+CostBuy)*K1034, IF(J1034="Yes", M1033+(C1034-CostSell)*K1033, M1033+K1034*Rate))</f>
        <v>147937.69186197416</v>
      </c>
    </row>
    <row r="1035" spans="2:13" s="11" customFormat="1" x14ac:dyDescent="0.2">
      <c r="B1035" s="24">
        <v>1956.02</v>
      </c>
      <c r="C1035" s="25">
        <v>44.43</v>
      </c>
      <c r="D1035" s="40">
        <f t="shared" si="18"/>
        <v>43.891666666666659</v>
      </c>
      <c r="E1035" s="40">
        <f t="shared" si="19"/>
        <v>43.227499999999999</v>
      </c>
      <c r="F1035" s="12"/>
      <c r="G1035" s="18" t="str">
        <f t="shared" si="20"/>
        <v>Yes</v>
      </c>
      <c r="H1035" s="12"/>
      <c r="I1035" s="39" t="str">
        <f>IF(BuyAllowed="Yes",IF(AND(G1035 = "No", C1035&gt;D1035), "Yes", "No"),"No")</f>
        <v>No</v>
      </c>
      <c r="J1035" s="39" t="str">
        <f>IF(SellAllowed="Yes",IF(AND(G1035 = "Yes", C1035&lt;E1035), "Yes", "No"),"No")</f>
        <v>No</v>
      </c>
      <c r="K1035" s="39">
        <f>IF(I1035 = "Yes", M1034/(C1035+CostBuy), IF(J1035 = "Yes", 0, K1034))</f>
        <v>113798.22450921089</v>
      </c>
      <c r="M1035" s="19">
        <f>IF(I1035 = "Yes", M1034-(C1035+CostBuy)*K1035, IF(J1035="Yes", M1034+(C1035-CostSell)*K1034, M1034+K1035*Rate))</f>
        <v>153627.60308743472</v>
      </c>
    </row>
    <row r="1036" spans="2:13" s="11" customFormat="1" x14ac:dyDescent="0.2">
      <c r="B1036" s="24">
        <v>1956.03</v>
      </c>
      <c r="C1036" s="25">
        <v>47.49</v>
      </c>
      <c r="D1036" s="40">
        <f t="shared" si="18"/>
        <v>44.225000000000001</v>
      </c>
      <c r="E1036" s="40">
        <f t="shared" si="19"/>
        <v>43.808749999999996</v>
      </c>
      <c r="F1036" s="12"/>
      <c r="G1036" s="18" t="str">
        <f t="shared" si="20"/>
        <v>Yes</v>
      </c>
      <c r="H1036" s="12"/>
      <c r="I1036" s="39" t="str">
        <f>IF(BuyAllowed="Yes",IF(AND(G1036 = "No", C1036&gt;D1036), "Yes", "No"),"No")</f>
        <v>No</v>
      </c>
      <c r="J1036" s="39" t="str">
        <f>IF(SellAllowed="Yes",IF(AND(G1036 = "Yes", C1036&lt;E1036), "Yes", "No"),"No")</f>
        <v>No</v>
      </c>
      <c r="K1036" s="39">
        <f>IF(I1036 = "Yes", M1035/(C1036+CostBuy), IF(J1036 = "Yes", 0, K1035))</f>
        <v>113798.22450921089</v>
      </c>
      <c r="M1036" s="19">
        <f>IF(I1036 = "Yes", M1035-(C1036+CostBuy)*K1036, IF(J1036="Yes", M1035+(C1036-CostSell)*K1035, M1035+K1036*Rate))</f>
        <v>159317.51431289528</v>
      </c>
    </row>
    <row r="1037" spans="2:13" s="11" customFormat="1" x14ac:dyDescent="0.2">
      <c r="B1037" s="24">
        <v>1956.04</v>
      </c>
      <c r="C1037" s="25">
        <v>48.05</v>
      </c>
      <c r="D1037" s="40">
        <f t="shared" si="18"/>
        <v>44.75</v>
      </c>
      <c r="E1037" s="40">
        <f t="shared" si="19"/>
        <v>44.408749999999998</v>
      </c>
      <c r="F1037" s="12"/>
      <c r="G1037" s="18" t="str">
        <f t="shared" si="20"/>
        <v>Yes</v>
      </c>
      <c r="H1037" s="12"/>
      <c r="I1037" s="39" t="str">
        <f>IF(BuyAllowed="Yes",IF(AND(G1037 = "No", C1037&gt;D1037), "Yes", "No"),"No")</f>
        <v>No</v>
      </c>
      <c r="J1037" s="39" t="str">
        <f>IF(SellAllowed="Yes",IF(AND(G1037 = "Yes", C1037&lt;E1037), "Yes", "No"),"No")</f>
        <v>No</v>
      </c>
      <c r="K1037" s="39">
        <f>IF(I1037 = "Yes", M1036/(C1037+CostBuy), IF(J1037 = "Yes", 0, K1036))</f>
        <v>113798.22450921089</v>
      </c>
      <c r="M1037" s="19">
        <f>IF(I1037 = "Yes", M1036-(C1037+CostBuy)*K1037, IF(J1037="Yes", M1036+(C1037-CostSell)*K1036, M1036+K1037*Rate))</f>
        <v>165007.42553835583</v>
      </c>
    </row>
    <row r="1038" spans="2:13" s="11" customFormat="1" x14ac:dyDescent="0.2">
      <c r="B1038" s="24">
        <v>1956.05</v>
      </c>
      <c r="C1038" s="25">
        <v>46.54</v>
      </c>
      <c r="D1038" s="40">
        <f t="shared" si="18"/>
        <v>45.74</v>
      </c>
      <c r="E1038" s="40">
        <f t="shared" si="19"/>
        <v>45.111250000000005</v>
      </c>
      <c r="F1038" s="12"/>
      <c r="G1038" s="18" t="str">
        <f t="shared" si="20"/>
        <v>Yes</v>
      </c>
      <c r="H1038" s="12"/>
      <c r="I1038" s="39" t="str">
        <f>IF(BuyAllowed="Yes",IF(AND(G1038 = "No", C1038&gt;D1038), "Yes", "No"),"No")</f>
        <v>No</v>
      </c>
      <c r="J1038" s="39" t="str">
        <f>IF(SellAllowed="Yes",IF(AND(G1038 = "Yes", C1038&lt;E1038), "Yes", "No"),"No")</f>
        <v>No</v>
      </c>
      <c r="K1038" s="39">
        <f>IF(I1038 = "Yes", M1037/(C1038+CostBuy), IF(J1038 = "Yes", 0, K1037))</f>
        <v>113798.22450921089</v>
      </c>
      <c r="M1038" s="19">
        <f>IF(I1038 = "Yes", M1037-(C1038+CostBuy)*K1038, IF(J1038="Yes", M1037+(C1038-CostSell)*K1037, M1037+K1038*Rate))</f>
        <v>170697.33676381639</v>
      </c>
    </row>
    <row r="1039" spans="2:13" s="11" customFormat="1" x14ac:dyDescent="0.2">
      <c r="B1039" s="24">
        <v>1956.06</v>
      </c>
      <c r="C1039" s="25">
        <v>46.27</v>
      </c>
      <c r="D1039" s="40">
        <f t="shared" si="18"/>
        <v>46.005000000000003</v>
      </c>
      <c r="E1039" s="40">
        <f t="shared" si="19"/>
        <v>45.386250000000004</v>
      </c>
      <c r="F1039" s="12"/>
      <c r="G1039" s="18" t="str">
        <f t="shared" si="20"/>
        <v>Yes</v>
      </c>
      <c r="H1039" s="12"/>
      <c r="I1039" s="39" t="str">
        <f>IF(BuyAllowed="Yes",IF(AND(G1039 = "No", C1039&gt;D1039), "Yes", "No"),"No")</f>
        <v>No</v>
      </c>
      <c r="J1039" s="39" t="str">
        <f>IF(SellAllowed="Yes",IF(AND(G1039 = "Yes", C1039&lt;E1039), "Yes", "No"),"No")</f>
        <v>No</v>
      </c>
      <c r="K1039" s="39">
        <f>IF(I1039 = "Yes", M1038/(C1039+CostBuy), IF(J1039 = "Yes", 0, K1038))</f>
        <v>113798.22450921089</v>
      </c>
      <c r="M1039" s="19">
        <f>IF(I1039 = "Yes", M1038-(C1039+CostBuy)*K1039, IF(J1039="Yes", M1038+(C1039-CostSell)*K1038, M1038+K1039*Rate))</f>
        <v>176387.24798927695</v>
      </c>
    </row>
    <row r="1040" spans="2:13" s="11" customFormat="1" x14ac:dyDescent="0.2">
      <c r="B1040" s="24">
        <v>1956.07</v>
      </c>
      <c r="C1040" s="25">
        <v>48.78</v>
      </c>
      <c r="D1040" s="40">
        <f t="shared" si="18"/>
        <v>46.155000000000001</v>
      </c>
      <c r="E1040" s="40">
        <f t="shared" si="19"/>
        <v>45.90625</v>
      </c>
      <c r="F1040" s="12"/>
      <c r="G1040" s="18" t="str">
        <f t="shared" si="20"/>
        <v>Yes</v>
      </c>
      <c r="H1040" s="12"/>
      <c r="I1040" s="39" t="str">
        <f>IF(BuyAllowed="Yes",IF(AND(G1040 = "No", C1040&gt;D1040), "Yes", "No"),"No")</f>
        <v>No</v>
      </c>
      <c r="J1040" s="39" t="str">
        <f>IF(SellAllowed="Yes",IF(AND(G1040 = "Yes", C1040&lt;E1040), "Yes", "No"),"No")</f>
        <v>No</v>
      </c>
      <c r="K1040" s="39">
        <f>IF(I1040 = "Yes", M1039/(C1040+CostBuy), IF(J1040 = "Yes", 0, K1039))</f>
        <v>113798.22450921089</v>
      </c>
      <c r="M1040" s="19">
        <f>IF(I1040 = "Yes", M1039-(C1040+CostBuy)*K1040, IF(J1040="Yes", M1039+(C1040-CostSell)*K1039, M1039+K1040*Rate))</f>
        <v>182077.1592147375</v>
      </c>
    </row>
    <row r="1041" spans="2:13" s="11" customFormat="1" x14ac:dyDescent="0.2">
      <c r="B1041" s="24">
        <v>1956.08</v>
      </c>
      <c r="C1041" s="25">
        <v>48.49</v>
      </c>
      <c r="D1041" s="40">
        <f t="shared" si="18"/>
        <v>46.926666666666669</v>
      </c>
      <c r="E1041" s="40">
        <f t="shared" si="19"/>
        <v>46.385000000000005</v>
      </c>
      <c r="F1041" s="12"/>
      <c r="G1041" s="18" t="str">
        <f t="shared" si="20"/>
        <v>Yes</v>
      </c>
      <c r="H1041" s="12"/>
      <c r="I1041" s="39" t="str">
        <f>IF(BuyAllowed="Yes",IF(AND(G1041 = "No", C1041&gt;D1041), "Yes", "No"),"No")</f>
        <v>No</v>
      </c>
      <c r="J1041" s="39" t="str">
        <f>IF(SellAllowed="Yes",IF(AND(G1041 = "Yes", C1041&lt;E1041), "Yes", "No"),"No")</f>
        <v>No</v>
      </c>
      <c r="K1041" s="39">
        <f>IF(I1041 = "Yes", M1040/(C1041+CostBuy), IF(J1041 = "Yes", 0, K1040))</f>
        <v>113798.22450921089</v>
      </c>
      <c r="M1041" s="19">
        <f>IF(I1041 = "Yes", M1040-(C1041+CostBuy)*K1041, IF(J1041="Yes", M1040+(C1041-CostSell)*K1040, M1040+K1041*Rate))</f>
        <v>187767.07044019806</v>
      </c>
    </row>
    <row r="1042" spans="2:13" s="11" customFormat="1" x14ac:dyDescent="0.2">
      <c r="B1042" s="24">
        <v>1956.09</v>
      </c>
      <c r="C1042" s="25">
        <v>46.84</v>
      </c>
      <c r="D1042" s="40">
        <f t="shared" si="18"/>
        <v>47.603333333333332</v>
      </c>
      <c r="E1042" s="40">
        <f t="shared" si="19"/>
        <v>46.775000000000006</v>
      </c>
      <c r="F1042" s="12"/>
      <c r="G1042" s="18" t="str">
        <f t="shared" si="20"/>
        <v>Yes</v>
      </c>
      <c r="H1042" s="12"/>
      <c r="I1042" s="39" t="str">
        <f>IF(BuyAllowed="Yes",IF(AND(G1042 = "No", C1042&gt;D1042), "Yes", "No"),"No")</f>
        <v>No</v>
      </c>
      <c r="J1042" s="39" t="str">
        <f>IF(SellAllowed="Yes",IF(AND(G1042 = "Yes", C1042&lt;E1042), "Yes", "No"),"No")</f>
        <v>No</v>
      </c>
      <c r="K1042" s="39">
        <f>IF(I1042 = "Yes", M1041/(C1042+CostBuy), IF(J1042 = "Yes", 0, K1041))</f>
        <v>113798.22450921089</v>
      </c>
      <c r="M1042" s="19">
        <f>IF(I1042 = "Yes", M1041-(C1042+CostBuy)*K1042, IF(J1042="Yes", M1041+(C1042-CostSell)*K1041, M1041+K1042*Rate))</f>
        <v>193456.98166565862</v>
      </c>
    </row>
    <row r="1043" spans="2:13" s="11" customFormat="1" x14ac:dyDescent="0.2">
      <c r="B1043" s="24">
        <v>1956.1</v>
      </c>
      <c r="C1043" s="25">
        <v>46.24</v>
      </c>
      <c r="D1043" s="40">
        <f t="shared" si="18"/>
        <v>47.495000000000005</v>
      </c>
      <c r="E1043" s="40">
        <f t="shared" si="19"/>
        <v>47.111249999999998</v>
      </c>
      <c r="F1043" s="12"/>
      <c r="G1043" s="18" t="str">
        <f t="shared" si="20"/>
        <v>Yes</v>
      </c>
      <c r="H1043" s="12"/>
      <c r="I1043" s="39" t="str">
        <f>IF(BuyAllowed="Yes",IF(AND(G1043 = "No", C1043&gt;D1043), "Yes", "No"),"No")</f>
        <v>No</v>
      </c>
      <c r="J1043" s="39" t="str">
        <f>IF(SellAllowed="Yes",IF(AND(G1043 = "Yes", C1043&lt;E1043), "Yes", "No"),"No")</f>
        <v>Yes</v>
      </c>
      <c r="K1043" s="39">
        <f>IF(I1043 = "Yes", M1042/(C1043+CostBuy), IF(J1043 = "Yes", 0, K1042))</f>
        <v>0</v>
      </c>
      <c r="M1043" s="19">
        <f>IF(I1043 = "Yes", M1042-(C1043+CostBuy)*K1043, IF(J1043="Yes", M1042+(C1043-CostSell)*K1042, M1042+K1043*Rate))</f>
        <v>5448658.9895010181</v>
      </c>
    </row>
    <row r="1044" spans="2:13" s="11" customFormat="1" x14ac:dyDescent="0.2">
      <c r="B1044" s="24">
        <v>1956.11</v>
      </c>
      <c r="C1044" s="25">
        <v>45.76</v>
      </c>
      <c r="D1044" s="40">
        <f t="shared" si="18"/>
        <v>47.193333333333335</v>
      </c>
      <c r="E1044" s="40">
        <f t="shared" si="19"/>
        <v>47.337500000000006</v>
      </c>
      <c r="F1044" s="12"/>
      <c r="G1044" s="18" t="str">
        <f t="shared" si="20"/>
        <v>No</v>
      </c>
      <c r="H1044" s="12"/>
      <c r="I1044" s="39" t="str">
        <f>IF(BuyAllowed="Yes",IF(AND(G1044 = "No", C1044&gt;D1044), "Yes", "No"),"No")</f>
        <v>No</v>
      </c>
      <c r="J1044" s="39" t="str">
        <f>IF(SellAllowed="Yes",IF(AND(G1044 = "Yes", C1044&lt;E1044), "Yes", "No"),"No")</f>
        <v>No</v>
      </c>
      <c r="K1044" s="39">
        <f>IF(I1044 = "Yes", M1043/(C1044+CostBuy), IF(J1044 = "Yes", 0, K1043))</f>
        <v>0</v>
      </c>
      <c r="M1044" s="19">
        <f>IF(I1044 = "Yes", M1043-(C1044+CostBuy)*K1044, IF(J1044="Yes", M1043+(C1044-CostSell)*K1043, M1043+K1044*Rate))</f>
        <v>5448658.9895010181</v>
      </c>
    </row>
    <row r="1045" spans="2:13" s="11" customFormat="1" x14ac:dyDescent="0.2">
      <c r="B1045" s="24">
        <v>1956.12</v>
      </c>
      <c r="C1045" s="25">
        <v>46.44</v>
      </c>
      <c r="D1045" s="40">
        <f t="shared" si="18"/>
        <v>47.06333333333334</v>
      </c>
      <c r="E1045" s="40">
        <f t="shared" si="19"/>
        <v>47.121250000000003</v>
      </c>
      <c r="F1045" s="12"/>
      <c r="G1045" s="18" t="str">
        <f t="shared" si="20"/>
        <v>No</v>
      </c>
      <c r="H1045" s="12"/>
      <c r="I1045" s="39" t="str">
        <f>IF(BuyAllowed="Yes",IF(AND(G1045 = "No", C1045&gt;D1045), "Yes", "No"),"No")</f>
        <v>No</v>
      </c>
      <c r="J1045" s="39" t="str">
        <f>IF(SellAllowed="Yes",IF(AND(G1045 = "Yes", C1045&lt;E1045), "Yes", "No"),"No")</f>
        <v>No</v>
      </c>
      <c r="K1045" s="39">
        <f>IF(I1045 = "Yes", M1044/(C1045+CostBuy), IF(J1045 = "Yes", 0, K1044))</f>
        <v>0</v>
      </c>
      <c r="M1045" s="19">
        <f>IF(I1045 = "Yes", M1044-(C1045+CostBuy)*K1045, IF(J1045="Yes", M1044+(C1045-CostSell)*K1044, M1044+K1045*Rate))</f>
        <v>5448658.9895010181</v>
      </c>
    </row>
    <row r="1046" spans="2:13" s="11" customFormat="1" x14ac:dyDescent="0.2">
      <c r="B1046" s="24">
        <v>1957.01</v>
      </c>
      <c r="C1046" s="25">
        <v>45.43</v>
      </c>
      <c r="D1046" s="40">
        <f t="shared" si="18"/>
        <v>47.091666666666669</v>
      </c>
      <c r="E1046" s="40">
        <f t="shared" si="19"/>
        <v>46.92</v>
      </c>
      <c r="F1046" s="12"/>
      <c r="G1046" s="18" t="str">
        <f t="shared" si="20"/>
        <v>No</v>
      </c>
      <c r="H1046" s="12"/>
      <c r="I1046" s="39" t="str">
        <f>IF(BuyAllowed="Yes",IF(AND(G1046 = "No", C1046&gt;D1046), "Yes", "No"),"No")</f>
        <v>No</v>
      </c>
      <c r="J1046" s="39" t="str">
        <f>IF(SellAllowed="Yes",IF(AND(G1046 = "Yes", C1046&lt;E1046), "Yes", "No"),"No")</f>
        <v>No</v>
      </c>
      <c r="K1046" s="39">
        <f>IF(I1046 = "Yes", M1045/(C1046+CostBuy), IF(J1046 = "Yes", 0, K1045))</f>
        <v>0</v>
      </c>
      <c r="M1046" s="19">
        <f>IF(I1046 = "Yes", M1045-(C1046+CostBuy)*K1046, IF(J1046="Yes", M1045+(C1046-CostSell)*K1045, M1045+K1046*Rate))</f>
        <v>5448658.9895010181</v>
      </c>
    </row>
    <row r="1047" spans="2:13" s="11" customFormat="1" x14ac:dyDescent="0.2">
      <c r="B1047" s="24">
        <v>1957.02</v>
      </c>
      <c r="C1047" s="25">
        <v>43.47</v>
      </c>
      <c r="D1047" s="40">
        <f t="shared" si="18"/>
        <v>46.533333333333331</v>
      </c>
      <c r="E1047" s="40">
        <f t="shared" si="19"/>
        <v>46.781250000000007</v>
      </c>
      <c r="F1047" s="12"/>
      <c r="G1047" s="18" t="str">
        <f t="shared" si="20"/>
        <v>No</v>
      </c>
      <c r="H1047" s="12"/>
      <c r="I1047" s="39" t="str">
        <f>IF(BuyAllowed="Yes",IF(AND(G1047 = "No", C1047&gt;D1047), "Yes", "No"),"No")</f>
        <v>No</v>
      </c>
      <c r="J1047" s="39" t="str">
        <f>IF(SellAllowed="Yes",IF(AND(G1047 = "Yes", C1047&lt;E1047), "Yes", "No"),"No")</f>
        <v>No</v>
      </c>
      <c r="K1047" s="39">
        <f>IF(I1047 = "Yes", M1046/(C1047+CostBuy), IF(J1047 = "Yes", 0, K1046))</f>
        <v>0</v>
      </c>
      <c r="M1047" s="19">
        <f>IF(I1047 = "Yes", M1046-(C1047+CostBuy)*K1047, IF(J1047="Yes", M1046+(C1047-CostSell)*K1046, M1046+K1047*Rate))</f>
        <v>5448658.9895010181</v>
      </c>
    </row>
    <row r="1048" spans="2:13" s="11" customFormat="1" x14ac:dyDescent="0.2">
      <c r="B1048" s="24">
        <v>1957.03</v>
      </c>
      <c r="C1048" s="25">
        <v>44.03</v>
      </c>
      <c r="D1048" s="40">
        <f t="shared" si="18"/>
        <v>45.696666666666665</v>
      </c>
      <c r="E1048" s="40">
        <f t="shared" si="19"/>
        <v>46.431250000000006</v>
      </c>
      <c r="F1048" s="12"/>
      <c r="G1048" s="18" t="str">
        <f t="shared" si="20"/>
        <v>No</v>
      </c>
      <c r="H1048" s="12"/>
      <c r="I1048" s="39" t="str">
        <f>IF(BuyAllowed="Yes",IF(AND(G1048 = "No", C1048&gt;D1048), "Yes", "No"),"No")</f>
        <v>No</v>
      </c>
      <c r="J1048" s="39" t="str">
        <f>IF(SellAllowed="Yes",IF(AND(G1048 = "Yes", C1048&lt;E1048), "Yes", "No"),"No")</f>
        <v>No</v>
      </c>
      <c r="K1048" s="39">
        <f>IF(I1048 = "Yes", M1047/(C1048+CostBuy), IF(J1048 = "Yes", 0, K1047))</f>
        <v>0</v>
      </c>
      <c r="M1048" s="19">
        <f>IF(I1048 = "Yes", M1047-(C1048+CostBuy)*K1048, IF(J1048="Yes", M1047+(C1048-CostSell)*K1047, M1047+K1048*Rate))</f>
        <v>5448658.9895010181</v>
      </c>
    </row>
    <row r="1049" spans="2:13" s="11" customFormat="1" x14ac:dyDescent="0.2">
      <c r="B1049" s="24">
        <v>1957.04</v>
      </c>
      <c r="C1049" s="25">
        <v>45.05</v>
      </c>
      <c r="D1049" s="40">
        <f t="shared" si="18"/>
        <v>45.228333333333332</v>
      </c>
      <c r="E1049" s="40">
        <f t="shared" si="19"/>
        <v>45.837499999999991</v>
      </c>
      <c r="F1049" s="12"/>
      <c r="G1049" s="18" t="str">
        <f t="shared" si="20"/>
        <v>No</v>
      </c>
      <c r="H1049" s="12"/>
      <c r="I1049" s="39" t="str">
        <f>IF(BuyAllowed="Yes",IF(AND(G1049 = "No", C1049&gt;D1049), "Yes", "No"),"No")</f>
        <v>No</v>
      </c>
      <c r="J1049" s="39" t="str">
        <f>IF(SellAllowed="Yes",IF(AND(G1049 = "Yes", C1049&lt;E1049), "Yes", "No"),"No")</f>
        <v>No</v>
      </c>
      <c r="K1049" s="39">
        <f>IF(I1049 = "Yes", M1048/(C1049+CostBuy), IF(J1049 = "Yes", 0, K1048))</f>
        <v>0</v>
      </c>
      <c r="M1049" s="19">
        <f>IF(I1049 = "Yes", M1048-(C1049+CostBuy)*K1049, IF(J1049="Yes", M1048+(C1049-CostSell)*K1048, M1048+K1049*Rate))</f>
        <v>5448658.9895010181</v>
      </c>
    </row>
    <row r="1050" spans="2:13" s="11" customFormat="1" x14ac:dyDescent="0.2">
      <c r="B1050" s="24">
        <v>1957.05</v>
      </c>
      <c r="C1050" s="25">
        <v>46.78</v>
      </c>
      <c r="D1050" s="40">
        <f t="shared" si="18"/>
        <v>45.03</v>
      </c>
      <c r="E1050" s="40">
        <f t="shared" si="19"/>
        <v>45.407500000000006</v>
      </c>
      <c r="F1050" s="12"/>
      <c r="G1050" s="18" t="str">
        <f t="shared" si="20"/>
        <v>No</v>
      </c>
      <c r="H1050" s="12"/>
      <c r="I1050" s="39" t="str">
        <f>IF(BuyAllowed="Yes",IF(AND(G1050 = "No", C1050&gt;D1050), "Yes", "No"),"No")</f>
        <v>Yes</v>
      </c>
      <c r="J1050" s="39" t="str">
        <f>IF(SellAllowed="Yes",IF(AND(G1050 = "Yes", C1050&lt;E1050), "Yes", "No"),"No")</f>
        <v>No</v>
      </c>
      <c r="K1050" s="39">
        <f>IF(I1050 = "Yes", M1049/(C1050+CostBuy), IF(J1050 = "Yes", 0, K1049))</f>
        <v>116399.46570179486</v>
      </c>
      <c r="M1050" s="19">
        <f>IF(I1050 = "Yes", M1049-(C1050+CostBuy)*K1050, IF(J1050="Yes", M1049+(C1050-CostSell)*K1049, M1049+K1050*Rate))</f>
        <v>0</v>
      </c>
    </row>
    <row r="1051" spans="2:13" s="11" customFormat="1" x14ac:dyDescent="0.2">
      <c r="B1051" s="24">
        <v>1957.06</v>
      </c>
      <c r="C1051" s="25">
        <v>47.55</v>
      </c>
      <c r="D1051" s="40">
        <f t="shared" ref="D1051:D1114" si="21">AVERAGE(C1045:C1050)</f>
        <v>45.20000000000001</v>
      </c>
      <c r="E1051" s="40">
        <f t="shared" ref="E1051:E1114" si="22">AVERAGE(C1043:C1050)</f>
        <v>45.400000000000006</v>
      </c>
      <c r="F1051" s="12"/>
      <c r="G1051" s="18" t="str">
        <f t="shared" si="20"/>
        <v>Yes</v>
      </c>
      <c r="H1051" s="12"/>
      <c r="I1051" s="39" t="str">
        <f>IF(BuyAllowed="Yes",IF(AND(G1051 = "No", C1051&gt;D1051), "Yes", "No"),"No")</f>
        <v>No</v>
      </c>
      <c r="J1051" s="39" t="str">
        <f>IF(SellAllowed="Yes",IF(AND(G1051 = "Yes", C1051&lt;E1051), "Yes", "No"),"No")</f>
        <v>No</v>
      </c>
      <c r="K1051" s="39">
        <f>IF(I1051 = "Yes", M1050/(C1051+CostBuy), IF(J1051 = "Yes", 0, K1050))</f>
        <v>116399.46570179486</v>
      </c>
      <c r="M1051" s="19">
        <f>IF(I1051 = "Yes", M1050-(C1051+CostBuy)*K1051, IF(J1051="Yes", M1050+(C1051-CostSell)*K1050, M1050+K1051*Rate))</f>
        <v>5819.9732850897435</v>
      </c>
    </row>
    <row r="1052" spans="2:13" s="11" customFormat="1" x14ac:dyDescent="0.2">
      <c r="B1052" s="24">
        <v>1957.07</v>
      </c>
      <c r="C1052" s="25">
        <v>48.51</v>
      </c>
      <c r="D1052" s="40">
        <f t="shared" si="21"/>
        <v>45.384999999999998</v>
      </c>
      <c r="E1052" s="40">
        <f t="shared" si="22"/>
        <v>45.563750000000006</v>
      </c>
      <c r="F1052" s="12"/>
      <c r="G1052" s="18" t="str">
        <f t="shared" ref="G1052:G1115" si="23">IF(I1051 = "Yes", "Yes", IF(J1051="Yes", "No", G1051))</f>
        <v>Yes</v>
      </c>
      <c r="H1052" s="12"/>
      <c r="I1052" s="39" t="str">
        <f>IF(BuyAllowed="Yes",IF(AND(G1052 = "No", C1052&gt;D1052), "Yes", "No"),"No")</f>
        <v>No</v>
      </c>
      <c r="J1052" s="39" t="str">
        <f>IF(SellAllowed="Yes",IF(AND(G1052 = "Yes", C1052&lt;E1052), "Yes", "No"),"No")</f>
        <v>No</v>
      </c>
      <c r="K1052" s="39">
        <f>IF(I1052 = "Yes", M1051/(C1052+CostBuy), IF(J1052 = "Yes", 0, K1051))</f>
        <v>116399.46570179486</v>
      </c>
      <c r="M1052" s="19">
        <f>IF(I1052 = "Yes", M1051-(C1052+CostBuy)*K1052, IF(J1052="Yes", M1051+(C1052-CostSell)*K1051, M1051+K1052*Rate))</f>
        <v>11639.946570179487</v>
      </c>
    </row>
    <row r="1053" spans="2:13" s="11" customFormat="1" x14ac:dyDescent="0.2">
      <c r="B1053" s="24">
        <v>1957.08</v>
      </c>
      <c r="C1053" s="25">
        <v>45.84</v>
      </c>
      <c r="D1053" s="40">
        <f t="shared" si="21"/>
        <v>45.898333333333333</v>
      </c>
      <c r="E1053" s="40">
        <f t="shared" si="22"/>
        <v>45.907500000000006</v>
      </c>
      <c r="F1053" s="12"/>
      <c r="G1053" s="18" t="str">
        <f t="shared" si="23"/>
        <v>Yes</v>
      </c>
      <c r="H1053" s="12"/>
      <c r="I1053" s="39" t="str">
        <f>IF(BuyAllowed="Yes",IF(AND(G1053 = "No", C1053&gt;D1053), "Yes", "No"),"No")</f>
        <v>No</v>
      </c>
      <c r="J1053" s="39" t="str">
        <f>IF(SellAllowed="Yes",IF(AND(G1053 = "Yes", C1053&lt;E1053), "Yes", "No"),"No")</f>
        <v>Yes</v>
      </c>
      <c r="K1053" s="39">
        <f>IF(I1053 = "Yes", M1052/(C1053+CostBuy), IF(J1053 = "Yes", 0, K1052))</f>
        <v>0</v>
      </c>
      <c r="M1053" s="19">
        <f>IF(I1053 = "Yes", M1052-(C1053+CostBuy)*K1053, IF(J1053="Yes", M1052+(C1053-CostSell)*K1052, M1052+K1053*Rate))</f>
        <v>5340407.4863983486</v>
      </c>
    </row>
    <row r="1054" spans="2:13" s="11" customFormat="1" x14ac:dyDescent="0.2">
      <c r="B1054" s="24">
        <v>1957.09</v>
      </c>
      <c r="C1054" s="25">
        <v>43.98</v>
      </c>
      <c r="D1054" s="40">
        <f t="shared" si="21"/>
        <v>46.293333333333329</v>
      </c>
      <c r="E1054" s="40">
        <f t="shared" si="22"/>
        <v>45.832499999999996</v>
      </c>
      <c r="F1054" s="12"/>
      <c r="G1054" s="18" t="str">
        <f t="shared" si="23"/>
        <v>No</v>
      </c>
      <c r="H1054" s="12"/>
      <c r="I1054" s="39" t="str">
        <f>IF(BuyAllowed="Yes",IF(AND(G1054 = "No", C1054&gt;D1054), "Yes", "No"),"No")</f>
        <v>No</v>
      </c>
      <c r="J1054" s="39" t="str">
        <f>IF(SellAllowed="Yes",IF(AND(G1054 = "Yes", C1054&lt;E1054), "Yes", "No"),"No")</f>
        <v>No</v>
      </c>
      <c r="K1054" s="39">
        <f>IF(I1054 = "Yes", M1053/(C1054+CostBuy), IF(J1054 = "Yes", 0, K1053))</f>
        <v>0</v>
      </c>
      <c r="M1054" s="19">
        <f>IF(I1054 = "Yes", M1053-(C1054+CostBuy)*K1054, IF(J1054="Yes", M1053+(C1054-CostSell)*K1053, M1053+K1054*Rate))</f>
        <v>5340407.4863983486</v>
      </c>
    </row>
    <row r="1055" spans="2:13" s="11" customFormat="1" x14ac:dyDescent="0.2">
      <c r="B1055" s="24">
        <v>1957.1</v>
      </c>
      <c r="C1055" s="25">
        <v>41.24</v>
      </c>
      <c r="D1055" s="40">
        <f t="shared" si="21"/>
        <v>46.284999999999997</v>
      </c>
      <c r="E1055" s="40">
        <f t="shared" si="22"/>
        <v>45.651250000000005</v>
      </c>
      <c r="F1055" s="12"/>
      <c r="G1055" s="18" t="str">
        <f t="shared" si="23"/>
        <v>No</v>
      </c>
      <c r="H1055" s="12"/>
      <c r="I1055" s="39" t="str">
        <f>IF(BuyAllowed="Yes",IF(AND(G1055 = "No", C1055&gt;D1055), "Yes", "No"),"No")</f>
        <v>No</v>
      </c>
      <c r="J1055" s="39" t="str">
        <f>IF(SellAllowed="Yes",IF(AND(G1055 = "Yes", C1055&lt;E1055), "Yes", "No"),"No")</f>
        <v>No</v>
      </c>
      <c r="K1055" s="39">
        <f>IF(I1055 = "Yes", M1054/(C1055+CostBuy), IF(J1055 = "Yes", 0, K1054))</f>
        <v>0</v>
      </c>
      <c r="M1055" s="19">
        <f>IF(I1055 = "Yes", M1054-(C1055+CostBuy)*K1055, IF(J1055="Yes", M1054+(C1055-CostSell)*K1054, M1054+K1055*Rate))</f>
        <v>5340407.4863983486</v>
      </c>
    </row>
    <row r="1056" spans="2:13" s="11" customFormat="1" x14ac:dyDescent="0.2">
      <c r="B1056" s="24">
        <v>1957.11</v>
      </c>
      <c r="C1056" s="25">
        <v>40.35</v>
      </c>
      <c r="D1056" s="40">
        <f t="shared" si="21"/>
        <v>45.65</v>
      </c>
      <c r="E1056" s="40">
        <f t="shared" si="22"/>
        <v>45.372500000000002</v>
      </c>
      <c r="F1056" s="12"/>
      <c r="G1056" s="18" t="str">
        <f t="shared" si="23"/>
        <v>No</v>
      </c>
      <c r="H1056" s="12"/>
      <c r="I1056" s="39" t="str">
        <f>IF(BuyAllowed="Yes",IF(AND(G1056 = "No", C1056&gt;D1056), "Yes", "No"),"No")</f>
        <v>No</v>
      </c>
      <c r="J1056" s="39" t="str">
        <f>IF(SellAllowed="Yes",IF(AND(G1056 = "Yes", C1056&lt;E1056), "Yes", "No"),"No")</f>
        <v>No</v>
      </c>
      <c r="K1056" s="39">
        <f>IF(I1056 = "Yes", M1055/(C1056+CostBuy), IF(J1056 = "Yes", 0, K1055))</f>
        <v>0</v>
      </c>
      <c r="M1056" s="19">
        <f>IF(I1056 = "Yes", M1055-(C1056+CostBuy)*K1056, IF(J1056="Yes", M1055+(C1056-CostSell)*K1055, M1055+K1056*Rate))</f>
        <v>5340407.4863983486</v>
      </c>
    </row>
    <row r="1057" spans="2:13" s="11" customFormat="1" x14ac:dyDescent="0.2">
      <c r="B1057" s="24">
        <v>1957.12</v>
      </c>
      <c r="C1057" s="25">
        <v>40.33</v>
      </c>
      <c r="D1057" s="40">
        <f t="shared" si="21"/>
        <v>44.57833333333334</v>
      </c>
      <c r="E1057" s="40">
        <f t="shared" si="22"/>
        <v>44.912500000000001</v>
      </c>
      <c r="F1057" s="12"/>
      <c r="G1057" s="18" t="str">
        <f t="shared" si="23"/>
        <v>No</v>
      </c>
      <c r="H1057" s="12"/>
      <c r="I1057" s="39" t="str">
        <f>IF(BuyAllowed="Yes",IF(AND(G1057 = "No", C1057&gt;D1057), "Yes", "No"),"No")</f>
        <v>No</v>
      </c>
      <c r="J1057" s="39" t="str">
        <f>IF(SellAllowed="Yes",IF(AND(G1057 = "Yes", C1057&lt;E1057), "Yes", "No"),"No")</f>
        <v>No</v>
      </c>
      <c r="K1057" s="39">
        <f>IF(I1057 = "Yes", M1056/(C1057+CostBuy), IF(J1057 = "Yes", 0, K1056))</f>
        <v>0</v>
      </c>
      <c r="M1057" s="19">
        <f>IF(I1057 = "Yes", M1056-(C1057+CostBuy)*K1057, IF(J1057="Yes", M1056+(C1057-CostSell)*K1056, M1056+K1057*Rate))</f>
        <v>5340407.4863983486</v>
      </c>
    </row>
    <row r="1058" spans="2:13" s="11" customFormat="1" x14ac:dyDescent="0.2">
      <c r="B1058" s="24">
        <v>1958.01</v>
      </c>
      <c r="C1058" s="25">
        <v>41.12</v>
      </c>
      <c r="D1058" s="40">
        <f t="shared" si="21"/>
        <v>43.375</v>
      </c>
      <c r="E1058" s="40">
        <f t="shared" si="22"/>
        <v>44.322499999999998</v>
      </c>
      <c r="F1058" s="12"/>
      <c r="G1058" s="18" t="str">
        <f t="shared" si="23"/>
        <v>No</v>
      </c>
      <c r="H1058" s="12"/>
      <c r="I1058" s="39" t="str">
        <f>IF(BuyAllowed="Yes",IF(AND(G1058 = "No", C1058&gt;D1058), "Yes", "No"),"No")</f>
        <v>No</v>
      </c>
      <c r="J1058" s="39" t="str">
        <f>IF(SellAllowed="Yes",IF(AND(G1058 = "Yes", C1058&lt;E1058), "Yes", "No"),"No")</f>
        <v>No</v>
      </c>
      <c r="K1058" s="39">
        <f>IF(I1058 = "Yes", M1057/(C1058+CostBuy), IF(J1058 = "Yes", 0, K1057))</f>
        <v>0</v>
      </c>
      <c r="M1058" s="19">
        <f>IF(I1058 = "Yes", M1057-(C1058+CostBuy)*K1058, IF(J1058="Yes", M1057+(C1058-CostSell)*K1057, M1057+K1058*Rate))</f>
        <v>5340407.4863983486</v>
      </c>
    </row>
    <row r="1059" spans="2:13" s="11" customFormat="1" x14ac:dyDescent="0.2">
      <c r="B1059" s="24">
        <v>1958.02</v>
      </c>
      <c r="C1059" s="25">
        <v>41.26</v>
      </c>
      <c r="D1059" s="40">
        <f t="shared" si="21"/>
        <v>42.143333333333338</v>
      </c>
      <c r="E1059" s="40">
        <f t="shared" si="22"/>
        <v>43.615000000000002</v>
      </c>
      <c r="F1059" s="12"/>
      <c r="G1059" s="18" t="str">
        <f t="shared" si="23"/>
        <v>No</v>
      </c>
      <c r="H1059" s="12"/>
      <c r="I1059" s="39" t="str">
        <f>IF(BuyAllowed="Yes",IF(AND(G1059 = "No", C1059&gt;D1059), "Yes", "No"),"No")</f>
        <v>No</v>
      </c>
      <c r="J1059" s="39" t="str">
        <f>IF(SellAllowed="Yes",IF(AND(G1059 = "Yes", C1059&lt;E1059), "Yes", "No"),"No")</f>
        <v>No</v>
      </c>
      <c r="K1059" s="39">
        <f>IF(I1059 = "Yes", M1058/(C1059+CostBuy), IF(J1059 = "Yes", 0, K1058))</f>
        <v>0</v>
      </c>
      <c r="M1059" s="19">
        <f>IF(I1059 = "Yes", M1058-(C1059+CostBuy)*K1059, IF(J1059="Yes", M1058+(C1059-CostSell)*K1058, M1058+K1059*Rate))</f>
        <v>5340407.4863983486</v>
      </c>
    </row>
    <row r="1060" spans="2:13" s="11" customFormat="1" x14ac:dyDescent="0.2">
      <c r="B1060" s="24">
        <v>1958.03</v>
      </c>
      <c r="C1060" s="25">
        <v>42.11</v>
      </c>
      <c r="D1060" s="40">
        <f t="shared" si="21"/>
        <v>41.379999999999995</v>
      </c>
      <c r="E1060" s="40">
        <f t="shared" si="22"/>
        <v>42.828749999999999</v>
      </c>
      <c r="F1060" s="12"/>
      <c r="G1060" s="18" t="str">
        <f t="shared" si="23"/>
        <v>No</v>
      </c>
      <c r="H1060" s="12"/>
      <c r="I1060" s="39" t="str">
        <f>IF(BuyAllowed="Yes",IF(AND(G1060 = "No", C1060&gt;D1060), "Yes", "No"),"No")</f>
        <v>Yes</v>
      </c>
      <c r="J1060" s="39" t="str">
        <f>IF(SellAllowed="Yes",IF(AND(G1060 = "Yes", C1060&lt;E1060), "Yes", "No"),"No")</f>
        <v>No</v>
      </c>
      <c r="K1060" s="39">
        <f>IF(I1060 = "Yes", M1059/(C1060+CostBuy), IF(J1060 = "Yes", 0, K1059))</f>
        <v>126730.1254484658</v>
      </c>
      <c r="M1060" s="19">
        <f>IF(I1060 = "Yes", M1059-(C1060+CostBuy)*K1060, IF(J1060="Yes", M1059+(C1060-CostSell)*K1059, M1059+K1060*Rate))</f>
        <v>0</v>
      </c>
    </row>
    <row r="1061" spans="2:13" s="11" customFormat="1" x14ac:dyDescent="0.2">
      <c r="B1061" s="24">
        <v>1958.04</v>
      </c>
      <c r="C1061" s="25">
        <v>42.34</v>
      </c>
      <c r="D1061" s="40">
        <f t="shared" si="21"/>
        <v>41.068333333333328</v>
      </c>
      <c r="E1061" s="40">
        <f t="shared" si="22"/>
        <v>42.028750000000002</v>
      </c>
      <c r="F1061" s="12"/>
      <c r="G1061" s="18" t="str">
        <f t="shared" si="23"/>
        <v>Yes</v>
      </c>
      <c r="H1061" s="12"/>
      <c r="I1061" s="39" t="str">
        <f>IF(BuyAllowed="Yes",IF(AND(G1061 = "No", C1061&gt;D1061), "Yes", "No"),"No")</f>
        <v>No</v>
      </c>
      <c r="J1061" s="39" t="str">
        <f>IF(SellAllowed="Yes",IF(AND(G1061 = "Yes", C1061&lt;E1061), "Yes", "No"),"No")</f>
        <v>No</v>
      </c>
      <c r="K1061" s="39">
        <f>IF(I1061 = "Yes", M1060/(C1061+CostBuy), IF(J1061 = "Yes", 0, K1060))</f>
        <v>126730.1254484658</v>
      </c>
      <c r="M1061" s="19">
        <f>IF(I1061 = "Yes", M1060-(C1061+CostBuy)*K1061, IF(J1061="Yes", M1060+(C1061-CostSell)*K1060, M1060+K1061*Rate))</f>
        <v>6336.5062724232903</v>
      </c>
    </row>
    <row r="1062" spans="2:13" s="11" customFormat="1" x14ac:dyDescent="0.2">
      <c r="B1062" s="24">
        <v>1958.05</v>
      </c>
      <c r="C1062" s="25">
        <v>43.7</v>
      </c>
      <c r="D1062" s="40">
        <f t="shared" si="21"/>
        <v>41.251666666666672</v>
      </c>
      <c r="E1062" s="40">
        <f t="shared" si="22"/>
        <v>41.591250000000002</v>
      </c>
      <c r="F1062" s="12"/>
      <c r="G1062" s="18" t="str">
        <f t="shared" si="23"/>
        <v>Yes</v>
      </c>
      <c r="H1062" s="12"/>
      <c r="I1062" s="39" t="str">
        <f>IF(BuyAllowed="Yes",IF(AND(G1062 = "No", C1062&gt;D1062), "Yes", "No"),"No")</f>
        <v>No</v>
      </c>
      <c r="J1062" s="39" t="str">
        <f>IF(SellAllowed="Yes",IF(AND(G1062 = "Yes", C1062&lt;E1062), "Yes", "No"),"No")</f>
        <v>No</v>
      </c>
      <c r="K1062" s="39">
        <f>IF(I1062 = "Yes", M1061/(C1062+CostBuy), IF(J1062 = "Yes", 0, K1061))</f>
        <v>126730.1254484658</v>
      </c>
      <c r="M1062" s="19">
        <f>IF(I1062 = "Yes", M1061-(C1062+CostBuy)*K1062, IF(J1062="Yes", M1061+(C1062-CostSell)*K1061, M1061+K1062*Rate))</f>
        <v>12673.012544846581</v>
      </c>
    </row>
    <row r="1063" spans="2:13" s="11" customFormat="1" x14ac:dyDescent="0.2">
      <c r="B1063" s="24">
        <v>1958.06</v>
      </c>
      <c r="C1063" s="25">
        <v>44.75</v>
      </c>
      <c r="D1063" s="40">
        <f t="shared" si="21"/>
        <v>41.81</v>
      </c>
      <c r="E1063" s="40">
        <f t="shared" si="22"/>
        <v>41.556249999999999</v>
      </c>
      <c r="F1063" s="12"/>
      <c r="G1063" s="18" t="str">
        <f t="shared" si="23"/>
        <v>Yes</v>
      </c>
      <c r="H1063" s="12"/>
      <c r="I1063" s="39" t="str">
        <f>IF(BuyAllowed="Yes",IF(AND(G1063 = "No", C1063&gt;D1063), "Yes", "No"),"No")</f>
        <v>No</v>
      </c>
      <c r="J1063" s="39" t="str">
        <f>IF(SellAllowed="Yes",IF(AND(G1063 = "Yes", C1063&lt;E1063), "Yes", "No"),"No")</f>
        <v>No</v>
      </c>
      <c r="K1063" s="39">
        <f>IF(I1063 = "Yes", M1062/(C1063+CostBuy), IF(J1063 = "Yes", 0, K1062))</f>
        <v>126730.1254484658</v>
      </c>
      <c r="M1063" s="19">
        <f>IF(I1063 = "Yes", M1062-(C1063+CostBuy)*K1063, IF(J1063="Yes", M1062+(C1063-CostSell)*K1062, M1062+K1063*Rate))</f>
        <v>19009.518817269869</v>
      </c>
    </row>
    <row r="1064" spans="2:13" s="11" customFormat="1" x14ac:dyDescent="0.2">
      <c r="B1064" s="24">
        <v>1958.07</v>
      </c>
      <c r="C1064" s="25">
        <v>45.98</v>
      </c>
      <c r="D1064" s="40">
        <f t="shared" si="21"/>
        <v>42.54666666666666</v>
      </c>
      <c r="E1064" s="40">
        <f t="shared" si="22"/>
        <v>41.995000000000005</v>
      </c>
      <c r="F1064" s="12"/>
      <c r="G1064" s="18" t="str">
        <f t="shared" si="23"/>
        <v>Yes</v>
      </c>
      <c r="H1064" s="12"/>
      <c r="I1064" s="39" t="str">
        <f>IF(BuyAllowed="Yes",IF(AND(G1064 = "No", C1064&gt;D1064), "Yes", "No"),"No")</f>
        <v>No</v>
      </c>
      <c r="J1064" s="39" t="str">
        <f>IF(SellAllowed="Yes",IF(AND(G1064 = "Yes", C1064&lt;E1064), "Yes", "No"),"No")</f>
        <v>No</v>
      </c>
      <c r="K1064" s="39">
        <f>IF(I1064 = "Yes", M1063/(C1064+CostBuy), IF(J1064 = "Yes", 0, K1063))</f>
        <v>126730.1254484658</v>
      </c>
      <c r="M1064" s="19">
        <f>IF(I1064 = "Yes", M1063-(C1064+CostBuy)*K1064, IF(J1064="Yes", M1063+(C1064-CostSell)*K1063, M1063+K1064*Rate))</f>
        <v>25346.025089693161</v>
      </c>
    </row>
    <row r="1065" spans="2:13" s="11" customFormat="1" x14ac:dyDescent="0.2">
      <c r="B1065" s="24">
        <v>1958.08</v>
      </c>
      <c r="C1065" s="25">
        <v>47.7</v>
      </c>
      <c r="D1065" s="40">
        <f t="shared" si="21"/>
        <v>43.356666666666676</v>
      </c>
      <c r="E1065" s="40">
        <f t="shared" si="22"/>
        <v>42.698750000000004</v>
      </c>
      <c r="F1065" s="12"/>
      <c r="G1065" s="18" t="str">
        <f t="shared" si="23"/>
        <v>Yes</v>
      </c>
      <c r="H1065" s="12"/>
      <c r="I1065" s="39" t="str">
        <f>IF(BuyAllowed="Yes",IF(AND(G1065 = "No", C1065&gt;D1065), "Yes", "No"),"No")</f>
        <v>No</v>
      </c>
      <c r="J1065" s="39" t="str">
        <f>IF(SellAllowed="Yes",IF(AND(G1065 = "Yes", C1065&lt;E1065), "Yes", "No"),"No")</f>
        <v>No</v>
      </c>
      <c r="K1065" s="39">
        <f>IF(I1065 = "Yes", M1064/(C1065+CostBuy), IF(J1065 = "Yes", 0, K1064))</f>
        <v>126730.1254484658</v>
      </c>
      <c r="M1065" s="19">
        <f>IF(I1065 = "Yes", M1064-(C1065+CostBuy)*K1065, IF(J1065="Yes", M1064+(C1065-CostSell)*K1064, M1064+K1065*Rate))</f>
        <v>31682.531362116453</v>
      </c>
    </row>
    <row r="1066" spans="2:13" s="11" customFormat="1" x14ac:dyDescent="0.2">
      <c r="B1066" s="24">
        <v>1958.09</v>
      </c>
      <c r="C1066" s="25">
        <v>48.96</v>
      </c>
      <c r="D1066" s="40">
        <f t="shared" si="21"/>
        <v>44.43</v>
      </c>
      <c r="E1066" s="40">
        <f t="shared" si="22"/>
        <v>43.62</v>
      </c>
      <c r="F1066" s="12"/>
      <c r="G1066" s="18" t="str">
        <f t="shared" si="23"/>
        <v>Yes</v>
      </c>
      <c r="H1066" s="12"/>
      <c r="I1066" s="39" t="str">
        <f>IF(BuyAllowed="Yes",IF(AND(G1066 = "No", C1066&gt;D1066), "Yes", "No"),"No")</f>
        <v>No</v>
      </c>
      <c r="J1066" s="39" t="str">
        <f>IF(SellAllowed="Yes",IF(AND(G1066 = "Yes", C1066&lt;E1066), "Yes", "No"),"No")</f>
        <v>No</v>
      </c>
      <c r="K1066" s="39">
        <f>IF(I1066 = "Yes", M1065/(C1066+CostBuy), IF(J1066 = "Yes", 0, K1065))</f>
        <v>126730.1254484658</v>
      </c>
      <c r="M1066" s="19">
        <f>IF(I1066 = "Yes", M1065-(C1066+CostBuy)*K1066, IF(J1066="Yes", M1065+(C1066-CostSell)*K1065, M1065+K1066*Rate))</f>
        <v>38019.037634539745</v>
      </c>
    </row>
    <row r="1067" spans="2:13" s="11" customFormat="1" x14ac:dyDescent="0.2">
      <c r="B1067" s="24">
        <v>1958.1</v>
      </c>
      <c r="C1067" s="25">
        <v>50.95</v>
      </c>
      <c r="D1067" s="40">
        <f t="shared" si="21"/>
        <v>45.571666666666665</v>
      </c>
      <c r="E1067" s="40">
        <f t="shared" si="22"/>
        <v>44.6</v>
      </c>
      <c r="F1067" s="12"/>
      <c r="G1067" s="18" t="str">
        <f t="shared" si="23"/>
        <v>Yes</v>
      </c>
      <c r="H1067" s="12"/>
      <c r="I1067" s="39" t="str">
        <f>IF(BuyAllowed="Yes",IF(AND(G1067 = "No", C1067&gt;D1067), "Yes", "No"),"No")</f>
        <v>No</v>
      </c>
      <c r="J1067" s="39" t="str">
        <f>IF(SellAllowed="Yes",IF(AND(G1067 = "Yes", C1067&lt;E1067), "Yes", "No"),"No")</f>
        <v>No</v>
      </c>
      <c r="K1067" s="39">
        <f>IF(I1067 = "Yes", M1066/(C1067+CostBuy), IF(J1067 = "Yes", 0, K1066))</f>
        <v>126730.1254484658</v>
      </c>
      <c r="M1067" s="19">
        <f>IF(I1067 = "Yes", M1066-(C1067+CostBuy)*K1067, IF(J1067="Yes", M1066+(C1067-CostSell)*K1066, M1066+K1067*Rate))</f>
        <v>44355.543906963037</v>
      </c>
    </row>
    <row r="1068" spans="2:13" s="11" customFormat="1" x14ac:dyDescent="0.2">
      <c r="B1068" s="24">
        <v>1958.11</v>
      </c>
      <c r="C1068" s="25">
        <v>52.5</v>
      </c>
      <c r="D1068" s="40">
        <f t="shared" si="21"/>
        <v>47.006666666666668</v>
      </c>
      <c r="E1068" s="40">
        <f t="shared" si="22"/>
        <v>45.811249999999994</v>
      </c>
      <c r="F1068" s="12"/>
      <c r="G1068" s="18" t="str">
        <f t="shared" si="23"/>
        <v>Yes</v>
      </c>
      <c r="H1068" s="12"/>
      <c r="I1068" s="39" t="str">
        <f>IF(BuyAllowed="Yes",IF(AND(G1068 = "No", C1068&gt;D1068), "Yes", "No"),"No")</f>
        <v>No</v>
      </c>
      <c r="J1068" s="39" t="str">
        <f>IF(SellAllowed="Yes",IF(AND(G1068 = "Yes", C1068&lt;E1068), "Yes", "No"),"No")</f>
        <v>No</v>
      </c>
      <c r="K1068" s="39">
        <f>IF(I1068 = "Yes", M1067/(C1068+CostBuy), IF(J1068 = "Yes", 0, K1067))</f>
        <v>126730.1254484658</v>
      </c>
      <c r="M1068" s="19">
        <f>IF(I1068 = "Yes", M1067-(C1068+CostBuy)*K1068, IF(J1068="Yes", M1067+(C1068-CostSell)*K1067, M1067+K1068*Rate))</f>
        <v>50692.05017938633</v>
      </c>
    </row>
    <row r="1069" spans="2:13" s="11" customFormat="1" x14ac:dyDescent="0.2">
      <c r="B1069" s="24">
        <v>1958.12</v>
      </c>
      <c r="C1069" s="25">
        <v>53.49</v>
      </c>
      <c r="D1069" s="40">
        <f t="shared" si="21"/>
        <v>48.473333333333336</v>
      </c>
      <c r="E1069" s="40">
        <f t="shared" si="22"/>
        <v>47.11</v>
      </c>
      <c r="F1069" s="12"/>
      <c r="G1069" s="18" t="str">
        <f t="shared" si="23"/>
        <v>Yes</v>
      </c>
      <c r="H1069" s="12"/>
      <c r="I1069" s="39" t="str">
        <f>IF(BuyAllowed="Yes",IF(AND(G1069 = "No", C1069&gt;D1069), "Yes", "No"),"No")</f>
        <v>No</v>
      </c>
      <c r="J1069" s="39" t="str">
        <f>IF(SellAllowed="Yes",IF(AND(G1069 = "Yes", C1069&lt;E1069), "Yes", "No"),"No")</f>
        <v>No</v>
      </c>
      <c r="K1069" s="39">
        <f>IF(I1069 = "Yes", M1068/(C1069+CostBuy), IF(J1069 = "Yes", 0, K1068))</f>
        <v>126730.1254484658</v>
      </c>
      <c r="M1069" s="19">
        <f>IF(I1069 = "Yes", M1068-(C1069+CostBuy)*K1069, IF(J1069="Yes", M1068+(C1069-CostSell)*K1068, M1068+K1069*Rate))</f>
        <v>57028.556451809622</v>
      </c>
    </row>
    <row r="1070" spans="2:13" s="11" customFormat="1" x14ac:dyDescent="0.2">
      <c r="B1070" s="24">
        <v>1959.01</v>
      </c>
      <c r="C1070" s="25">
        <v>55.62</v>
      </c>
      <c r="D1070" s="40">
        <f t="shared" si="21"/>
        <v>49.930000000000007</v>
      </c>
      <c r="E1070" s="40">
        <f t="shared" si="22"/>
        <v>48.503750000000004</v>
      </c>
      <c r="F1070" s="12"/>
      <c r="G1070" s="18" t="str">
        <f t="shared" si="23"/>
        <v>Yes</v>
      </c>
      <c r="H1070" s="12"/>
      <c r="I1070" s="39" t="str">
        <f>IF(BuyAllowed="Yes",IF(AND(G1070 = "No", C1070&gt;D1070), "Yes", "No"),"No")</f>
        <v>No</v>
      </c>
      <c r="J1070" s="39" t="str">
        <f>IF(SellAllowed="Yes",IF(AND(G1070 = "Yes", C1070&lt;E1070), "Yes", "No"),"No")</f>
        <v>No</v>
      </c>
      <c r="K1070" s="39">
        <f>IF(I1070 = "Yes", M1069/(C1070+CostBuy), IF(J1070 = "Yes", 0, K1069))</f>
        <v>126730.1254484658</v>
      </c>
      <c r="M1070" s="19">
        <f>IF(I1070 = "Yes", M1069-(C1070+CostBuy)*K1070, IF(J1070="Yes", M1069+(C1070-CostSell)*K1069, M1069+K1070*Rate))</f>
        <v>63365.062724232914</v>
      </c>
    </row>
    <row r="1071" spans="2:13" s="11" customFormat="1" x14ac:dyDescent="0.2">
      <c r="B1071" s="24">
        <v>1959.02</v>
      </c>
      <c r="C1071" s="25">
        <v>54.77</v>
      </c>
      <c r="D1071" s="40">
        <f t="shared" si="21"/>
        <v>51.536666666666669</v>
      </c>
      <c r="E1071" s="40">
        <f t="shared" si="22"/>
        <v>49.993750000000006</v>
      </c>
      <c r="F1071" s="12"/>
      <c r="G1071" s="18" t="str">
        <f t="shared" si="23"/>
        <v>Yes</v>
      </c>
      <c r="H1071" s="12"/>
      <c r="I1071" s="39" t="str">
        <f>IF(BuyAllowed="Yes",IF(AND(G1071 = "No", C1071&gt;D1071), "Yes", "No"),"No")</f>
        <v>No</v>
      </c>
      <c r="J1071" s="39" t="str">
        <f>IF(SellAllowed="Yes",IF(AND(G1071 = "Yes", C1071&lt;E1071), "Yes", "No"),"No")</f>
        <v>No</v>
      </c>
      <c r="K1071" s="39">
        <f>IF(I1071 = "Yes", M1070/(C1071+CostBuy), IF(J1071 = "Yes", 0, K1070))</f>
        <v>126730.1254484658</v>
      </c>
      <c r="M1071" s="19">
        <f>IF(I1071 = "Yes", M1070-(C1071+CostBuy)*K1071, IF(J1071="Yes", M1070+(C1071-CostSell)*K1070, M1070+K1071*Rate))</f>
        <v>69701.568996656206</v>
      </c>
    </row>
    <row r="1072" spans="2:13" s="11" customFormat="1" x14ac:dyDescent="0.2">
      <c r="B1072" s="24">
        <v>1959.03</v>
      </c>
      <c r="C1072" s="25">
        <v>56.16</v>
      </c>
      <c r="D1072" s="40">
        <f t="shared" si="21"/>
        <v>52.714999999999996</v>
      </c>
      <c r="E1072" s="40">
        <f t="shared" si="22"/>
        <v>51.246250000000003</v>
      </c>
      <c r="F1072" s="12"/>
      <c r="G1072" s="18" t="str">
        <f t="shared" si="23"/>
        <v>Yes</v>
      </c>
      <c r="H1072" s="12"/>
      <c r="I1072" s="39" t="str">
        <f>IF(BuyAllowed="Yes",IF(AND(G1072 = "No", C1072&gt;D1072), "Yes", "No"),"No")</f>
        <v>No</v>
      </c>
      <c r="J1072" s="39" t="str">
        <f>IF(SellAllowed="Yes",IF(AND(G1072 = "Yes", C1072&lt;E1072), "Yes", "No"),"No")</f>
        <v>No</v>
      </c>
      <c r="K1072" s="39">
        <f>IF(I1072 = "Yes", M1071/(C1072+CostBuy), IF(J1072 = "Yes", 0, K1071))</f>
        <v>126730.1254484658</v>
      </c>
      <c r="M1072" s="19">
        <f>IF(I1072 = "Yes", M1071-(C1072+CostBuy)*K1072, IF(J1072="Yes", M1071+(C1072-CostSell)*K1071, M1071+K1072*Rate))</f>
        <v>76038.075269079491</v>
      </c>
    </row>
    <row r="1073" spans="2:13" s="11" customFormat="1" x14ac:dyDescent="0.2">
      <c r="B1073" s="24">
        <v>1959.04</v>
      </c>
      <c r="C1073" s="25">
        <v>57.1</v>
      </c>
      <c r="D1073" s="40">
        <f t="shared" si="21"/>
        <v>53.914999999999999</v>
      </c>
      <c r="E1073" s="40">
        <f t="shared" si="22"/>
        <v>52.518749999999997</v>
      </c>
      <c r="F1073" s="12"/>
      <c r="G1073" s="18" t="str">
        <f t="shared" si="23"/>
        <v>Yes</v>
      </c>
      <c r="H1073" s="12"/>
      <c r="I1073" s="39" t="str">
        <f>IF(BuyAllowed="Yes",IF(AND(G1073 = "No", C1073&gt;D1073), "Yes", "No"),"No")</f>
        <v>No</v>
      </c>
      <c r="J1073" s="39" t="str">
        <f>IF(SellAllowed="Yes",IF(AND(G1073 = "Yes", C1073&lt;E1073), "Yes", "No"),"No")</f>
        <v>No</v>
      </c>
      <c r="K1073" s="39">
        <f>IF(I1073 = "Yes", M1072/(C1073+CostBuy), IF(J1073 = "Yes", 0, K1072))</f>
        <v>126730.1254484658</v>
      </c>
      <c r="M1073" s="19">
        <f>IF(I1073 = "Yes", M1072-(C1073+CostBuy)*K1073, IF(J1073="Yes", M1072+(C1073-CostSell)*K1072, M1072+K1073*Rate))</f>
        <v>82374.581541502776</v>
      </c>
    </row>
    <row r="1074" spans="2:13" s="11" customFormat="1" x14ac:dyDescent="0.2">
      <c r="B1074" s="24">
        <v>1959.05</v>
      </c>
      <c r="C1074" s="25">
        <v>57.96</v>
      </c>
      <c r="D1074" s="40">
        <f t="shared" si="21"/>
        <v>54.940000000000005</v>
      </c>
      <c r="E1074" s="40">
        <f t="shared" si="22"/>
        <v>53.693749999999994</v>
      </c>
      <c r="F1074" s="12"/>
      <c r="G1074" s="18" t="str">
        <f t="shared" si="23"/>
        <v>Yes</v>
      </c>
      <c r="H1074" s="12"/>
      <c r="I1074" s="39" t="str">
        <f>IF(BuyAllowed="Yes",IF(AND(G1074 = "No", C1074&gt;D1074), "Yes", "No"),"No")</f>
        <v>No</v>
      </c>
      <c r="J1074" s="39" t="str">
        <f>IF(SellAllowed="Yes",IF(AND(G1074 = "Yes", C1074&lt;E1074), "Yes", "No"),"No")</f>
        <v>No</v>
      </c>
      <c r="K1074" s="39">
        <f>IF(I1074 = "Yes", M1073/(C1074+CostBuy), IF(J1074 = "Yes", 0, K1073))</f>
        <v>126730.1254484658</v>
      </c>
      <c r="M1074" s="19">
        <f>IF(I1074 = "Yes", M1073-(C1074+CostBuy)*K1074, IF(J1074="Yes", M1073+(C1074-CostSell)*K1073, M1073+K1074*Rate))</f>
        <v>88711.08781392606</v>
      </c>
    </row>
    <row r="1075" spans="2:13" s="11" customFormat="1" x14ac:dyDescent="0.2">
      <c r="B1075" s="24">
        <v>1959.06</v>
      </c>
      <c r="C1075" s="25">
        <v>57.46</v>
      </c>
      <c r="D1075" s="40">
        <f t="shared" si="21"/>
        <v>55.849999999999994</v>
      </c>
      <c r="E1075" s="40">
        <f t="shared" si="22"/>
        <v>54.818750000000001</v>
      </c>
      <c r="F1075" s="12"/>
      <c r="G1075" s="18" t="str">
        <f t="shared" si="23"/>
        <v>Yes</v>
      </c>
      <c r="H1075" s="12"/>
      <c r="I1075" s="39" t="str">
        <f>IF(BuyAllowed="Yes",IF(AND(G1075 = "No", C1075&gt;D1075), "Yes", "No"),"No")</f>
        <v>No</v>
      </c>
      <c r="J1075" s="39" t="str">
        <f>IF(SellAllowed="Yes",IF(AND(G1075 = "Yes", C1075&lt;E1075), "Yes", "No"),"No")</f>
        <v>No</v>
      </c>
      <c r="K1075" s="39">
        <f>IF(I1075 = "Yes", M1074/(C1075+CostBuy), IF(J1075 = "Yes", 0, K1074))</f>
        <v>126730.1254484658</v>
      </c>
      <c r="M1075" s="19">
        <f>IF(I1075 = "Yes", M1074-(C1075+CostBuy)*K1075, IF(J1075="Yes", M1074+(C1075-CostSell)*K1074, M1074+K1075*Rate))</f>
        <v>95047.594086349345</v>
      </c>
    </row>
    <row r="1076" spans="2:13" s="11" customFormat="1" x14ac:dyDescent="0.2">
      <c r="B1076" s="24">
        <v>1959.07</v>
      </c>
      <c r="C1076" s="25">
        <v>59.74</v>
      </c>
      <c r="D1076" s="40">
        <f t="shared" si="21"/>
        <v>56.511666666666663</v>
      </c>
      <c r="E1076" s="40">
        <f t="shared" si="22"/>
        <v>55.6325</v>
      </c>
      <c r="F1076" s="12"/>
      <c r="G1076" s="18" t="str">
        <f t="shared" si="23"/>
        <v>Yes</v>
      </c>
      <c r="H1076" s="12"/>
      <c r="I1076" s="39" t="str">
        <f>IF(BuyAllowed="Yes",IF(AND(G1076 = "No", C1076&gt;D1076), "Yes", "No"),"No")</f>
        <v>No</v>
      </c>
      <c r="J1076" s="39" t="str">
        <f>IF(SellAllowed="Yes",IF(AND(G1076 = "Yes", C1076&lt;E1076), "Yes", "No"),"No")</f>
        <v>No</v>
      </c>
      <c r="K1076" s="39">
        <f>IF(I1076 = "Yes", M1075/(C1076+CostBuy), IF(J1076 = "Yes", 0, K1075))</f>
        <v>126730.1254484658</v>
      </c>
      <c r="M1076" s="19">
        <f>IF(I1076 = "Yes", M1075-(C1076+CostBuy)*K1076, IF(J1076="Yes", M1075+(C1076-CostSell)*K1075, M1075+K1076*Rate))</f>
        <v>101384.10035877263</v>
      </c>
    </row>
    <row r="1077" spans="2:13" s="11" customFormat="1" x14ac:dyDescent="0.2">
      <c r="B1077" s="24">
        <v>1959.08</v>
      </c>
      <c r="C1077" s="25">
        <v>59.4</v>
      </c>
      <c r="D1077" s="40">
        <f t="shared" si="21"/>
        <v>57.198333333333331</v>
      </c>
      <c r="E1077" s="40">
        <f t="shared" si="22"/>
        <v>56.537499999999994</v>
      </c>
      <c r="F1077" s="12"/>
      <c r="G1077" s="18" t="str">
        <f t="shared" si="23"/>
        <v>Yes</v>
      </c>
      <c r="H1077" s="12"/>
      <c r="I1077" s="39" t="str">
        <f>IF(BuyAllowed="Yes",IF(AND(G1077 = "No", C1077&gt;D1077), "Yes", "No"),"No")</f>
        <v>No</v>
      </c>
      <c r="J1077" s="39" t="str">
        <f>IF(SellAllowed="Yes",IF(AND(G1077 = "Yes", C1077&lt;E1077), "Yes", "No"),"No")</f>
        <v>No</v>
      </c>
      <c r="K1077" s="39">
        <f>IF(I1077 = "Yes", M1076/(C1077+CostBuy), IF(J1077 = "Yes", 0, K1076))</f>
        <v>126730.1254484658</v>
      </c>
      <c r="M1077" s="19">
        <f>IF(I1077 = "Yes", M1076-(C1077+CostBuy)*K1077, IF(J1077="Yes", M1076+(C1077-CostSell)*K1076, M1076+K1077*Rate))</f>
        <v>107720.60663119591</v>
      </c>
    </row>
    <row r="1078" spans="2:13" s="11" customFormat="1" x14ac:dyDescent="0.2">
      <c r="B1078" s="24">
        <v>1959.09</v>
      </c>
      <c r="C1078" s="25">
        <v>57.05</v>
      </c>
      <c r="D1078" s="40">
        <f t="shared" si="21"/>
        <v>57.97</v>
      </c>
      <c r="E1078" s="40">
        <f t="shared" si="22"/>
        <v>57.276249999999997</v>
      </c>
      <c r="F1078" s="12"/>
      <c r="G1078" s="18" t="str">
        <f t="shared" si="23"/>
        <v>Yes</v>
      </c>
      <c r="H1078" s="12"/>
      <c r="I1078" s="39" t="str">
        <f>IF(BuyAllowed="Yes",IF(AND(G1078 = "No", C1078&gt;D1078), "Yes", "No"),"No")</f>
        <v>No</v>
      </c>
      <c r="J1078" s="39" t="str">
        <f>IF(SellAllowed="Yes",IF(AND(G1078 = "Yes", C1078&lt;E1078), "Yes", "No"),"No")</f>
        <v>Yes</v>
      </c>
      <c r="K1078" s="39">
        <f>IF(I1078 = "Yes", M1077/(C1078+CostBuy), IF(J1078 = "Yes", 0, K1077))</f>
        <v>0</v>
      </c>
      <c r="M1078" s="19">
        <f>IF(I1078 = "Yes", M1077-(C1078+CostBuy)*K1078, IF(J1078="Yes", M1077+(C1078-CostSell)*K1077, M1077+K1078*Rate))</f>
        <v>7330070.4559392612</v>
      </c>
    </row>
    <row r="1079" spans="2:13" s="11" customFormat="1" x14ac:dyDescent="0.2">
      <c r="B1079" s="24">
        <v>1959.1</v>
      </c>
      <c r="C1079" s="25">
        <v>57</v>
      </c>
      <c r="D1079" s="40">
        <f t="shared" si="21"/>
        <v>58.118333333333339</v>
      </c>
      <c r="E1079" s="40">
        <f t="shared" si="22"/>
        <v>57.454999999999998</v>
      </c>
      <c r="F1079" s="12"/>
      <c r="G1079" s="18" t="str">
        <f t="shared" si="23"/>
        <v>No</v>
      </c>
      <c r="H1079" s="12"/>
      <c r="I1079" s="39" t="str">
        <f>IF(BuyAllowed="Yes",IF(AND(G1079 = "No", C1079&gt;D1079), "Yes", "No"),"No")</f>
        <v>No</v>
      </c>
      <c r="J1079" s="39" t="str">
        <f>IF(SellAllowed="Yes",IF(AND(G1079 = "Yes", C1079&lt;E1079), "Yes", "No"),"No")</f>
        <v>No</v>
      </c>
      <c r="K1079" s="39">
        <f>IF(I1079 = "Yes", M1078/(C1079+CostBuy), IF(J1079 = "Yes", 0, K1078))</f>
        <v>0</v>
      </c>
      <c r="M1079" s="19">
        <f>IF(I1079 = "Yes", M1078-(C1079+CostBuy)*K1079, IF(J1079="Yes", M1078+(C1079-CostSell)*K1078, M1078+K1079*Rate))</f>
        <v>7330070.4559392612</v>
      </c>
    </row>
    <row r="1080" spans="2:13" s="11" customFormat="1" x14ac:dyDescent="0.2">
      <c r="B1080" s="24">
        <v>1959.11</v>
      </c>
      <c r="C1080" s="25">
        <v>57.23</v>
      </c>
      <c r="D1080" s="40">
        <f t="shared" si="21"/>
        <v>58.101666666666667</v>
      </c>
      <c r="E1080" s="40">
        <f t="shared" si="22"/>
        <v>57.733750000000001</v>
      </c>
      <c r="F1080" s="12"/>
      <c r="G1080" s="18" t="str">
        <f t="shared" si="23"/>
        <v>No</v>
      </c>
      <c r="H1080" s="12"/>
      <c r="I1080" s="39" t="str">
        <f>IF(BuyAllowed="Yes",IF(AND(G1080 = "No", C1080&gt;D1080), "Yes", "No"),"No")</f>
        <v>No</v>
      </c>
      <c r="J1080" s="39" t="str">
        <f>IF(SellAllowed="Yes",IF(AND(G1080 = "Yes", C1080&lt;E1080), "Yes", "No"),"No")</f>
        <v>No</v>
      </c>
      <c r="K1080" s="39">
        <f>IF(I1080 = "Yes", M1079/(C1080+CostBuy), IF(J1080 = "Yes", 0, K1079))</f>
        <v>0</v>
      </c>
      <c r="M1080" s="19">
        <f>IF(I1080 = "Yes", M1079-(C1080+CostBuy)*K1080, IF(J1080="Yes", M1079+(C1080-CostSell)*K1079, M1079+K1080*Rate))</f>
        <v>7330070.4559392612</v>
      </c>
    </row>
    <row r="1081" spans="2:13" s="11" customFormat="1" x14ac:dyDescent="0.2">
      <c r="B1081" s="24">
        <v>1959.12</v>
      </c>
      <c r="C1081" s="25">
        <v>59.06</v>
      </c>
      <c r="D1081" s="40">
        <f t="shared" si="21"/>
        <v>57.98</v>
      </c>
      <c r="E1081" s="40">
        <f t="shared" si="22"/>
        <v>57.867500000000007</v>
      </c>
      <c r="F1081" s="12"/>
      <c r="G1081" s="18" t="str">
        <f t="shared" si="23"/>
        <v>No</v>
      </c>
      <c r="H1081" s="12"/>
      <c r="I1081" s="39" t="str">
        <f>IF(BuyAllowed="Yes",IF(AND(G1081 = "No", C1081&gt;D1081), "Yes", "No"),"No")</f>
        <v>Yes</v>
      </c>
      <c r="J1081" s="39" t="str">
        <f>IF(SellAllowed="Yes",IF(AND(G1081 = "Yes", C1081&lt;E1081), "Yes", "No"),"No")</f>
        <v>No</v>
      </c>
      <c r="K1081" s="39">
        <f>IF(I1081 = "Yes", M1080/(C1081+CostBuy), IF(J1081 = "Yes", 0, K1080))</f>
        <v>124049.25462750484</v>
      </c>
      <c r="M1081" s="19">
        <f>IF(I1081 = "Yes", M1080-(C1081+CostBuy)*K1081, IF(J1081="Yes", M1080+(C1081-CostSell)*K1080, M1080+K1081*Rate))</f>
        <v>0</v>
      </c>
    </row>
    <row r="1082" spans="2:13" s="11" customFormat="1" x14ac:dyDescent="0.2">
      <c r="B1082" s="24">
        <v>1960.01</v>
      </c>
      <c r="C1082" s="25">
        <v>58.03</v>
      </c>
      <c r="D1082" s="40">
        <f t="shared" si="21"/>
        <v>58.24666666666667</v>
      </c>
      <c r="E1082" s="40">
        <f t="shared" si="22"/>
        <v>58.112500000000004</v>
      </c>
      <c r="F1082" s="12"/>
      <c r="G1082" s="18" t="str">
        <f t="shared" si="23"/>
        <v>Yes</v>
      </c>
      <c r="H1082" s="12"/>
      <c r="I1082" s="39" t="str">
        <f>IF(BuyAllowed="Yes",IF(AND(G1082 = "No", C1082&gt;D1082), "Yes", "No"),"No")</f>
        <v>No</v>
      </c>
      <c r="J1082" s="39" t="str">
        <f>IF(SellAllowed="Yes",IF(AND(G1082 = "Yes", C1082&lt;E1082), "Yes", "No"),"No")</f>
        <v>Yes</v>
      </c>
      <c r="K1082" s="39">
        <f>IF(I1082 = "Yes", M1081/(C1082+CostBuy), IF(J1082 = "Yes", 0, K1081))</f>
        <v>0</v>
      </c>
      <c r="M1082" s="19">
        <f>IF(I1082 = "Yes", M1081-(C1082+CostBuy)*K1082, IF(J1082="Yes", M1081+(C1082-CostSell)*K1081, M1081+K1082*Rate))</f>
        <v>7191135.2907564556</v>
      </c>
    </row>
    <row r="1083" spans="2:13" s="11" customFormat="1" x14ac:dyDescent="0.2">
      <c r="B1083" s="24">
        <v>1960.02</v>
      </c>
      <c r="C1083" s="25">
        <v>55.78</v>
      </c>
      <c r="D1083" s="40">
        <f t="shared" si="21"/>
        <v>57.961666666666666</v>
      </c>
      <c r="E1083" s="40">
        <f t="shared" si="22"/>
        <v>58.121250000000003</v>
      </c>
      <c r="F1083" s="12"/>
      <c r="G1083" s="18" t="str">
        <f t="shared" si="23"/>
        <v>No</v>
      </c>
      <c r="H1083" s="12"/>
      <c r="I1083" s="39" t="str">
        <f>IF(BuyAllowed="Yes",IF(AND(G1083 = "No", C1083&gt;D1083), "Yes", "No"),"No")</f>
        <v>No</v>
      </c>
      <c r="J1083" s="39" t="str">
        <f>IF(SellAllowed="Yes",IF(AND(G1083 = "Yes", C1083&lt;E1083), "Yes", "No"),"No")</f>
        <v>No</v>
      </c>
      <c r="K1083" s="39">
        <f>IF(I1083 = "Yes", M1082/(C1083+CostBuy), IF(J1083 = "Yes", 0, K1082))</f>
        <v>0</v>
      </c>
      <c r="M1083" s="19">
        <f>IF(I1083 = "Yes", M1082-(C1083+CostBuy)*K1083, IF(J1083="Yes", M1082+(C1083-CostSell)*K1082, M1082+K1083*Rate))</f>
        <v>7191135.2907564556</v>
      </c>
    </row>
    <row r="1084" spans="2:13" s="11" customFormat="1" x14ac:dyDescent="0.2">
      <c r="B1084" s="24">
        <v>1960.03</v>
      </c>
      <c r="C1084" s="25">
        <v>55.02</v>
      </c>
      <c r="D1084" s="40">
        <f t="shared" si="21"/>
        <v>57.358333333333327</v>
      </c>
      <c r="E1084" s="40">
        <f t="shared" si="22"/>
        <v>57.911249999999995</v>
      </c>
      <c r="F1084" s="12"/>
      <c r="G1084" s="18" t="str">
        <f t="shared" si="23"/>
        <v>No</v>
      </c>
      <c r="H1084" s="12"/>
      <c r="I1084" s="39" t="str">
        <f>IF(BuyAllowed="Yes",IF(AND(G1084 = "No", C1084&gt;D1084), "Yes", "No"),"No")</f>
        <v>No</v>
      </c>
      <c r="J1084" s="39" t="str">
        <f>IF(SellAllowed="Yes",IF(AND(G1084 = "Yes", C1084&lt;E1084), "Yes", "No"),"No")</f>
        <v>No</v>
      </c>
      <c r="K1084" s="39">
        <f>IF(I1084 = "Yes", M1083/(C1084+CostBuy), IF(J1084 = "Yes", 0, K1083))</f>
        <v>0</v>
      </c>
      <c r="M1084" s="19">
        <f>IF(I1084 = "Yes", M1083-(C1084+CostBuy)*K1084, IF(J1084="Yes", M1083+(C1084-CostSell)*K1083, M1083+K1084*Rate))</f>
        <v>7191135.2907564556</v>
      </c>
    </row>
    <row r="1085" spans="2:13" s="11" customFormat="1" x14ac:dyDescent="0.2">
      <c r="B1085" s="24">
        <v>1960.04</v>
      </c>
      <c r="C1085" s="25">
        <v>55.73</v>
      </c>
      <c r="D1085" s="40">
        <f t="shared" si="21"/>
        <v>57.02</v>
      </c>
      <c r="E1085" s="40">
        <f t="shared" si="22"/>
        <v>57.321249999999992</v>
      </c>
      <c r="F1085" s="12"/>
      <c r="G1085" s="18" t="str">
        <f t="shared" si="23"/>
        <v>No</v>
      </c>
      <c r="H1085" s="12"/>
      <c r="I1085" s="39" t="str">
        <f>IF(BuyAllowed="Yes",IF(AND(G1085 = "No", C1085&gt;D1085), "Yes", "No"),"No")</f>
        <v>No</v>
      </c>
      <c r="J1085" s="39" t="str">
        <f>IF(SellAllowed="Yes",IF(AND(G1085 = "Yes", C1085&lt;E1085), "Yes", "No"),"No")</f>
        <v>No</v>
      </c>
      <c r="K1085" s="39">
        <f>IF(I1085 = "Yes", M1084/(C1085+CostBuy), IF(J1085 = "Yes", 0, K1084))</f>
        <v>0</v>
      </c>
      <c r="M1085" s="19">
        <f>IF(I1085 = "Yes", M1084-(C1085+CostBuy)*K1085, IF(J1085="Yes", M1084+(C1085-CostSell)*K1084, M1084+K1085*Rate))</f>
        <v>7191135.2907564556</v>
      </c>
    </row>
    <row r="1086" spans="2:13" s="11" customFormat="1" x14ac:dyDescent="0.2">
      <c r="B1086" s="24">
        <v>1960.05</v>
      </c>
      <c r="C1086" s="25">
        <v>55.22</v>
      </c>
      <c r="D1086" s="40">
        <f t="shared" si="21"/>
        <v>56.808333333333337</v>
      </c>
      <c r="E1086" s="40">
        <f t="shared" si="22"/>
        <v>56.862499999999997</v>
      </c>
      <c r="F1086" s="12"/>
      <c r="G1086" s="18" t="str">
        <f t="shared" si="23"/>
        <v>No</v>
      </c>
      <c r="H1086" s="12"/>
      <c r="I1086" s="39" t="str">
        <f>IF(BuyAllowed="Yes",IF(AND(G1086 = "No", C1086&gt;D1086), "Yes", "No"),"No")</f>
        <v>No</v>
      </c>
      <c r="J1086" s="39" t="str">
        <f>IF(SellAllowed="Yes",IF(AND(G1086 = "Yes", C1086&lt;E1086), "Yes", "No"),"No")</f>
        <v>No</v>
      </c>
      <c r="K1086" s="39">
        <f>IF(I1086 = "Yes", M1085/(C1086+CostBuy), IF(J1086 = "Yes", 0, K1085))</f>
        <v>0</v>
      </c>
      <c r="M1086" s="19">
        <f>IF(I1086 = "Yes", M1085-(C1086+CostBuy)*K1086, IF(J1086="Yes", M1085+(C1086-CostSell)*K1085, M1085+K1086*Rate))</f>
        <v>7191135.2907564556</v>
      </c>
    </row>
    <row r="1087" spans="2:13" s="11" customFormat="1" x14ac:dyDescent="0.2">
      <c r="B1087" s="24">
        <v>1960.06</v>
      </c>
      <c r="C1087" s="25">
        <v>57.26</v>
      </c>
      <c r="D1087" s="40">
        <f t="shared" si="21"/>
        <v>56.473333333333336</v>
      </c>
      <c r="E1087" s="40">
        <f t="shared" si="22"/>
        <v>56.633750000000006</v>
      </c>
      <c r="F1087" s="12"/>
      <c r="G1087" s="18" t="str">
        <f t="shared" si="23"/>
        <v>No</v>
      </c>
      <c r="H1087" s="12"/>
      <c r="I1087" s="39" t="str">
        <f>IF(BuyAllowed="Yes",IF(AND(G1087 = "No", C1087&gt;D1087), "Yes", "No"),"No")</f>
        <v>Yes</v>
      </c>
      <c r="J1087" s="39" t="str">
        <f>IF(SellAllowed="Yes",IF(AND(G1087 = "Yes", C1087&lt;E1087), "Yes", "No"),"No")</f>
        <v>No</v>
      </c>
      <c r="K1087" s="39">
        <f>IF(I1087 = "Yes", M1086/(C1087+CostBuy), IF(J1087 = "Yes", 0, K1086))</f>
        <v>125521.64934118443</v>
      </c>
      <c r="M1087" s="19">
        <f>IF(I1087 = "Yes", M1086-(C1087+CostBuy)*K1087, IF(J1087="Yes", M1086+(C1087-CostSell)*K1086, M1086+K1087*Rate))</f>
        <v>0</v>
      </c>
    </row>
    <row r="1088" spans="2:13" s="11" customFormat="1" x14ac:dyDescent="0.2">
      <c r="B1088" s="24">
        <v>1960.07</v>
      </c>
      <c r="C1088" s="25">
        <v>55.84</v>
      </c>
      <c r="D1088" s="40">
        <f t="shared" si="21"/>
        <v>56.173333333333325</v>
      </c>
      <c r="E1088" s="40">
        <f t="shared" si="22"/>
        <v>56.666250000000005</v>
      </c>
      <c r="F1088" s="12"/>
      <c r="G1088" s="18" t="str">
        <f t="shared" si="23"/>
        <v>Yes</v>
      </c>
      <c r="H1088" s="12"/>
      <c r="I1088" s="39" t="str">
        <f>IF(BuyAllowed="Yes",IF(AND(G1088 = "No", C1088&gt;D1088), "Yes", "No"),"No")</f>
        <v>No</v>
      </c>
      <c r="J1088" s="39" t="str">
        <f>IF(SellAllowed="Yes",IF(AND(G1088 = "Yes", C1088&lt;E1088), "Yes", "No"),"No")</f>
        <v>Yes</v>
      </c>
      <c r="K1088" s="39">
        <f>IF(I1088 = "Yes", M1087/(C1088+CostBuy), IF(J1088 = "Yes", 0, K1087))</f>
        <v>0</v>
      </c>
      <c r="M1088" s="19">
        <f>IF(I1088 = "Yes", M1087-(C1088+CostBuy)*K1088, IF(J1088="Yes", M1087+(C1088-CostSell)*K1087, M1087+K1088*Rate))</f>
        <v>7001597.6002512677</v>
      </c>
    </row>
    <row r="1089" spans="2:13" s="11" customFormat="1" x14ac:dyDescent="0.2">
      <c r="B1089" s="24">
        <v>1960.08</v>
      </c>
      <c r="C1089" s="25">
        <v>56.51</v>
      </c>
      <c r="D1089" s="40">
        <f t="shared" si="21"/>
        <v>55.808333333333337</v>
      </c>
      <c r="E1089" s="40">
        <f t="shared" si="22"/>
        <v>56.492500000000007</v>
      </c>
      <c r="F1089" s="12"/>
      <c r="G1089" s="18" t="str">
        <f t="shared" si="23"/>
        <v>No</v>
      </c>
      <c r="H1089" s="12"/>
      <c r="I1089" s="39" t="str">
        <f>IF(BuyAllowed="Yes",IF(AND(G1089 = "No", C1089&gt;D1089), "Yes", "No"),"No")</f>
        <v>Yes</v>
      </c>
      <c r="J1089" s="39" t="str">
        <f>IF(SellAllowed="Yes",IF(AND(G1089 = "Yes", C1089&lt;E1089), "Yes", "No"),"No")</f>
        <v>No</v>
      </c>
      <c r="K1089" s="39">
        <f>IF(I1089 = "Yes", M1088/(C1089+CostBuy), IF(J1089 = "Yes", 0, K1088))</f>
        <v>123834.41104087845</v>
      </c>
      <c r="M1089" s="19">
        <f>IF(I1089 = "Yes", M1088-(C1089+CostBuy)*K1089, IF(J1089="Yes", M1088+(C1089-CostSell)*K1088, M1088+K1089*Rate))</f>
        <v>0</v>
      </c>
    </row>
    <row r="1090" spans="2:13" s="11" customFormat="1" x14ac:dyDescent="0.2">
      <c r="B1090" s="24">
        <v>1960.09</v>
      </c>
      <c r="C1090" s="25">
        <v>54.81</v>
      </c>
      <c r="D1090" s="40">
        <f t="shared" si="21"/>
        <v>55.93</v>
      </c>
      <c r="E1090" s="40">
        <f t="shared" si="22"/>
        <v>56.173749999999998</v>
      </c>
      <c r="F1090" s="12"/>
      <c r="G1090" s="18" t="str">
        <f t="shared" si="23"/>
        <v>Yes</v>
      </c>
      <c r="H1090" s="12"/>
      <c r="I1090" s="39" t="str">
        <f>IF(BuyAllowed="Yes",IF(AND(G1090 = "No", C1090&gt;D1090), "Yes", "No"),"No")</f>
        <v>No</v>
      </c>
      <c r="J1090" s="39" t="str">
        <f>IF(SellAllowed="Yes",IF(AND(G1090 = "Yes", C1090&lt;E1090), "Yes", "No"),"No")</f>
        <v>Yes</v>
      </c>
      <c r="K1090" s="39">
        <f>IF(I1090 = "Yes", M1089/(C1090+CostBuy), IF(J1090 = "Yes", 0, K1089))</f>
        <v>0</v>
      </c>
      <c r="M1090" s="19">
        <f>IF(I1090 = "Yes", M1089-(C1090+CostBuy)*K1090, IF(J1090="Yes", M1089+(C1090-CostSell)*K1089, M1089+K1090*Rate))</f>
        <v>6779934.0044880947</v>
      </c>
    </row>
    <row r="1091" spans="2:13" s="11" customFormat="1" x14ac:dyDescent="0.2">
      <c r="B1091" s="24">
        <v>1960.1</v>
      </c>
      <c r="C1091" s="25">
        <v>53.73</v>
      </c>
      <c r="D1091" s="40">
        <f t="shared" si="21"/>
        <v>55.895000000000003</v>
      </c>
      <c r="E1091" s="40">
        <f t="shared" si="22"/>
        <v>55.771250000000002</v>
      </c>
      <c r="F1091" s="12"/>
      <c r="G1091" s="18" t="str">
        <f t="shared" si="23"/>
        <v>No</v>
      </c>
      <c r="H1091" s="12"/>
      <c r="I1091" s="39" t="str">
        <f>IF(BuyAllowed="Yes",IF(AND(G1091 = "No", C1091&gt;D1091), "Yes", "No"),"No")</f>
        <v>No</v>
      </c>
      <c r="J1091" s="39" t="str">
        <f>IF(SellAllowed="Yes",IF(AND(G1091 = "Yes", C1091&lt;E1091), "Yes", "No"),"No")</f>
        <v>No</v>
      </c>
      <c r="K1091" s="39">
        <f>IF(I1091 = "Yes", M1090/(C1091+CostBuy), IF(J1091 = "Yes", 0, K1090))</f>
        <v>0</v>
      </c>
      <c r="M1091" s="19">
        <f>IF(I1091 = "Yes", M1090-(C1091+CostBuy)*K1091, IF(J1091="Yes", M1090+(C1091-CostSell)*K1090, M1090+K1091*Rate))</f>
        <v>6779934.0044880947</v>
      </c>
    </row>
    <row r="1092" spans="2:13" s="11" customFormat="1" x14ac:dyDescent="0.2">
      <c r="B1092" s="24">
        <v>1960.11</v>
      </c>
      <c r="C1092" s="25">
        <v>55.47</v>
      </c>
      <c r="D1092" s="40">
        <f t="shared" si="21"/>
        <v>55.561666666666667</v>
      </c>
      <c r="E1092" s="40">
        <f t="shared" si="22"/>
        <v>55.515000000000001</v>
      </c>
      <c r="F1092" s="12"/>
      <c r="G1092" s="18" t="str">
        <f t="shared" si="23"/>
        <v>No</v>
      </c>
      <c r="H1092" s="12"/>
      <c r="I1092" s="39" t="str">
        <f>IF(BuyAllowed="Yes",IF(AND(G1092 = "No", C1092&gt;D1092), "Yes", "No"),"No")</f>
        <v>No</v>
      </c>
      <c r="J1092" s="39" t="str">
        <f>IF(SellAllowed="Yes",IF(AND(G1092 = "Yes", C1092&lt;E1092), "Yes", "No"),"No")</f>
        <v>No</v>
      </c>
      <c r="K1092" s="39">
        <f>IF(I1092 = "Yes", M1091/(C1092+CostBuy), IF(J1092 = "Yes", 0, K1091))</f>
        <v>0</v>
      </c>
      <c r="M1092" s="19">
        <f>IF(I1092 = "Yes", M1091-(C1092+CostBuy)*K1092, IF(J1092="Yes", M1091+(C1092-CostSell)*K1091, M1091+K1092*Rate))</f>
        <v>6779934.0044880947</v>
      </c>
    </row>
    <row r="1093" spans="2:13" s="11" customFormat="1" x14ac:dyDescent="0.2">
      <c r="B1093" s="24">
        <v>1960.12</v>
      </c>
      <c r="C1093" s="25">
        <v>56.8</v>
      </c>
      <c r="D1093" s="40">
        <f t="shared" si="21"/>
        <v>55.603333333333332</v>
      </c>
      <c r="E1093" s="40">
        <f t="shared" si="22"/>
        <v>55.571250000000006</v>
      </c>
      <c r="F1093" s="12"/>
      <c r="G1093" s="18" t="str">
        <f t="shared" si="23"/>
        <v>No</v>
      </c>
      <c r="H1093" s="12"/>
      <c r="I1093" s="39" t="str">
        <f>IF(BuyAllowed="Yes",IF(AND(G1093 = "No", C1093&gt;D1093), "Yes", "No"),"No")</f>
        <v>Yes</v>
      </c>
      <c r="J1093" s="39" t="str">
        <f>IF(SellAllowed="Yes",IF(AND(G1093 = "Yes", C1093&lt;E1093), "Yes", "No"),"No")</f>
        <v>No</v>
      </c>
      <c r="K1093" s="39">
        <f>IF(I1093 = "Yes", M1092/(C1093+CostBuy), IF(J1093 = "Yes", 0, K1092))</f>
        <v>119302.02365806959</v>
      </c>
      <c r="M1093" s="19">
        <f>IF(I1093 = "Yes", M1092-(C1093+CostBuy)*K1093, IF(J1093="Yes", M1092+(C1093-CostSell)*K1092, M1092+K1093*Rate))</f>
        <v>0</v>
      </c>
    </row>
    <row r="1094" spans="2:13" s="11" customFormat="1" x14ac:dyDescent="0.2">
      <c r="B1094" s="24">
        <v>1961.01</v>
      </c>
      <c r="C1094" s="25">
        <v>59.72</v>
      </c>
      <c r="D1094" s="40">
        <f t="shared" si="21"/>
        <v>55.526666666666671</v>
      </c>
      <c r="E1094" s="40">
        <f t="shared" si="22"/>
        <v>55.705000000000005</v>
      </c>
      <c r="F1094" s="12"/>
      <c r="G1094" s="18" t="str">
        <f t="shared" si="23"/>
        <v>Yes</v>
      </c>
      <c r="H1094" s="12"/>
      <c r="I1094" s="39" t="str">
        <f>IF(BuyAllowed="Yes",IF(AND(G1094 = "No", C1094&gt;D1094), "Yes", "No"),"No")</f>
        <v>No</v>
      </c>
      <c r="J1094" s="39" t="str">
        <f>IF(SellAllowed="Yes",IF(AND(G1094 = "Yes", C1094&lt;E1094), "Yes", "No"),"No")</f>
        <v>No</v>
      </c>
      <c r="K1094" s="39">
        <f>IF(I1094 = "Yes", M1093/(C1094+CostBuy), IF(J1094 = "Yes", 0, K1093))</f>
        <v>119302.02365806959</v>
      </c>
      <c r="M1094" s="19">
        <f>IF(I1094 = "Yes", M1093-(C1094+CostBuy)*K1094, IF(J1094="Yes", M1093+(C1094-CostSell)*K1093, M1093+K1094*Rate))</f>
        <v>5965.1011829034796</v>
      </c>
    </row>
    <row r="1095" spans="2:13" s="11" customFormat="1" x14ac:dyDescent="0.2">
      <c r="B1095" s="24">
        <v>1961.02</v>
      </c>
      <c r="C1095" s="25">
        <v>62.17</v>
      </c>
      <c r="D1095" s="40">
        <f t="shared" si="21"/>
        <v>56.173333333333325</v>
      </c>
      <c r="E1095" s="40">
        <f t="shared" si="22"/>
        <v>56.267499999999998</v>
      </c>
      <c r="F1095" s="12"/>
      <c r="G1095" s="18" t="str">
        <f t="shared" si="23"/>
        <v>Yes</v>
      </c>
      <c r="H1095" s="12"/>
      <c r="I1095" s="39" t="str">
        <f>IF(BuyAllowed="Yes",IF(AND(G1095 = "No", C1095&gt;D1095), "Yes", "No"),"No")</f>
        <v>No</v>
      </c>
      <c r="J1095" s="39" t="str">
        <f>IF(SellAllowed="Yes",IF(AND(G1095 = "Yes", C1095&lt;E1095), "Yes", "No"),"No")</f>
        <v>No</v>
      </c>
      <c r="K1095" s="39">
        <f>IF(I1095 = "Yes", M1094/(C1095+CostBuy), IF(J1095 = "Yes", 0, K1094))</f>
        <v>119302.02365806959</v>
      </c>
      <c r="M1095" s="19">
        <f>IF(I1095 = "Yes", M1094-(C1095+CostBuy)*K1095, IF(J1095="Yes", M1094+(C1095-CostSell)*K1094, M1094+K1095*Rate))</f>
        <v>11930.202365806959</v>
      </c>
    </row>
    <row r="1096" spans="2:13" s="11" customFormat="1" x14ac:dyDescent="0.2">
      <c r="B1096" s="24">
        <v>1961.03</v>
      </c>
      <c r="C1096" s="25">
        <v>64.12</v>
      </c>
      <c r="D1096" s="40">
        <f t="shared" si="21"/>
        <v>57.116666666666667</v>
      </c>
      <c r="E1096" s="40">
        <f t="shared" si="22"/>
        <v>56.881250000000001</v>
      </c>
      <c r="F1096" s="12"/>
      <c r="G1096" s="18" t="str">
        <f t="shared" si="23"/>
        <v>Yes</v>
      </c>
      <c r="H1096" s="12"/>
      <c r="I1096" s="39" t="str">
        <f>IF(BuyAllowed="Yes",IF(AND(G1096 = "No", C1096&gt;D1096), "Yes", "No"),"No")</f>
        <v>No</v>
      </c>
      <c r="J1096" s="39" t="str">
        <f>IF(SellAllowed="Yes",IF(AND(G1096 = "Yes", C1096&lt;E1096), "Yes", "No"),"No")</f>
        <v>No</v>
      </c>
      <c r="K1096" s="39">
        <f>IF(I1096 = "Yes", M1095/(C1096+CostBuy), IF(J1096 = "Yes", 0, K1095))</f>
        <v>119302.02365806959</v>
      </c>
      <c r="M1096" s="19">
        <f>IF(I1096 = "Yes", M1095-(C1096+CostBuy)*K1096, IF(J1096="Yes", M1095+(C1096-CostSell)*K1095, M1095+K1096*Rate))</f>
        <v>17895.303548710439</v>
      </c>
    </row>
    <row r="1097" spans="2:13" s="11" customFormat="1" x14ac:dyDescent="0.2">
      <c r="B1097" s="24">
        <v>1961.04</v>
      </c>
      <c r="C1097" s="25">
        <v>65.83</v>
      </c>
      <c r="D1097" s="40">
        <f t="shared" si="21"/>
        <v>58.668333333333329</v>
      </c>
      <c r="E1097" s="40">
        <f t="shared" si="22"/>
        <v>57.916249999999998</v>
      </c>
      <c r="F1097" s="12"/>
      <c r="G1097" s="18" t="str">
        <f t="shared" si="23"/>
        <v>Yes</v>
      </c>
      <c r="H1097" s="12"/>
      <c r="I1097" s="39" t="str">
        <f>IF(BuyAllowed="Yes",IF(AND(G1097 = "No", C1097&gt;D1097), "Yes", "No"),"No")</f>
        <v>No</v>
      </c>
      <c r="J1097" s="39" t="str">
        <f>IF(SellAllowed="Yes",IF(AND(G1097 = "Yes", C1097&lt;E1097), "Yes", "No"),"No")</f>
        <v>No</v>
      </c>
      <c r="K1097" s="39">
        <f>IF(I1097 = "Yes", M1096/(C1097+CostBuy), IF(J1097 = "Yes", 0, K1096))</f>
        <v>119302.02365806959</v>
      </c>
      <c r="M1097" s="19">
        <f>IF(I1097 = "Yes", M1096-(C1097+CostBuy)*K1097, IF(J1097="Yes", M1096+(C1097-CostSell)*K1096, M1096+K1097*Rate))</f>
        <v>23860.404731613919</v>
      </c>
    </row>
    <row r="1098" spans="2:13" s="11" customFormat="1" x14ac:dyDescent="0.2">
      <c r="B1098" s="24">
        <v>1961.05</v>
      </c>
      <c r="C1098" s="25">
        <v>66.5</v>
      </c>
      <c r="D1098" s="40">
        <f t="shared" si="21"/>
        <v>60.685000000000002</v>
      </c>
      <c r="E1098" s="40">
        <f t="shared" si="22"/>
        <v>59.081249999999997</v>
      </c>
      <c r="F1098" s="12"/>
      <c r="G1098" s="18" t="str">
        <f t="shared" si="23"/>
        <v>Yes</v>
      </c>
      <c r="H1098" s="12"/>
      <c r="I1098" s="39" t="str">
        <f>IF(BuyAllowed="Yes",IF(AND(G1098 = "No", C1098&gt;D1098), "Yes", "No"),"No")</f>
        <v>No</v>
      </c>
      <c r="J1098" s="39" t="str">
        <f>IF(SellAllowed="Yes",IF(AND(G1098 = "Yes", C1098&lt;E1098), "Yes", "No"),"No")</f>
        <v>No</v>
      </c>
      <c r="K1098" s="39">
        <f>IF(I1098 = "Yes", M1097/(C1098+CostBuy), IF(J1098 = "Yes", 0, K1097))</f>
        <v>119302.02365806959</v>
      </c>
      <c r="M1098" s="19">
        <f>IF(I1098 = "Yes", M1097-(C1098+CostBuy)*K1098, IF(J1098="Yes", M1097+(C1098-CostSell)*K1097, M1097+K1098*Rate))</f>
        <v>29825.505914517398</v>
      </c>
    </row>
    <row r="1099" spans="2:13" s="11" customFormat="1" x14ac:dyDescent="0.2">
      <c r="B1099" s="24">
        <v>1961.06</v>
      </c>
      <c r="C1099" s="25">
        <v>65.62</v>
      </c>
      <c r="D1099" s="40">
        <f t="shared" si="21"/>
        <v>62.523333333333333</v>
      </c>
      <c r="E1099" s="40">
        <f t="shared" si="22"/>
        <v>60.542499999999997</v>
      </c>
      <c r="F1099" s="12"/>
      <c r="G1099" s="18" t="str">
        <f t="shared" si="23"/>
        <v>Yes</v>
      </c>
      <c r="H1099" s="12"/>
      <c r="I1099" s="39" t="str">
        <f>IF(BuyAllowed="Yes",IF(AND(G1099 = "No", C1099&gt;D1099), "Yes", "No"),"No")</f>
        <v>No</v>
      </c>
      <c r="J1099" s="39" t="str">
        <f>IF(SellAllowed="Yes",IF(AND(G1099 = "Yes", C1099&lt;E1099), "Yes", "No"),"No")</f>
        <v>No</v>
      </c>
      <c r="K1099" s="39">
        <f>IF(I1099 = "Yes", M1098/(C1099+CostBuy), IF(J1099 = "Yes", 0, K1098))</f>
        <v>119302.02365806959</v>
      </c>
      <c r="M1099" s="19">
        <f>IF(I1099 = "Yes", M1098-(C1099+CostBuy)*K1099, IF(J1099="Yes", M1098+(C1099-CostSell)*K1098, M1098+K1099*Rate))</f>
        <v>35790.607097420878</v>
      </c>
    </row>
    <row r="1100" spans="2:13" s="11" customFormat="1" x14ac:dyDescent="0.2">
      <c r="B1100" s="24">
        <v>1961.07</v>
      </c>
      <c r="C1100" s="25">
        <v>65.44</v>
      </c>
      <c r="D1100" s="40">
        <f t="shared" si="21"/>
        <v>63.993333333333332</v>
      </c>
      <c r="E1100" s="40">
        <f t="shared" si="22"/>
        <v>62.028750000000002</v>
      </c>
      <c r="F1100" s="12"/>
      <c r="G1100" s="18" t="str">
        <f t="shared" si="23"/>
        <v>Yes</v>
      </c>
      <c r="H1100" s="12"/>
      <c r="I1100" s="39" t="str">
        <f>IF(BuyAllowed="Yes",IF(AND(G1100 = "No", C1100&gt;D1100), "Yes", "No"),"No")</f>
        <v>No</v>
      </c>
      <c r="J1100" s="39" t="str">
        <f>IF(SellAllowed="Yes",IF(AND(G1100 = "Yes", C1100&lt;E1100), "Yes", "No"),"No")</f>
        <v>No</v>
      </c>
      <c r="K1100" s="39">
        <f>IF(I1100 = "Yes", M1099/(C1100+CostBuy), IF(J1100 = "Yes", 0, K1099))</f>
        <v>119302.02365806959</v>
      </c>
      <c r="M1100" s="19">
        <f>IF(I1100 = "Yes", M1099-(C1100+CostBuy)*K1100, IF(J1100="Yes", M1099+(C1100-CostSell)*K1099, M1099+K1100*Rate))</f>
        <v>41755.708280324354</v>
      </c>
    </row>
    <row r="1101" spans="2:13" s="11" customFormat="1" x14ac:dyDescent="0.2">
      <c r="B1101" s="24">
        <v>1961.08</v>
      </c>
      <c r="C1101" s="25">
        <v>67.790000000000006</v>
      </c>
      <c r="D1101" s="40">
        <f t="shared" si="21"/>
        <v>64.946666666666673</v>
      </c>
      <c r="E1101" s="40">
        <f t="shared" si="22"/>
        <v>63.274999999999999</v>
      </c>
      <c r="F1101" s="12"/>
      <c r="G1101" s="18" t="str">
        <f t="shared" si="23"/>
        <v>Yes</v>
      </c>
      <c r="H1101" s="12"/>
      <c r="I1101" s="39" t="str">
        <f>IF(BuyAllowed="Yes",IF(AND(G1101 = "No", C1101&gt;D1101), "Yes", "No"),"No")</f>
        <v>No</v>
      </c>
      <c r="J1101" s="39" t="str">
        <f>IF(SellAllowed="Yes",IF(AND(G1101 = "Yes", C1101&lt;E1101), "Yes", "No"),"No")</f>
        <v>No</v>
      </c>
      <c r="K1101" s="39">
        <f>IF(I1101 = "Yes", M1100/(C1101+CostBuy), IF(J1101 = "Yes", 0, K1100))</f>
        <v>119302.02365806959</v>
      </c>
      <c r="M1101" s="19">
        <f>IF(I1101 = "Yes", M1100-(C1101+CostBuy)*K1101, IF(J1101="Yes", M1100+(C1101-CostSell)*K1100, M1100+K1101*Rate))</f>
        <v>47720.809463227837</v>
      </c>
    </row>
    <row r="1102" spans="2:13" s="11" customFormat="1" x14ac:dyDescent="0.2">
      <c r="B1102" s="24">
        <v>1961.09</v>
      </c>
      <c r="C1102" s="25">
        <v>67.260000000000005</v>
      </c>
      <c r="D1102" s="40">
        <f t="shared" si="21"/>
        <v>65.88333333333334</v>
      </c>
      <c r="E1102" s="40">
        <f t="shared" si="22"/>
        <v>64.648749999999993</v>
      </c>
      <c r="F1102" s="12"/>
      <c r="G1102" s="18" t="str">
        <f t="shared" si="23"/>
        <v>Yes</v>
      </c>
      <c r="H1102" s="12"/>
      <c r="I1102" s="39" t="str">
        <f>IF(BuyAllowed="Yes",IF(AND(G1102 = "No", C1102&gt;D1102), "Yes", "No"),"No")</f>
        <v>No</v>
      </c>
      <c r="J1102" s="39" t="str">
        <f>IF(SellAllowed="Yes",IF(AND(G1102 = "Yes", C1102&lt;E1102), "Yes", "No"),"No")</f>
        <v>No</v>
      </c>
      <c r="K1102" s="39">
        <f>IF(I1102 = "Yes", M1101/(C1102+CostBuy), IF(J1102 = "Yes", 0, K1101))</f>
        <v>119302.02365806959</v>
      </c>
      <c r="M1102" s="19">
        <f>IF(I1102 = "Yes", M1101-(C1102+CostBuy)*K1102, IF(J1102="Yes", M1101+(C1102-CostSell)*K1101, M1101+K1102*Rate))</f>
        <v>53685.91064613132</v>
      </c>
    </row>
    <row r="1103" spans="2:13" s="11" customFormat="1" x14ac:dyDescent="0.2">
      <c r="B1103" s="24">
        <v>1961.1</v>
      </c>
      <c r="C1103" s="25">
        <v>68</v>
      </c>
      <c r="D1103" s="40">
        <f t="shared" si="21"/>
        <v>66.406666666666666</v>
      </c>
      <c r="E1103" s="40">
        <f t="shared" si="22"/>
        <v>65.591250000000002</v>
      </c>
      <c r="F1103" s="12"/>
      <c r="G1103" s="18" t="str">
        <f t="shared" si="23"/>
        <v>Yes</v>
      </c>
      <c r="H1103" s="12"/>
      <c r="I1103" s="39" t="str">
        <f>IF(BuyAllowed="Yes",IF(AND(G1103 = "No", C1103&gt;D1103), "Yes", "No"),"No")</f>
        <v>No</v>
      </c>
      <c r="J1103" s="39" t="str">
        <f>IF(SellAllowed="Yes",IF(AND(G1103 = "Yes", C1103&lt;E1103), "Yes", "No"),"No")</f>
        <v>No</v>
      </c>
      <c r="K1103" s="39">
        <f>IF(I1103 = "Yes", M1102/(C1103+CostBuy), IF(J1103 = "Yes", 0, K1102))</f>
        <v>119302.02365806959</v>
      </c>
      <c r="M1103" s="19">
        <f>IF(I1103 = "Yes", M1102-(C1103+CostBuy)*K1103, IF(J1103="Yes", M1102+(C1103-CostSell)*K1102, M1102+K1103*Rate))</f>
        <v>59651.011829034804</v>
      </c>
    </row>
    <row r="1104" spans="2:13" s="11" customFormat="1" x14ac:dyDescent="0.2">
      <c r="B1104" s="24">
        <v>1961.11</v>
      </c>
      <c r="C1104" s="25">
        <v>71.08</v>
      </c>
      <c r="D1104" s="40">
        <f t="shared" si="21"/>
        <v>66.768333333333331</v>
      </c>
      <c r="E1104" s="40">
        <f t="shared" si="22"/>
        <v>66.319999999999993</v>
      </c>
      <c r="F1104" s="12"/>
      <c r="G1104" s="18" t="str">
        <f t="shared" si="23"/>
        <v>Yes</v>
      </c>
      <c r="H1104" s="12"/>
      <c r="I1104" s="39" t="str">
        <f>IF(BuyAllowed="Yes",IF(AND(G1104 = "No", C1104&gt;D1104), "Yes", "No"),"No")</f>
        <v>No</v>
      </c>
      <c r="J1104" s="39" t="str">
        <f>IF(SellAllowed="Yes",IF(AND(G1104 = "Yes", C1104&lt;E1104), "Yes", "No"),"No")</f>
        <v>No</v>
      </c>
      <c r="K1104" s="39">
        <f>IF(I1104 = "Yes", M1103/(C1104+CostBuy), IF(J1104 = "Yes", 0, K1103))</f>
        <v>119302.02365806959</v>
      </c>
      <c r="M1104" s="19">
        <f>IF(I1104 = "Yes", M1103-(C1104+CostBuy)*K1104, IF(J1104="Yes", M1103+(C1104-CostSell)*K1103, M1103+K1104*Rate))</f>
        <v>65616.113011938287</v>
      </c>
    </row>
    <row r="1105" spans="2:13" s="11" customFormat="1" x14ac:dyDescent="0.2">
      <c r="B1105" s="24">
        <v>1961.12</v>
      </c>
      <c r="C1105" s="25">
        <v>71.739999999999995</v>
      </c>
      <c r="D1105" s="40">
        <f t="shared" si="21"/>
        <v>67.531666666666666</v>
      </c>
      <c r="E1105" s="40">
        <f t="shared" si="22"/>
        <v>67.19</v>
      </c>
      <c r="F1105" s="12"/>
      <c r="G1105" s="18" t="str">
        <f t="shared" si="23"/>
        <v>Yes</v>
      </c>
      <c r="H1105" s="12"/>
      <c r="I1105" s="39" t="str">
        <f>IF(BuyAllowed="Yes",IF(AND(G1105 = "No", C1105&gt;D1105), "Yes", "No"),"No")</f>
        <v>No</v>
      </c>
      <c r="J1105" s="39" t="str">
        <f>IF(SellAllowed="Yes",IF(AND(G1105 = "Yes", C1105&lt;E1105), "Yes", "No"),"No")</f>
        <v>No</v>
      </c>
      <c r="K1105" s="39">
        <f>IF(I1105 = "Yes", M1104/(C1105+CostBuy), IF(J1105 = "Yes", 0, K1104))</f>
        <v>119302.02365806959</v>
      </c>
      <c r="M1105" s="19">
        <f>IF(I1105 = "Yes", M1104-(C1105+CostBuy)*K1105, IF(J1105="Yes", M1104+(C1105-CostSell)*K1104, M1104+K1105*Rate))</f>
        <v>71581.21419484177</v>
      </c>
    </row>
    <row r="1106" spans="2:13" s="11" customFormat="1" x14ac:dyDescent="0.2">
      <c r="B1106" s="24">
        <v>1962.01</v>
      </c>
      <c r="C1106" s="25">
        <v>69.069999999999993</v>
      </c>
      <c r="D1106" s="40">
        <f t="shared" si="21"/>
        <v>68.551666666666662</v>
      </c>
      <c r="E1106" s="40">
        <f t="shared" si="22"/>
        <v>67.928749999999994</v>
      </c>
      <c r="F1106" s="12"/>
      <c r="G1106" s="18" t="str">
        <f t="shared" si="23"/>
        <v>Yes</v>
      </c>
      <c r="H1106" s="12"/>
      <c r="I1106" s="39" t="str">
        <f>IF(BuyAllowed="Yes",IF(AND(G1106 = "No", C1106&gt;D1106), "Yes", "No"),"No")</f>
        <v>No</v>
      </c>
      <c r="J1106" s="39" t="str">
        <f>IF(SellAllowed="Yes",IF(AND(G1106 = "Yes", C1106&lt;E1106), "Yes", "No"),"No")</f>
        <v>No</v>
      </c>
      <c r="K1106" s="39">
        <f>IF(I1106 = "Yes", M1105/(C1106+CostBuy), IF(J1106 = "Yes", 0, K1105))</f>
        <v>119302.02365806959</v>
      </c>
      <c r="M1106" s="19">
        <f>IF(I1106 = "Yes", M1105-(C1106+CostBuy)*K1106, IF(J1106="Yes", M1105+(C1106-CostSell)*K1105, M1105+K1106*Rate))</f>
        <v>77546.315377745253</v>
      </c>
    </row>
    <row r="1107" spans="2:13" s="11" customFormat="1" x14ac:dyDescent="0.2">
      <c r="B1107" s="24">
        <v>1962.02</v>
      </c>
      <c r="C1107" s="25">
        <v>70.22</v>
      </c>
      <c r="D1107" s="40">
        <f t="shared" si="21"/>
        <v>69.156666666666666</v>
      </c>
      <c r="E1107" s="40">
        <f t="shared" si="22"/>
        <v>68.25</v>
      </c>
      <c r="F1107" s="12"/>
      <c r="G1107" s="18" t="str">
        <f t="shared" si="23"/>
        <v>Yes</v>
      </c>
      <c r="H1107" s="12"/>
      <c r="I1107" s="39" t="str">
        <f>IF(BuyAllowed="Yes",IF(AND(G1107 = "No", C1107&gt;D1107), "Yes", "No"),"No")</f>
        <v>No</v>
      </c>
      <c r="J1107" s="39" t="str">
        <f>IF(SellAllowed="Yes",IF(AND(G1107 = "Yes", C1107&lt;E1107), "Yes", "No"),"No")</f>
        <v>No</v>
      </c>
      <c r="K1107" s="39">
        <f>IF(I1107 = "Yes", M1106/(C1107+CostBuy), IF(J1107 = "Yes", 0, K1106))</f>
        <v>119302.02365806959</v>
      </c>
      <c r="M1107" s="19">
        <f>IF(I1107 = "Yes", M1106-(C1107+CostBuy)*K1107, IF(J1107="Yes", M1106+(C1107-CostSell)*K1106, M1106+K1107*Rate))</f>
        <v>83511.416560648737</v>
      </c>
    </row>
    <row r="1108" spans="2:13" s="11" customFormat="1" x14ac:dyDescent="0.2">
      <c r="B1108" s="24">
        <v>1962.03</v>
      </c>
      <c r="C1108" s="25">
        <v>70.290000000000006</v>
      </c>
      <c r="D1108" s="40">
        <f t="shared" si="21"/>
        <v>69.561666666666667</v>
      </c>
      <c r="E1108" s="40">
        <f t="shared" si="22"/>
        <v>68.825000000000003</v>
      </c>
      <c r="F1108" s="12"/>
      <c r="G1108" s="18" t="str">
        <f t="shared" si="23"/>
        <v>Yes</v>
      </c>
      <c r="H1108" s="12"/>
      <c r="I1108" s="39" t="str">
        <f>IF(BuyAllowed="Yes",IF(AND(G1108 = "No", C1108&gt;D1108), "Yes", "No"),"No")</f>
        <v>No</v>
      </c>
      <c r="J1108" s="39" t="str">
        <f>IF(SellAllowed="Yes",IF(AND(G1108 = "Yes", C1108&lt;E1108), "Yes", "No"),"No")</f>
        <v>No</v>
      </c>
      <c r="K1108" s="39">
        <f>IF(I1108 = "Yes", M1107/(C1108+CostBuy), IF(J1108 = "Yes", 0, K1107))</f>
        <v>119302.02365806959</v>
      </c>
      <c r="M1108" s="19">
        <f>IF(I1108 = "Yes", M1107-(C1108+CostBuy)*K1108, IF(J1108="Yes", M1107+(C1108-CostSell)*K1107, M1107+K1108*Rate))</f>
        <v>89476.51774355222</v>
      </c>
    </row>
    <row r="1109" spans="2:13" s="11" customFormat="1" x14ac:dyDescent="0.2">
      <c r="B1109" s="24">
        <v>1962.04</v>
      </c>
      <c r="C1109" s="25">
        <v>68.05</v>
      </c>
      <c r="D1109" s="40">
        <f t="shared" si="21"/>
        <v>70.066666666666677</v>
      </c>
      <c r="E1109" s="40">
        <f t="shared" si="22"/>
        <v>69.431249999999991</v>
      </c>
      <c r="F1109" s="12"/>
      <c r="G1109" s="18" t="str">
        <f t="shared" si="23"/>
        <v>Yes</v>
      </c>
      <c r="H1109" s="12"/>
      <c r="I1109" s="39" t="str">
        <f>IF(BuyAllowed="Yes",IF(AND(G1109 = "No", C1109&gt;D1109), "Yes", "No"),"No")</f>
        <v>No</v>
      </c>
      <c r="J1109" s="39" t="str">
        <f>IF(SellAllowed="Yes",IF(AND(G1109 = "Yes", C1109&lt;E1109), "Yes", "No"),"No")</f>
        <v>Yes</v>
      </c>
      <c r="K1109" s="39">
        <f>IF(I1109 = "Yes", M1108/(C1109+CostBuy), IF(J1109 = "Yes", 0, K1108))</f>
        <v>0</v>
      </c>
      <c r="M1109" s="19">
        <f>IF(I1109 = "Yes", M1108-(C1109+CostBuy)*K1109, IF(J1109="Yes", M1108+(C1109-CostSell)*K1108, M1108+K1109*Rate))</f>
        <v>8200821.1062557027</v>
      </c>
    </row>
    <row r="1110" spans="2:13" s="11" customFormat="1" x14ac:dyDescent="0.2">
      <c r="B1110" s="24">
        <v>1962.05</v>
      </c>
      <c r="C1110" s="25">
        <v>62.99</v>
      </c>
      <c r="D1110" s="40">
        <f t="shared" si="21"/>
        <v>70.075000000000003</v>
      </c>
      <c r="E1110" s="40">
        <f t="shared" si="22"/>
        <v>69.463750000000005</v>
      </c>
      <c r="F1110" s="12"/>
      <c r="G1110" s="18" t="str">
        <f t="shared" si="23"/>
        <v>No</v>
      </c>
      <c r="H1110" s="12"/>
      <c r="I1110" s="39" t="str">
        <f>IF(BuyAllowed="Yes",IF(AND(G1110 = "No", C1110&gt;D1110), "Yes", "No"),"No")</f>
        <v>No</v>
      </c>
      <c r="J1110" s="39" t="str">
        <f>IF(SellAllowed="Yes",IF(AND(G1110 = "Yes", C1110&lt;E1110), "Yes", "No"),"No")</f>
        <v>No</v>
      </c>
      <c r="K1110" s="39">
        <f>IF(I1110 = "Yes", M1109/(C1110+CostBuy), IF(J1110 = "Yes", 0, K1109))</f>
        <v>0</v>
      </c>
      <c r="M1110" s="19">
        <f>IF(I1110 = "Yes", M1109-(C1110+CostBuy)*K1110, IF(J1110="Yes", M1109+(C1110-CostSell)*K1109, M1109+K1110*Rate))</f>
        <v>8200821.1062557027</v>
      </c>
    </row>
    <row r="1111" spans="2:13" s="11" customFormat="1" x14ac:dyDescent="0.2">
      <c r="B1111" s="24">
        <v>1962.06</v>
      </c>
      <c r="C1111" s="25">
        <v>55.63</v>
      </c>
      <c r="D1111" s="40">
        <f t="shared" si="21"/>
        <v>68.726666666666674</v>
      </c>
      <c r="E1111" s="40">
        <f t="shared" si="22"/>
        <v>68.930000000000007</v>
      </c>
      <c r="F1111" s="12"/>
      <c r="G1111" s="18" t="str">
        <f t="shared" si="23"/>
        <v>No</v>
      </c>
      <c r="H1111" s="12"/>
      <c r="I1111" s="39" t="str">
        <f>IF(BuyAllowed="Yes",IF(AND(G1111 = "No", C1111&gt;D1111), "Yes", "No"),"No")</f>
        <v>No</v>
      </c>
      <c r="J1111" s="39" t="str">
        <f>IF(SellAllowed="Yes",IF(AND(G1111 = "Yes", C1111&lt;E1111), "Yes", "No"),"No")</f>
        <v>No</v>
      </c>
      <c r="K1111" s="39">
        <f>IF(I1111 = "Yes", M1110/(C1111+CostBuy), IF(J1111 = "Yes", 0, K1110))</f>
        <v>0</v>
      </c>
      <c r="M1111" s="19">
        <f>IF(I1111 = "Yes", M1110-(C1111+CostBuy)*K1111, IF(J1111="Yes", M1110+(C1111-CostSell)*K1110, M1110+K1111*Rate))</f>
        <v>8200821.1062557027</v>
      </c>
    </row>
    <row r="1112" spans="2:13" s="11" customFormat="1" x14ac:dyDescent="0.2">
      <c r="B1112" s="24">
        <v>1962.07</v>
      </c>
      <c r="C1112" s="25">
        <v>56.97</v>
      </c>
      <c r="D1112" s="40">
        <f t="shared" si="21"/>
        <v>66.041666666666671</v>
      </c>
      <c r="E1112" s="40">
        <f t="shared" si="22"/>
        <v>67.383750000000006</v>
      </c>
      <c r="F1112" s="12"/>
      <c r="G1112" s="18" t="str">
        <f t="shared" si="23"/>
        <v>No</v>
      </c>
      <c r="H1112" s="12"/>
      <c r="I1112" s="39" t="str">
        <f>IF(BuyAllowed="Yes",IF(AND(G1112 = "No", C1112&gt;D1112), "Yes", "No"),"No")</f>
        <v>No</v>
      </c>
      <c r="J1112" s="39" t="str">
        <f>IF(SellAllowed="Yes",IF(AND(G1112 = "Yes", C1112&lt;E1112), "Yes", "No"),"No")</f>
        <v>No</v>
      </c>
      <c r="K1112" s="39">
        <f>IF(I1112 = "Yes", M1111/(C1112+CostBuy), IF(J1112 = "Yes", 0, K1111))</f>
        <v>0</v>
      </c>
      <c r="M1112" s="19">
        <f>IF(I1112 = "Yes", M1111-(C1112+CostBuy)*K1112, IF(J1112="Yes", M1111+(C1112-CostSell)*K1111, M1111+K1112*Rate))</f>
        <v>8200821.1062557027</v>
      </c>
    </row>
    <row r="1113" spans="2:13" s="11" customFormat="1" x14ac:dyDescent="0.2">
      <c r="B1113" s="24">
        <v>1962.08</v>
      </c>
      <c r="C1113" s="25">
        <v>58.52</v>
      </c>
      <c r="D1113" s="40">
        <f t="shared" si="21"/>
        <v>64.024999999999991</v>
      </c>
      <c r="E1113" s="40">
        <f t="shared" si="22"/>
        <v>65.62</v>
      </c>
      <c r="F1113" s="12"/>
      <c r="G1113" s="18" t="str">
        <f t="shared" si="23"/>
        <v>No</v>
      </c>
      <c r="H1113" s="12"/>
      <c r="I1113" s="39" t="str">
        <f>IF(BuyAllowed="Yes",IF(AND(G1113 = "No", C1113&gt;D1113), "Yes", "No"),"No")</f>
        <v>No</v>
      </c>
      <c r="J1113" s="39" t="str">
        <f>IF(SellAllowed="Yes",IF(AND(G1113 = "Yes", C1113&lt;E1113), "Yes", "No"),"No")</f>
        <v>No</v>
      </c>
      <c r="K1113" s="39">
        <f>IF(I1113 = "Yes", M1112/(C1113+CostBuy), IF(J1113 = "Yes", 0, K1112))</f>
        <v>0</v>
      </c>
      <c r="M1113" s="19">
        <f>IF(I1113 = "Yes", M1112-(C1113+CostBuy)*K1113, IF(J1113="Yes", M1112+(C1113-CostSell)*K1112, M1112+K1113*Rate))</f>
        <v>8200821.1062557027</v>
      </c>
    </row>
    <row r="1114" spans="2:13" s="11" customFormat="1" x14ac:dyDescent="0.2">
      <c r="B1114" s="24">
        <v>1962.09</v>
      </c>
      <c r="C1114" s="25">
        <v>58</v>
      </c>
      <c r="D1114" s="40">
        <f t="shared" si="21"/>
        <v>62.07500000000001</v>
      </c>
      <c r="E1114" s="40">
        <f t="shared" si="22"/>
        <v>63.967500000000001</v>
      </c>
      <c r="F1114" s="12"/>
      <c r="G1114" s="18" t="str">
        <f t="shared" si="23"/>
        <v>No</v>
      </c>
      <c r="H1114" s="12"/>
      <c r="I1114" s="39" t="str">
        <f>IF(BuyAllowed="Yes",IF(AND(G1114 = "No", C1114&gt;D1114), "Yes", "No"),"No")</f>
        <v>No</v>
      </c>
      <c r="J1114" s="39" t="str">
        <f>IF(SellAllowed="Yes",IF(AND(G1114 = "Yes", C1114&lt;E1114), "Yes", "No"),"No")</f>
        <v>No</v>
      </c>
      <c r="K1114" s="39">
        <f>IF(I1114 = "Yes", M1113/(C1114+CostBuy), IF(J1114 = "Yes", 0, K1113))</f>
        <v>0</v>
      </c>
      <c r="M1114" s="19">
        <f>IF(I1114 = "Yes", M1113-(C1114+CostBuy)*K1114, IF(J1114="Yes", M1113+(C1114-CostSell)*K1113, M1113+K1114*Rate))</f>
        <v>8200821.1062557027</v>
      </c>
    </row>
    <row r="1115" spans="2:13" s="11" customFormat="1" x14ac:dyDescent="0.2">
      <c r="B1115" s="24">
        <v>1962.1</v>
      </c>
      <c r="C1115" s="25">
        <v>56.17</v>
      </c>
      <c r="D1115" s="40">
        <f t="shared" ref="D1115:D1178" si="24">AVERAGE(C1109:C1114)</f>
        <v>60.026666666666664</v>
      </c>
      <c r="E1115" s="40">
        <f t="shared" ref="E1115:E1178" si="25">AVERAGE(C1107:C1114)</f>
        <v>62.583749999999995</v>
      </c>
      <c r="F1115" s="12"/>
      <c r="G1115" s="18" t="str">
        <f t="shared" si="23"/>
        <v>No</v>
      </c>
      <c r="H1115" s="12"/>
      <c r="I1115" s="39" t="str">
        <f>IF(BuyAllowed="Yes",IF(AND(G1115 = "No", C1115&gt;D1115), "Yes", "No"),"No")</f>
        <v>No</v>
      </c>
      <c r="J1115" s="39" t="str">
        <f>IF(SellAllowed="Yes",IF(AND(G1115 = "Yes", C1115&lt;E1115), "Yes", "No"),"No")</f>
        <v>No</v>
      </c>
      <c r="K1115" s="39">
        <f>IF(I1115 = "Yes", M1114/(C1115+CostBuy), IF(J1115 = "Yes", 0, K1114))</f>
        <v>0</v>
      </c>
      <c r="M1115" s="19">
        <f>IF(I1115 = "Yes", M1114-(C1115+CostBuy)*K1115, IF(J1115="Yes", M1114+(C1115-CostSell)*K1114, M1114+K1115*Rate))</f>
        <v>8200821.1062557027</v>
      </c>
    </row>
    <row r="1116" spans="2:13" s="11" customFormat="1" x14ac:dyDescent="0.2">
      <c r="B1116" s="24">
        <v>1962.11</v>
      </c>
      <c r="C1116" s="25">
        <v>60.04</v>
      </c>
      <c r="D1116" s="40">
        <f t="shared" si="24"/>
        <v>58.046666666666674</v>
      </c>
      <c r="E1116" s="40">
        <f t="shared" si="25"/>
        <v>60.827500000000008</v>
      </c>
      <c r="F1116" s="12"/>
      <c r="G1116" s="18" t="str">
        <f t="shared" ref="G1116:G1179" si="26">IF(I1115 = "Yes", "Yes", IF(J1115="Yes", "No", G1115))</f>
        <v>No</v>
      </c>
      <c r="H1116" s="12"/>
      <c r="I1116" s="39" t="str">
        <f>IF(BuyAllowed="Yes",IF(AND(G1116 = "No", C1116&gt;D1116), "Yes", "No"),"No")</f>
        <v>Yes</v>
      </c>
      <c r="J1116" s="39" t="str">
        <f>IF(SellAllowed="Yes",IF(AND(G1116 = "Yes", C1116&lt;E1116), "Yes", "No"),"No")</f>
        <v>No</v>
      </c>
      <c r="K1116" s="39">
        <f>IF(I1116 = "Yes", M1115/(C1116+CostBuy), IF(J1116 = "Yes", 0, K1115))</f>
        <v>136521.07718088402</v>
      </c>
      <c r="M1116" s="19">
        <f>IF(I1116 = "Yes", M1115-(C1116+CostBuy)*K1116, IF(J1116="Yes", M1115+(C1116-CostSell)*K1115, M1115+K1116*Rate))</f>
        <v>-9.3132257461547852E-10</v>
      </c>
    </row>
    <row r="1117" spans="2:13" s="11" customFormat="1" x14ac:dyDescent="0.2">
      <c r="B1117" s="24">
        <v>1962.12</v>
      </c>
      <c r="C1117" s="25">
        <v>62.64</v>
      </c>
      <c r="D1117" s="40">
        <f t="shared" si="24"/>
        <v>57.555000000000007</v>
      </c>
      <c r="E1117" s="40">
        <f t="shared" si="25"/>
        <v>59.546250000000001</v>
      </c>
      <c r="F1117" s="12"/>
      <c r="G1117" s="18" t="str">
        <f t="shared" si="26"/>
        <v>Yes</v>
      </c>
      <c r="H1117" s="12"/>
      <c r="I1117" s="39" t="str">
        <f>IF(BuyAllowed="Yes",IF(AND(G1117 = "No", C1117&gt;D1117), "Yes", "No"),"No")</f>
        <v>No</v>
      </c>
      <c r="J1117" s="39" t="str">
        <f>IF(SellAllowed="Yes",IF(AND(G1117 = "Yes", C1117&lt;E1117), "Yes", "No"),"No")</f>
        <v>No</v>
      </c>
      <c r="K1117" s="39">
        <f>IF(I1117 = "Yes", M1116/(C1117+CostBuy), IF(J1117 = "Yes", 0, K1116))</f>
        <v>136521.07718088402</v>
      </c>
      <c r="M1117" s="19">
        <f>IF(I1117 = "Yes", M1116-(C1117+CostBuy)*K1117, IF(J1117="Yes", M1116+(C1117-CostSell)*K1116, M1116+K1117*Rate))</f>
        <v>6826.0538590432698</v>
      </c>
    </row>
    <row r="1118" spans="2:13" s="11" customFormat="1" x14ac:dyDescent="0.2">
      <c r="B1118" s="24">
        <v>1963.01</v>
      </c>
      <c r="C1118" s="25">
        <v>65.06</v>
      </c>
      <c r="D1118" s="40">
        <f t="shared" si="24"/>
        <v>58.723333333333336</v>
      </c>
      <c r="E1118" s="40">
        <f t="shared" si="25"/>
        <v>58.870000000000005</v>
      </c>
      <c r="F1118" s="12"/>
      <c r="G1118" s="18" t="str">
        <f t="shared" si="26"/>
        <v>Yes</v>
      </c>
      <c r="H1118" s="12"/>
      <c r="I1118" s="39" t="str">
        <f>IF(BuyAllowed="Yes",IF(AND(G1118 = "No", C1118&gt;D1118), "Yes", "No"),"No")</f>
        <v>No</v>
      </c>
      <c r="J1118" s="39" t="str">
        <f>IF(SellAllowed="Yes",IF(AND(G1118 = "Yes", C1118&lt;E1118), "Yes", "No"),"No")</f>
        <v>No</v>
      </c>
      <c r="K1118" s="39">
        <f>IF(I1118 = "Yes", M1117/(C1118+CostBuy), IF(J1118 = "Yes", 0, K1117))</f>
        <v>136521.07718088402</v>
      </c>
      <c r="M1118" s="19">
        <f>IF(I1118 = "Yes", M1117-(C1118+CostBuy)*K1118, IF(J1118="Yes", M1117+(C1118-CostSell)*K1117, M1117+K1118*Rate))</f>
        <v>13652.107718087471</v>
      </c>
    </row>
    <row r="1119" spans="2:13" s="11" customFormat="1" x14ac:dyDescent="0.2">
      <c r="B1119" s="24">
        <v>1963.02</v>
      </c>
      <c r="C1119" s="25">
        <v>65.92</v>
      </c>
      <c r="D1119" s="40">
        <f t="shared" si="24"/>
        <v>60.071666666666665</v>
      </c>
      <c r="E1119" s="40">
        <f t="shared" si="25"/>
        <v>59.128750000000004</v>
      </c>
      <c r="F1119" s="12"/>
      <c r="G1119" s="18" t="str">
        <f t="shared" si="26"/>
        <v>Yes</v>
      </c>
      <c r="H1119" s="12"/>
      <c r="I1119" s="39" t="str">
        <f>IF(BuyAllowed="Yes",IF(AND(G1119 = "No", C1119&gt;D1119), "Yes", "No"),"No")</f>
        <v>No</v>
      </c>
      <c r="J1119" s="39" t="str">
        <f>IF(SellAllowed="Yes",IF(AND(G1119 = "Yes", C1119&lt;E1119), "Yes", "No"),"No")</f>
        <v>No</v>
      </c>
      <c r="K1119" s="39">
        <f>IF(I1119 = "Yes", M1118/(C1119+CostBuy), IF(J1119 = "Yes", 0, K1118))</f>
        <v>136521.07718088402</v>
      </c>
      <c r="M1119" s="19">
        <f>IF(I1119 = "Yes", M1118-(C1119+CostBuy)*K1119, IF(J1119="Yes", M1118+(C1119-CostSell)*K1118, M1118+K1119*Rate))</f>
        <v>20478.161577131672</v>
      </c>
    </row>
    <row r="1120" spans="2:13" s="11" customFormat="1" x14ac:dyDescent="0.2">
      <c r="B1120" s="24">
        <v>1963.03</v>
      </c>
      <c r="C1120" s="25">
        <v>65.67</v>
      </c>
      <c r="D1120" s="40">
        <f t="shared" si="24"/>
        <v>61.305000000000007</v>
      </c>
      <c r="E1120" s="40">
        <f t="shared" si="25"/>
        <v>60.415000000000006</v>
      </c>
      <c r="F1120" s="12"/>
      <c r="G1120" s="18" t="str">
        <f t="shared" si="26"/>
        <v>Yes</v>
      </c>
      <c r="H1120" s="12"/>
      <c r="I1120" s="39" t="str">
        <f>IF(BuyAllowed="Yes",IF(AND(G1120 = "No", C1120&gt;D1120), "Yes", "No"),"No")</f>
        <v>No</v>
      </c>
      <c r="J1120" s="39" t="str">
        <f>IF(SellAllowed="Yes",IF(AND(G1120 = "Yes", C1120&lt;E1120), "Yes", "No"),"No")</f>
        <v>No</v>
      </c>
      <c r="K1120" s="39">
        <f>IF(I1120 = "Yes", M1119/(C1120+CostBuy), IF(J1120 = "Yes", 0, K1119))</f>
        <v>136521.07718088402</v>
      </c>
      <c r="M1120" s="19">
        <f>IF(I1120 = "Yes", M1119-(C1120+CostBuy)*K1120, IF(J1120="Yes", M1119+(C1120-CostSell)*K1119, M1119+K1120*Rate))</f>
        <v>27304.215436175873</v>
      </c>
    </row>
    <row r="1121" spans="2:13" s="11" customFormat="1" x14ac:dyDescent="0.2">
      <c r="B1121" s="24">
        <v>1963.04</v>
      </c>
      <c r="C1121" s="25">
        <v>68.760000000000005</v>
      </c>
      <c r="D1121" s="40">
        <f t="shared" si="24"/>
        <v>62.583333333333343</v>
      </c>
      <c r="E1121" s="40">
        <f t="shared" si="25"/>
        <v>61.502500000000005</v>
      </c>
      <c r="F1121" s="12"/>
      <c r="G1121" s="18" t="str">
        <f t="shared" si="26"/>
        <v>Yes</v>
      </c>
      <c r="H1121" s="12"/>
      <c r="I1121" s="39" t="str">
        <f>IF(BuyAllowed="Yes",IF(AND(G1121 = "No", C1121&gt;D1121), "Yes", "No"),"No")</f>
        <v>No</v>
      </c>
      <c r="J1121" s="39" t="str">
        <f>IF(SellAllowed="Yes",IF(AND(G1121 = "Yes", C1121&lt;E1121), "Yes", "No"),"No")</f>
        <v>No</v>
      </c>
      <c r="K1121" s="39">
        <f>IF(I1121 = "Yes", M1120/(C1121+CostBuy), IF(J1121 = "Yes", 0, K1120))</f>
        <v>136521.07718088402</v>
      </c>
      <c r="M1121" s="19">
        <f>IF(I1121 = "Yes", M1120-(C1121+CostBuy)*K1121, IF(J1121="Yes", M1120+(C1121-CostSell)*K1120, M1120+K1121*Rate))</f>
        <v>34130.269295220074</v>
      </c>
    </row>
    <row r="1122" spans="2:13" s="11" customFormat="1" x14ac:dyDescent="0.2">
      <c r="B1122" s="24">
        <v>1963.05</v>
      </c>
      <c r="C1122" s="25">
        <v>70.14</v>
      </c>
      <c r="D1122" s="40">
        <f t="shared" si="24"/>
        <v>64.681666666666672</v>
      </c>
      <c r="E1122" s="40">
        <f t="shared" si="25"/>
        <v>62.782500000000006</v>
      </c>
      <c r="F1122" s="12"/>
      <c r="G1122" s="18" t="str">
        <f t="shared" si="26"/>
        <v>Yes</v>
      </c>
      <c r="H1122" s="12"/>
      <c r="I1122" s="39" t="str">
        <f>IF(BuyAllowed="Yes",IF(AND(G1122 = "No", C1122&gt;D1122), "Yes", "No"),"No")</f>
        <v>No</v>
      </c>
      <c r="J1122" s="39" t="str">
        <f>IF(SellAllowed="Yes",IF(AND(G1122 = "Yes", C1122&lt;E1122), "Yes", "No"),"No")</f>
        <v>No</v>
      </c>
      <c r="K1122" s="39">
        <f>IF(I1122 = "Yes", M1121/(C1122+CostBuy), IF(J1122 = "Yes", 0, K1121))</f>
        <v>136521.07718088402</v>
      </c>
      <c r="M1122" s="19">
        <f>IF(I1122 = "Yes", M1121-(C1122+CostBuy)*K1122, IF(J1122="Yes", M1121+(C1122-CostSell)*K1121, M1121+K1122*Rate))</f>
        <v>40956.323154264275</v>
      </c>
    </row>
    <row r="1123" spans="2:13" s="11" customFormat="1" x14ac:dyDescent="0.2">
      <c r="B1123" s="24">
        <v>1963.06</v>
      </c>
      <c r="C1123" s="25">
        <v>70.11</v>
      </c>
      <c r="D1123" s="40">
        <f t="shared" si="24"/>
        <v>66.364999999999995</v>
      </c>
      <c r="E1123" s="40">
        <f t="shared" si="25"/>
        <v>64.300000000000011</v>
      </c>
      <c r="F1123" s="12"/>
      <c r="G1123" s="18" t="str">
        <f t="shared" si="26"/>
        <v>Yes</v>
      </c>
      <c r="H1123" s="12"/>
      <c r="I1123" s="39" t="str">
        <f>IF(BuyAllowed="Yes",IF(AND(G1123 = "No", C1123&gt;D1123), "Yes", "No"),"No")</f>
        <v>No</v>
      </c>
      <c r="J1123" s="39" t="str">
        <f>IF(SellAllowed="Yes",IF(AND(G1123 = "Yes", C1123&lt;E1123), "Yes", "No"),"No")</f>
        <v>No</v>
      </c>
      <c r="K1123" s="39">
        <f>IF(I1123 = "Yes", M1122/(C1123+CostBuy), IF(J1123 = "Yes", 0, K1122))</f>
        <v>136521.07718088402</v>
      </c>
      <c r="M1123" s="19">
        <f>IF(I1123 = "Yes", M1122-(C1123+CostBuy)*K1123, IF(J1123="Yes", M1122+(C1123-CostSell)*K1122, M1122+K1123*Rate))</f>
        <v>47782.377013308476</v>
      </c>
    </row>
    <row r="1124" spans="2:13" s="11" customFormat="1" x14ac:dyDescent="0.2">
      <c r="B1124" s="24">
        <v>1963.07</v>
      </c>
      <c r="C1124" s="25">
        <v>69.069999999999993</v>
      </c>
      <c r="D1124" s="40">
        <f t="shared" si="24"/>
        <v>67.61</v>
      </c>
      <c r="E1124" s="40">
        <f t="shared" si="25"/>
        <v>66.042500000000004</v>
      </c>
      <c r="F1124" s="12"/>
      <c r="G1124" s="18" t="str">
        <f t="shared" si="26"/>
        <v>Yes</v>
      </c>
      <c r="H1124" s="12"/>
      <c r="I1124" s="39" t="str">
        <f>IF(BuyAllowed="Yes",IF(AND(G1124 = "No", C1124&gt;D1124), "Yes", "No"),"No")</f>
        <v>No</v>
      </c>
      <c r="J1124" s="39" t="str">
        <f>IF(SellAllowed="Yes",IF(AND(G1124 = "Yes", C1124&lt;E1124), "Yes", "No"),"No")</f>
        <v>No</v>
      </c>
      <c r="K1124" s="39">
        <f>IF(I1124 = "Yes", M1123/(C1124+CostBuy), IF(J1124 = "Yes", 0, K1123))</f>
        <v>136521.07718088402</v>
      </c>
      <c r="M1124" s="19">
        <f>IF(I1124 = "Yes", M1123-(C1124+CostBuy)*K1124, IF(J1124="Yes", M1123+(C1124-CostSell)*K1123, M1123+K1124*Rate))</f>
        <v>54608.430872352677</v>
      </c>
    </row>
    <row r="1125" spans="2:13" s="11" customFormat="1" x14ac:dyDescent="0.2">
      <c r="B1125" s="24">
        <v>1963.08</v>
      </c>
      <c r="C1125" s="25">
        <v>70.98</v>
      </c>
      <c r="D1125" s="40">
        <f t="shared" si="24"/>
        <v>68.278333333333336</v>
      </c>
      <c r="E1125" s="40">
        <f t="shared" si="25"/>
        <v>67.171250000000001</v>
      </c>
      <c r="F1125" s="12"/>
      <c r="G1125" s="18" t="str">
        <f t="shared" si="26"/>
        <v>Yes</v>
      </c>
      <c r="H1125" s="12"/>
      <c r="I1125" s="39" t="str">
        <f>IF(BuyAllowed="Yes",IF(AND(G1125 = "No", C1125&gt;D1125), "Yes", "No"),"No")</f>
        <v>No</v>
      </c>
      <c r="J1125" s="39" t="str">
        <f>IF(SellAllowed="Yes",IF(AND(G1125 = "Yes", C1125&lt;E1125), "Yes", "No"),"No")</f>
        <v>No</v>
      </c>
      <c r="K1125" s="39">
        <f>IF(I1125 = "Yes", M1124/(C1125+CostBuy), IF(J1125 = "Yes", 0, K1124))</f>
        <v>136521.07718088402</v>
      </c>
      <c r="M1125" s="19">
        <f>IF(I1125 = "Yes", M1124-(C1125+CostBuy)*K1125, IF(J1125="Yes", M1124+(C1125-CostSell)*K1124, M1124+K1125*Rate))</f>
        <v>61434.484731396878</v>
      </c>
    </row>
    <row r="1126" spans="2:13" s="11" customFormat="1" x14ac:dyDescent="0.2">
      <c r="B1126" s="24">
        <v>1963.09</v>
      </c>
      <c r="C1126" s="25">
        <v>72.849999999999994</v>
      </c>
      <c r="D1126" s="40">
        <f t="shared" si="24"/>
        <v>69.12166666666667</v>
      </c>
      <c r="E1126" s="40">
        <f t="shared" si="25"/>
        <v>68.213750000000005</v>
      </c>
      <c r="F1126" s="12"/>
      <c r="G1126" s="18" t="str">
        <f t="shared" si="26"/>
        <v>Yes</v>
      </c>
      <c r="H1126" s="12"/>
      <c r="I1126" s="39" t="str">
        <f>IF(BuyAllowed="Yes",IF(AND(G1126 = "No", C1126&gt;D1126), "Yes", "No"),"No")</f>
        <v>No</v>
      </c>
      <c r="J1126" s="39" t="str">
        <f>IF(SellAllowed="Yes",IF(AND(G1126 = "Yes", C1126&lt;E1126), "Yes", "No"),"No")</f>
        <v>No</v>
      </c>
      <c r="K1126" s="39">
        <f>IF(I1126 = "Yes", M1125/(C1126+CostBuy), IF(J1126 = "Yes", 0, K1125))</f>
        <v>136521.07718088402</v>
      </c>
      <c r="M1126" s="19">
        <f>IF(I1126 = "Yes", M1125-(C1126+CostBuy)*K1126, IF(J1126="Yes", M1125+(C1126-CostSell)*K1125, M1125+K1126*Rate))</f>
        <v>68260.53859044108</v>
      </c>
    </row>
    <row r="1127" spans="2:13" s="11" customFormat="1" x14ac:dyDescent="0.2">
      <c r="B1127" s="24">
        <v>1963.1</v>
      </c>
      <c r="C1127" s="25">
        <v>73.03</v>
      </c>
      <c r="D1127" s="40">
        <f t="shared" si="24"/>
        <v>70.318333333333328</v>
      </c>
      <c r="E1127" s="40">
        <f t="shared" si="25"/>
        <v>69.1875</v>
      </c>
      <c r="F1127" s="12"/>
      <c r="G1127" s="18" t="str">
        <f t="shared" si="26"/>
        <v>Yes</v>
      </c>
      <c r="H1127" s="12"/>
      <c r="I1127" s="39" t="str">
        <f>IF(BuyAllowed="Yes",IF(AND(G1127 = "No", C1127&gt;D1127), "Yes", "No"),"No")</f>
        <v>No</v>
      </c>
      <c r="J1127" s="39" t="str">
        <f>IF(SellAllowed="Yes",IF(AND(G1127 = "Yes", C1127&lt;E1127), "Yes", "No"),"No")</f>
        <v>No</v>
      </c>
      <c r="K1127" s="39">
        <f>IF(I1127 = "Yes", M1126/(C1127+CostBuy), IF(J1127 = "Yes", 0, K1126))</f>
        <v>136521.07718088402</v>
      </c>
      <c r="M1127" s="19">
        <f>IF(I1127 = "Yes", M1126-(C1127+CostBuy)*K1127, IF(J1127="Yes", M1126+(C1127-CostSell)*K1126, M1126+K1127*Rate))</f>
        <v>75086.592449485281</v>
      </c>
    </row>
    <row r="1128" spans="2:13" s="11" customFormat="1" x14ac:dyDescent="0.2">
      <c r="B1128" s="24">
        <v>1963.11</v>
      </c>
      <c r="C1128" s="25">
        <v>72.62</v>
      </c>
      <c r="D1128" s="40">
        <f t="shared" si="24"/>
        <v>71.029999999999987</v>
      </c>
      <c r="E1128" s="40">
        <f t="shared" si="25"/>
        <v>70.076250000000002</v>
      </c>
      <c r="F1128" s="12"/>
      <c r="G1128" s="18" t="str">
        <f t="shared" si="26"/>
        <v>Yes</v>
      </c>
      <c r="H1128" s="12"/>
      <c r="I1128" s="39" t="str">
        <f>IF(BuyAllowed="Yes",IF(AND(G1128 = "No", C1128&gt;D1128), "Yes", "No"),"No")</f>
        <v>No</v>
      </c>
      <c r="J1128" s="39" t="str">
        <f>IF(SellAllowed="Yes",IF(AND(G1128 = "Yes", C1128&lt;E1128), "Yes", "No"),"No")</f>
        <v>No</v>
      </c>
      <c r="K1128" s="39">
        <f>IF(I1128 = "Yes", M1127/(C1128+CostBuy), IF(J1128 = "Yes", 0, K1127))</f>
        <v>136521.07718088402</v>
      </c>
      <c r="M1128" s="19">
        <f>IF(I1128 = "Yes", M1127-(C1128+CostBuy)*K1128, IF(J1128="Yes", M1127+(C1128-CostSell)*K1127, M1127+K1128*Rate))</f>
        <v>81912.646308529482</v>
      </c>
    </row>
    <row r="1129" spans="2:13" s="11" customFormat="1" x14ac:dyDescent="0.2">
      <c r="B1129" s="24">
        <v>1963.12</v>
      </c>
      <c r="C1129" s="25">
        <v>74.17</v>
      </c>
      <c r="D1129" s="40">
        <f t="shared" si="24"/>
        <v>71.443333333333328</v>
      </c>
      <c r="E1129" s="40">
        <f t="shared" si="25"/>
        <v>70.944999999999993</v>
      </c>
      <c r="F1129" s="12"/>
      <c r="G1129" s="18" t="str">
        <f t="shared" si="26"/>
        <v>Yes</v>
      </c>
      <c r="H1129" s="12"/>
      <c r="I1129" s="39" t="str">
        <f>IF(BuyAllowed="Yes",IF(AND(G1129 = "No", C1129&gt;D1129), "Yes", "No"),"No")</f>
        <v>No</v>
      </c>
      <c r="J1129" s="39" t="str">
        <f>IF(SellAllowed="Yes",IF(AND(G1129 = "Yes", C1129&lt;E1129), "Yes", "No"),"No")</f>
        <v>No</v>
      </c>
      <c r="K1129" s="39">
        <f>IF(I1129 = "Yes", M1128/(C1129+CostBuy), IF(J1129 = "Yes", 0, K1128))</f>
        <v>136521.07718088402</v>
      </c>
      <c r="M1129" s="19">
        <f>IF(I1129 = "Yes", M1128-(C1129+CostBuy)*K1129, IF(J1129="Yes", M1128+(C1129-CostSell)*K1128, M1128+K1129*Rate))</f>
        <v>88738.700167573683</v>
      </c>
    </row>
    <row r="1130" spans="2:13" s="11" customFormat="1" x14ac:dyDescent="0.2">
      <c r="B1130" s="24">
        <v>1964.01</v>
      </c>
      <c r="C1130" s="25">
        <v>76.45</v>
      </c>
      <c r="D1130" s="40">
        <f t="shared" si="24"/>
        <v>72.12</v>
      </c>
      <c r="E1130" s="40">
        <f t="shared" si="25"/>
        <v>71.621249999999989</v>
      </c>
      <c r="F1130" s="12"/>
      <c r="G1130" s="18" t="str">
        <f t="shared" si="26"/>
        <v>Yes</v>
      </c>
      <c r="H1130" s="12"/>
      <c r="I1130" s="39" t="str">
        <f>IF(BuyAllowed="Yes",IF(AND(G1130 = "No", C1130&gt;D1130), "Yes", "No"),"No")</f>
        <v>No</v>
      </c>
      <c r="J1130" s="39" t="str">
        <f>IF(SellAllowed="Yes",IF(AND(G1130 = "Yes", C1130&lt;E1130), "Yes", "No"),"No")</f>
        <v>No</v>
      </c>
      <c r="K1130" s="39">
        <f>IF(I1130 = "Yes", M1129/(C1130+CostBuy), IF(J1130 = "Yes", 0, K1129))</f>
        <v>136521.07718088402</v>
      </c>
      <c r="M1130" s="19">
        <f>IF(I1130 = "Yes", M1129-(C1130+CostBuy)*K1130, IF(J1130="Yes", M1129+(C1130-CostSell)*K1129, M1129+K1130*Rate))</f>
        <v>95564.754026617884</v>
      </c>
    </row>
    <row r="1131" spans="2:13" s="11" customFormat="1" x14ac:dyDescent="0.2">
      <c r="B1131" s="24">
        <v>1964.02</v>
      </c>
      <c r="C1131" s="25">
        <v>77.39</v>
      </c>
      <c r="D1131" s="40">
        <f t="shared" si="24"/>
        <v>73.350000000000009</v>
      </c>
      <c r="E1131" s="40">
        <f t="shared" si="25"/>
        <v>72.41</v>
      </c>
      <c r="F1131" s="12"/>
      <c r="G1131" s="18" t="str">
        <f t="shared" si="26"/>
        <v>Yes</v>
      </c>
      <c r="H1131" s="12"/>
      <c r="I1131" s="39" t="str">
        <f>IF(BuyAllowed="Yes",IF(AND(G1131 = "No", C1131&gt;D1131), "Yes", "No"),"No")</f>
        <v>No</v>
      </c>
      <c r="J1131" s="39" t="str">
        <f>IF(SellAllowed="Yes",IF(AND(G1131 = "Yes", C1131&lt;E1131), "Yes", "No"),"No")</f>
        <v>No</v>
      </c>
      <c r="K1131" s="39">
        <f>IF(I1131 = "Yes", M1130/(C1131+CostBuy), IF(J1131 = "Yes", 0, K1130))</f>
        <v>136521.07718088402</v>
      </c>
      <c r="M1131" s="19">
        <f>IF(I1131 = "Yes", M1130-(C1131+CostBuy)*K1131, IF(J1131="Yes", M1130+(C1131-CostSell)*K1130, M1130+K1131*Rate))</f>
        <v>102390.80788566209</v>
      </c>
    </row>
    <row r="1132" spans="2:13" s="11" customFormat="1" x14ac:dyDescent="0.2">
      <c r="B1132" s="24">
        <v>1964.03</v>
      </c>
      <c r="C1132" s="25">
        <v>78.8</v>
      </c>
      <c r="D1132" s="40">
        <f t="shared" si="24"/>
        <v>74.418333333333337</v>
      </c>
      <c r="E1132" s="40">
        <f t="shared" si="25"/>
        <v>73.320000000000007</v>
      </c>
      <c r="F1132" s="12"/>
      <c r="G1132" s="18" t="str">
        <f t="shared" si="26"/>
        <v>Yes</v>
      </c>
      <c r="H1132" s="12"/>
      <c r="I1132" s="39" t="str">
        <f>IF(BuyAllowed="Yes",IF(AND(G1132 = "No", C1132&gt;D1132), "Yes", "No"),"No")</f>
        <v>No</v>
      </c>
      <c r="J1132" s="39" t="str">
        <f>IF(SellAllowed="Yes",IF(AND(G1132 = "Yes", C1132&lt;E1132), "Yes", "No"),"No")</f>
        <v>No</v>
      </c>
      <c r="K1132" s="39">
        <f>IF(I1132 = "Yes", M1131/(C1132+CostBuy), IF(J1132 = "Yes", 0, K1131))</f>
        <v>136521.07718088402</v>
      </c>
      <c r="M1132" s="19">
        <f>IF(I1132 = "Yes", M1131-(C1132+CostBuy)*K1132, IF(J1132="Yes", M1131+(C1132-CostSell)*K1131, M1131+K1132*Rate))</f>
        <v>109216.86174470629</v>
      </c>
    </row>
    <row r="1133" spans="2:13" s="11" customFormat="1" x14ac:dyDescent="0.2">
      <c r="B1133" s="24">
        <v>1964.04</v>
      </c>
      <c r="C1133" s="25">
        <v>79.94</v>
      </c>
      <c r="D1133" s="40">
        <f t="shared" si="24"/>
        <v>75.41</v>
      </c>
      <c r="E1133" s="40">
        <f t="shared" si="25"/>
        <v>74.536249999999995</v>
      </c>
      <c r="F1133" s="12"/>
      <c r="G1133" s="18" t="str">
        <f t="shared" si="26"/>
        <v>Yes</v>
      </c>
      <c r="H1133" s="12"/>
      <c r="I1133" s="39" t="str">
        <f>IF(BuyAllowed="Yes",IF(AND(G1133 = "No", C1133&gt;D1133), "Yes", "No"),"No")</f>
        <v>No</v>
      </c>
      <c r="J1133" s="39" t="str">
        <f>IF(SellAllowed="Yes",IF(AND(G1133 = "Yes", C1133&lt;E1133), "Yes", "No"),"No")</f>
        <v>No</v>
      </c>
      <c r="K1133" s="39">
        <f>IF(I1133 = "Yes", M1132/(C1133+CostBuy), IF(J1133 = "Yes", 0, K1132))</f>
        <v>136521.07718088402</v>
      </c>
      <c r="M1133" s="19">
        <f>IF(I1133 = "Yes", M1132-(C1133+CostBuy)*K1133, IF(J1133="Yes", M1132+(C1133-CostSell)*K1132, M1132+K1133*Rate))</f>
        <v>116042.91560375049</v>
      </c>
    </row>
    <row r="1134" spans="2:13" s="11" customFormat="1" x14ac:dyDescent="0.2">
      <c r="B1134" s="24">
        <v>1964.05</v>
      </c>
      <c r="C1134" s="25">
        <v>80.72</v>
      </c>
      <c r="D1134" s="40">
        <f t="shared" si="24"/>
        <v>76.561666666666667</v>
      </c>
      <c r="E1134" s="40">
        <f t="shared" si="25"/>
        <v>75.65625</v>
      </c>
      <c r="F1134" s="12"/>
      <c r="G1134" s="18" t="str">
        <f t="shared" si="26"/>
        <v>Yes</v>
      </c>
      <c r="H1134" s="12"/>
      <c r="I1134" s="39" t="str">
        <f>IF(BuyAllowed="Yes",IF(AND(G1134 = "No", C1134&gt;D1134), "Yes", "No"),"No")</f>
        <v>No</v>
      </c>
      <c r="J1134" s="39" t="str">
        <f>IF(SellAllowed="Yes",IF(AND(G1134 = "Yes", C1134&lt;E1134), "Yes", "No"),"No")</f>
        <v>No</v>
      </c>
      <c r="K1134" s="39">
        <f>IF(I1134 = "Yes", M1133/(C1134+CostBuy), IF(J1134 = "Yes", 0, K1133))</f>
        <v>136521.07718088402</v>
      </c>
      <c r="M1134" s="19">
        <f>IF(I1134 = "Yes", M1133-(C1134+CostBuy)*K1134, IF(J1134="Yes", M1133+(C1134-CostSell)*K1133, M1133+K1134*Rate))</f>
        <v>122868.96946279469</v>
      </c>
    </row>
    <row r="1135" spans="2:13" s="11" customFormat="1" x14ac:dyDescent="0.2">
      <c r="B1135" s="24">
        <v>1964.06</v>
      </c>
      <c r="C1135" s="25">
        <v>80.239999999999995</v>
      </c>
      <c r="D1135" s="40">
        <f t="shared" si="24"/>
        <v>77.911666666666676</v>
      </c>
      <c r="E1135" s="40">
        <f t="shared" si="25"/>
        <v>76.64</v>
      </c>
      <c r="F1135" s="12"/>
      <c r="G1135" s="18" t="str">
        <f t="shared" si="26"/>
        <v>Yes</v>
      </c>
      <c r="H1135" s="12"/>
      <c r="I1135" s="39" t="str">
        <f>IF(BuyAllowed="Yes",IF(AND(G1135 = "No", C1135&gt;D1135), "Yes", "No"),"No")</f>
        <v>No</v>
      </c>
      <c r="J1135" s="39" t="str">
        <f>IF(SellAllowed="Yes",IF(AND(G1135 = "Yes", C1135&lt;E1135), "Yes", "No"),"No")</f>
        <v>No</v>
      </c>
      <c r="K1135" s="39">
        <f>IF(I1135 = "Yes", M1134/(C1135+CostBuy), IF(J1135 = "Yes", 0, K1134))</f>
        <v>136521.07718088402</v>
      </c>
      <c r="M1135" s="19">
        <f>IF(I1135 = "Yes", M1134-(C1135+CostBuy)*K1135, IF(J1135="Yes", M1134+(C1135-CostSell)*K1134, M1134+K1135*Rate))</f>
        <v>129695.02332183889</v>
      </c>
    </row>
    <row r="1136" spans="2:13" s="11" customFormat="1" x14ac:dyDescent="0.2">
      <c r="B1136" s="24">
        <v>1964.07</v>
      </c>
      <c r="C1136" s="25">
        <v>83.22</v>
      </c>
      <c r="D1136" s="40">
        <f t="shared" si="24"/>
        <v>78.923333333333332</v>
      </c>
      <c r="E1136" s="40">
        <f t="shared" si="25"/>
        <v>77.541250000000005</v>
      </c>
      <c r="F1136" s="12"/>
      <c r="G1136" s="18" t="str">
        <f t="shared" si="26"/>
        <v>Yes</v>
      </c>
      <c r="H1136" s="12"/>
      <c r="I1136" s="39" t="str">
        <f>IF(BuyAllowed="Yes",IF(AND(G1136 = "No", C1136&gt;D1136), "Yes", "No"),"No")</f>
        <v>No</v>
      </c>
      <c r="J1136" s="39" t="str">
        <f>IF(SellAllowed="Yes",IF(AND(G1136 = "Yes", C1136&lt;E1136), "Yes", "No"),"No")</f>
        <v>No</v>
      </c>
      <c r="K1136" s="39">
        <f>IF(I1136 = "Yes", M1135/(C1136+CostBuy), IF(J1136 = "Yes", 0, K1135))</f>
        <v>136521.07718088402</v>
      </c>
      <c r="M1136" s="19">
        <f>IF(I1136 = "Yes", M1135-(C1136+CostBuy)*K1136, IF(J1136="Yes", M1135+(C1136-CostSell)*K1135, M1135+K1136*Rate))</f>
        <v>136521.07718088309</v>
      </c>
    </row>
    <row r="1137" spans="2:13" s="11" customFormat="1" x14ac:dyDescent="0.2">
      <c r="B1137" s="24">
        <v>1964.08</v>
      </c>
      <c r="C1137" s="25">
        <v>82</v>
      </c>
      <c r="D1137" s="40">
        <f t="shared" si="24"/>
        <v>80.051666666666677</v>
      </c>
      <c r="E1137" s="40">
        <f t="shared" si="25"/>
        <v>78.866250000000008</v>
      </c>
      <c r="F1137" s="12"/>
      <c r="G1137" s="18" t="str">
        <f t="shared" si="26"/>
        <v>Yes</v>
      </c>
      <c r="H1137" s="12"/>
      <c r="I1137" s="39" t="str">
        <f>IF(BuyAllowed="Yes",IF(AND(G1137 = "No", C1137&gt;D1137), "Yes", "No"),"No")</f>
        <v>No</v>
      </c>
      <c r="J1137" s="39" t="str">
        <f>IF(SellAllowed="Yes",IF(AND(G1137 = "Yes", C1137&lt;E1137), "Yes", "No"),"No")</f>
        <v>No</v>
      </c>
      <c r="K1137" s="39">
        <f>IF(I1137 = "Yes", M1136/(C1137+CostBuy), IF(J1137 = "Yes", 0, K1136))</f>
        <v>136521.07718088402</v>
      </c>
      <c r="M1137" s="19">
        <f>IF(I1137 = "Yes", M1136-(C1137+CostBuy)*K1137, IF(J1137="Yes", M1136+(C1137-CostSell)*K1136, M1136+K1137*Rate))</f>
        <v>143347.13103992731</v>
      </c>
    </row>
    <row r="1138" spans="2:13" s="11" customFormat="1" x14ac:dyDescent="0.2">
      <c r="B1138" s="24">
        <v>1964.09</v>
      </c>
      <c r="C1138" s="25">
        <v>83.41</v>
      </c>
      <c r="D1138" s="40">
        <f t="shared" si="24"/>
        <v>80.819999999999993</v>
      </c>
      <c r="E1138" s="40">
        <f t="shared" si="25"/>
        <v>79.844999999999999</v>
      </c>
      <c r="F1138" s="12"/>
      <c r="G1138" s="18" t="str">
        <f t="shared" si="26"/>
        <v>Yes</v>
      </c>
      <c r="H1138" s="12"/>
      <c r="I1138" s="39" t="str">
        <f>IF(BuyAllowed="Yes",IF(AND(G1138 = "No", C1138&gt;D1138), "Yes", "No"),"No")</f>
        <v>No</v>
      </c>
      <c r="J1138" s="39" t="str">
        <f>IF(SellAllowed="Yes",IF(AND(G1138 = "Yes", C1138&lt;E1138), "Yes", "No"),"No")</f>
        <v>No</v>
      </c>
      <c r="K1138" s="39">
        <f>IF(I1138 = "Yes", M1137/(C1138+CostBuy), IF(J1138 = "Yes", 0, K1137))</f>
        <v>136521.07718088402</v>
      </c>
      <c r="M1138" s="19">
        <f>IF(I1138 = "Yes", M1137-(C1138+CostBuy)*K1138, IF(J1138="Yes", M1137+(C1138-CostSell)*K1137, M1137+K1138*Rate))</f>
        <v>150173.18489897152</v>
      </c>
    </row>
    <row r="1139" spans="2:13" s="11" customFormat="1" x14ac:dyDescent="0.2">
      <c r="B1139" s="24">
        <v>1964.1</v>
      </c>
      <c r="C1139" s="25">
        <v>84.85</v>
      </c>
      <c r="D1139" s="40">
        <f t="shared" si="24"/>
        <v>81.588333333333324</v>
      </c>
      <c r="E1139" s="40">
        <f t="shared" si="25"/>
        <v>80.715000000000003</v>
      </c>
      <c r="F1139" s="12"/>
      <c r="G1139" s="18" t="str">
        <f t="shared" si="26"/>
        <v>Yes</v>
      </c>
      <c r="H1139" s="12"/>
      <c r="I1139" s="39" t="str">
        <f>IF(BuyAllowed="Yes",IF(AND(G1139 = "No", C1139&gt;D1139), "Yes", "No"),"No")</f>
        <v>No</v>
      </c>
      <c r="J1139" s="39" t="str">
        <f>IF(SellAllowed="Yes",IF(AND(G1139 = "Yes", C1139&lt;E1139), "Yes", "No"),"No")</f>
        <v>No</v>
      </c>
      <c r="K1139" s="39">
        <f>IF(I1139 = "Yes", M1138/(C1139+CostBuy), IF(J1139 = "Yes", 0, K1138))</f>
        <v>136521.07718088402</v>
      </c>
      <c r="M1139" s="19">
        <f>IF(I1139 = "Yes", M1138-(C1139+CostBuy)*K1139, IF(J1139="Yes", M1138+(C1139-CostSell)*K1138, M1138+K1139*Rate))</f>
        <v>156999.23875801574</v>
      </c>
    </row>
    <row r="1140" spans="2:13" s="11" customFormat="1" x14ac:dyDescent="0.2">
      <c r="B1140" s="24">
        <v>1964.11</v>
      </c>
      <c r="C1140" s="25">
        <v>85.44</v>
      </c>
      <c r="D1140" s="40">
        <f t="shared" si="24"/>
        <v>82.406666666666652</v>
      </c>
      <c r="E1140" s="40">
        <f t="shared" si="25"/>
        <v>81.647499999999994</v>
      </c>
      <c r="F1140" s="12"/>
      <c r="G1140" s="18" t="str">
        <f t="shared" si="26"/>
        <v>Yes</v>
      </c>
      <c r="H1140" s="12"/>
      <c r="I1140" s="39" t="str">
        <f>IF(BuyAllowed="Yes",IF(AND(G1140 = "No", C1140&gt;D1140), "Yes", "No"),"No")</f>
        <v>No</v>
      </c>
      <c r="J1140" s="39" t="str">
        <f>IF(SellAllowed="Yes",IF(AND(G1140 = "Yes", C1140&lt;E1140), "Yes", "No"),"No")</f>
        <v>No</v>
      </c>
      <c r="K1140" s="39">
        <f>IF(I1140 = "Yes", M1139/(C1140+CostBuy), IF(J1140 = "Yes", 0, K1139))</f>
        <v>136521.07718088402</v>
      </c>
      <c r="M1140" s="19">
        <f>IF(I1140 = "Yes", M1139-(C1140+CostBuy)*K1140, IF(J1140="Yes", M1139+(C1140-CostSell)*K1139, M1139+K1140*Rate))</f>
        <v>163825.29261705995</v>
      </c>
    </row>
    <row r="1141" spans="2:13" s="11" customFormat="1" x14ac:dyDescent="0.2">
      <c r="B1141" s="24">
        <v>1964.12</v>
      </c>
      <c r="C1141" s="25">
        <v>83.96</v>
      </c>
      <c r="D1141" s="40">
        <f t="shared" si="24"/>
        <v>83.193333333333342</v>
      </c>
      <c r="E1141" s="40">
        <f t="shared" si="25"/>
        <v>82.477499999999992</v>
      </c>
      <c r="F1141" s="12"/>
      <c r="G1141" s="18" t="str">
        <f t="shared" si="26"/>
        <v>Yes</v>
      </c>
      <c r="H1141" s="12"/>
      <c r="I1141" s="39" t="str">
        <f>IF(BuyAllowed="Yes",IF(AND(G1141 = "No", C1141&gt;D1141), "Yes", "No"),"No")</f>
        <v>No</v>
      </c>
      <c r="J1141" s="39" t="str">
        <f>IF(SellAllowed="Yes",IF(AND(G1141 = "Yes", C1141&lt;E1141), "Yes", "No"),"No")</f>
        <v>No</v>
      </c>
      <c r="K1141" s="39">
        <f>IF(I1141 = "Yes", M1140/(C1141+CostBuy), IF(J1141 = "Yes", 0, K1140))</f>
        <v>136521.07718088402</v>
      </c>
      <c r="M1141" s="19">
        <f>IF(I1141 = "Yes", M1140-(C1141+CostBuy)*K1141, IF(J1141="Yes", M1140+(C1141-CostSell)*K1140, M1140+K1141*Rate))</f>
        <v>170651.34647610417</v>
      </c>
    </row>
    <row r="1142" spans="2:13" s="11" customFormat="1" x14ac:dyDescent="0.2">
      <c r="B1142" s="24">
        <v>1965.01</v>
      </c>
      <c r="C1142" s="25">
        <v>86.12</v>
      </c>
      <c r="D1142" s="40">
        <f t="shared" si="24"/>
        <v>83.813333333333333</v>
      </c>
      <c r="E1142" s="40">
        <f t="shared" si="25"/>
        <v>82.97999999999999</v>
      </c>
      <c r="F1142" s="12"/>
      <c r="G1142" s="18" t="str">
        <f t="shared" si="26"/>
        <v>Yes</v>
      </c>
      <c r="H1142" s="12"/>
      <c r="I1142" s="39" t="str">
        <f>IF(BuyAllowed="Yes",IF(AND(G1142 = "No", C1142&gt;D1142), "Yes", "No"),"No")</f>
        <v>No</v>
      </c>
      <c r="J1142" s="39" t="str">
        <f>IF(SellAllowed="Yes",IF(AND(G1142 = "Yes", C1142&lt;E1142), "Yes", "No"),"No")</f>
        <v>No</v>
      </c>
      <c r="K1142" s="39">
        <f>IF(I1142 = "Yes", M1141/(C1142+CostBuy), IF(J1142 = "Yes", 0, K1141))</f>
        <v>136521.07718088402</v>
      </c>
      <c r="M1142" s="19">
        <f>IF(I1142 = "Yes", M1141-(C1142+CostBuy)*K1142, IF(J1142="Yes", M1141+(C1142-CostSell)*K1141, M1141+K1142*Rate))</f>
        <v>177477.40033514838</v>
      </c>
    </row>
    <row r="1143" spans="2:13" s="11" customFormat="1" x14ac:dyDescent="0.2">
      <c r="B1143" s="24">
        <v>1965.02</v>
      </c>
      <c r="C1143" s="25">
        <v>86.75</v>
      </c>
      <c r="D1143" s="40">
        <f t="shared" si="24"/>
        <v>84.296666666666667</v>
      </c>
      <c r="E1143" s="40">
        <f t="shared" si="25"/>
        <v>83.655000000000001</v>
      </c>
      <c r="F1143" s="12"/>
      <c r="G1143" s="18" t="str">
        <f t="shared" si="26"/>
        <v>Yes</v>
      </c>
      <c r="H1143" s="12"/>
      <c r="I1143" s="39" t="str">
        <f>IF(BuyAllowed="Yes",IF(AND(G1143 = "No", C1143&gt;D1143), "Yes", "No"),"No")</f>
        <v>No</v>
      </c>
      <c r="J1143" s="39" t="str">
        <f>IF(SellAllowed="Yes",IF(AND(G1143 = "Yes", C1143&lt;E1143), "Yes", "No"),"No")</f>
        <v>No</v>
      </c>
      <c r="K1143" s="39">
        <f>IF(I1143 = "Yes", M1142/(C1143+CostBuy), IF(J1143 = "Yes", 0, K1142))</f>
        <v>136521.07718088402</v>
      </c>
      <c r="M1143" s="19">
        <f>IF(I1143 = "Yes", M1142-(C1143+CostBuy)*K1143, IF(J1143="Yes", M1142+(C1143-CostSell)*K1142, M1142+K1143*Rate))</f>
        <v>184303.4541941926</v>
      </c>
    </row>
    <row r="1144" spans="2:13" s="11" customFormat="1" x14ac:dyDescent="0.2">
      <c r="B1144" s="24">
        <v>1965.03</v>
      </c>
      <c r="C1144" s="25">
        <v>86.83</v>
      </c>
      <c r="D1144" s="40">
        <f t="shared" si="24"/>
        <v>85.088333333333324</v>
      </c>
      <c r="E1144" s="40">
        <f t="shared" si="25"/>
        <v>84.46875</v>
      </c>
      <c r="F1144" s="12"/>
      <c r="G1144" s="18" t="str">
        <f t="shared" si="26"/>
        <v>Yes</v>
      </c>
      <c r="H1144" s="12"/>
      <c r="I1144" s="39" t="str">
        <f>IF(BuyAllowed="Yes",IF(AND(G1144 = "No", C1144&gt;D1144), "Yes", "No"),"No")</f>
        <v>No</v>
      </c>
      <c r="J1144" s="39" t="str">
        <f>IF(SellAllowed="Yes",IF(AND(G1144 = "Yes", C1144&lt;E1144), "Yes", "No"),"No")</f>
        <v>No</v>
      </c>
      <c r="K1144" s="39">
        <f>IF(I1144 = "Yes", M1143/(C1144+CostBuy), IF(J1144 = "Yes", 0, K1143))</f>
        <v>136521.07718088402</v>
      </c>
      <c r="M1144" s="19">
        <f>IF(I1144 = "Yes", M1143-(C1144+CostBuy)*K1144, IF(J1144="Yes", M1143+(C1144-CostSell)*K1143, M1143+K1144*Rate))</f>
        <v>191129.50805323682</v>
      </c>
    </row>
    <row r="1145" spans="2:13" s="11" customFormat="1" x14ac:dyDescent="0.2">
      <c r="B1145" s="24">
        <v>1965.04</v>
      </c>
      <c r="C1145" s="25">
        <v>87.97</v>
      </c>
      <c r="D1145" s="40">
        <f t="shared" si="24"/>
        <v>85.658333333333346</v>
      </c>
      <c r="E1145" s="40">
        <f t="shared" si="25"/>
        <v>84.92</v>
      </c>
      <c r="F1145" s="12"/>
      <c r="G1145" s="18" t="str">
        <f t="shared" si="26"/>
        <v>Yes</v>
      </c>
      <c r="H1145" s="12"/>
      <c r="I1145" s="39" t="str">
        <f>IF(BuyAllowed="Yes",IF(AND(G1145 = "No", C1145&gt;D1145), "Yes", "No"),"No")</f>
        <v>No</v>
      </c>
      <c r="J1145" s="39" t="str">
        <f>IF(SellAllowed="Yes",IF(AND(G1145 = "Yes", C1145&lt;E1145), "Yes", "No"),"No")</f>
        <v>No</v>
      </c>
      <c r="K1145" s="39">
        <f>IF(I1145 = "Yes", M1144/(C1145+CostBuy), IF(J1145 = "Yes", 0, K1144))</f>
        <v>136521.07718088402</v>
      </c>
      <c r="M1145" s="19">
        <f>IF(I1145 = "Yes", M1144-(C1145+CostBuy)*K1145, IF(J1145="Yes", M1144+(C1145-CostSell)*K1144, M1144+K1145*Rate))</f>
        <v>197955.56191228103</v>
      </c>
    </row>
    <row r="1146" spans="2:13" s="11" customFormat="1" x14ac:dyDescent="0.2">
      <c r="B1146" s="24">
        <v>1965.05</v>
      </c>
      <c r="C1146" s="25">
        <v>89.28</v>
      </c>
      <c r="D1146" s="40">
        <f t="shared" si="24"/>
        <v>86.178333333333327</v>
      </c>
      <c r="E1146" s="40">
        <f t="shared" si="25"/>
        <v>85.666250000000005</v>
      </c>
      <c r="F1146" s="12"/>
      <c r="G1146" s="18" t="str">
        <f t="shared" si="26"/>
        <v>Yes</v>
      </c>
      <c r="H1146" s="12"/>
      <c r="I1146" s="39" t="str">
        <f>IF(BuyAllowed="Yes",IF(AND(G1146 = "No", C1146&gt;D1146), "Yes", "No"),"No")</f>
        <v>No</v>
      </c>
      <c r="J1146" s="39" t="str">
        <f>IF(SellAllowed="Yes",IF(AND(G1146 = "Yes", C1146&lt;E1146), "Yes", "No"),"No")</f>
        <v>No</v>
      </c>
      <c r="K1146" s="39">
        <f>IF(I1146 = "Yes", M1145/(C1146+CostBuy), IF(J1146 = "Yes", 0, K1145))</f>
        <v>136521.07718088402</v>
      </c>
      <c r="M1146" s="19">
        <f>IF(I1146 = "Yes", M1145-(C1146+CostBuy)*K1146, IF(J1146="Yes", M1145+(C1146-CostSell)*K1145, M1145+K1146*Rate))</f>
        <v>204781.61577132525</v>
      </c>
    </row>
    <row r="1147" spans="2:13" s="11" customFormat="1" x14ac:dyDescent="0.2">
      <c r="B1147" s="24">
        <v>1965.06</v>
      </c>
      <c r="C1147" s="25">
        <v>85.04</v>
      </c>
      <c r="D1147" s="40">
        <f t="shared" si="24"/>
        <v>86.818333333333328</v>
      </c>
      <c r="E1147" s="40">
        <f t="shared" si="25"/>
        <v>86.4</v>
      </c>
      <c r="F1147" s="12"/>
      <c r="G1147" s="18" t="str">
        <f t="shared" si="26"/>
        <v>Yes</v>
      </c>
      <c r="H1147" s="12"/>
      <c r="I1147" s="39" t="str">
        <f>IF(BuyAllowed="Yes",IF(AND(G1147 = "No", C1147&gt;D1147), "Yes", "No"),"No")</f>
        <v>No</v>
      </c>
      <c r="J1147" s="39" t="str">
        <f>IF(SellAllowed="Yes",IF(AND(G1147 = "Yes", C1147&lt;E1147), "Yes", "No"),"No")</f>
        <v>Yes</v>
      </c>
      <c r="K1147" s="39">
        <f>IF(I1147 = "Yes", M1146/(C1147+CostBuy), IF(J1147 = "Yes", 0, K1146))</f>
        <v>0</v>
      </c>
      <c r="M1147" s="19">
        <f>IF(I1147 = "Yes", M1146-(C1147+CostBuy)*K1147, IF(J1147="Yes", M1146+(C1147-CostSell)*K1146, M1146+K1147*Rate))</f>
        <v>11806342.754602849</v>
      </c>
    </row>
    <row r="1148" spans="2:13" s="11" customFormat="1" x14ac:dyDescent="0.2">
      <c r="B1148" s="24">
        <v>1965.07</v>
      </c>
      <c r="C1148" s="25">
        <v>84.91</v>
      </c>
      <c r="D1148" s="40">
        <f t="shared" si="24"/>
        <v>86.998333333333321</v>
      </c>
      <c r="E1148" s="40">
        <f t="shared" si="25"/>
        <v>86.423749999999984</v>
      </c>
      <c r="F1148" s="12"/>
      <c r="G1148" s="18" t="str">
        <f t="shared" si="26"/>
        <v>No</v>
      </c>
      <c r="H1148" s="12"/>
      <c r="I1148" s="39" t="str">
        <f>IF(BuyAllowed="Yes",IF(AND(G1148 = "No", C1148&gt;D1148), "Yes", "No"),"No")</f>
        <v>No</v>
      </c>
      <c r="J1148" s="39" t="str">
        <f>IF(SellAllowed="Yes",IF(AND(G1148 = "Yes", C1148&lt;E1148), "Yes", "No"),"No")</f>
        <v>No</v>
      </c>
      <c r="K1148" s="39">
        <f>IF(I1148 = "Yes", M1147/(C1148+CostBuy), IF(J1148 = "Yes", 0, K1147))</f>
        <v>0</v>
      </c>
      <c r="M1148" s="19">
        <f>IF(I1148 = "Yes", M1147-(C1148+CostBuy)*K1148, IF(J1148="Yes", M1147+(C1148-CostSell)*K1147, M1147+K1148*Rate))</f>
        <v>11806342.754602849</v>
      </c>
    </row>
    <row r="1149" spans="2:13" s="11" customFormat="1" x14ac:dyDescent="0.2">
      <c r="B1149" s="24">
        <v>1965.08</v>
      </c>
      <c r="C1149" s="25">
        <v>86.49</v>
      </c>
      <c r="D1149" s="40">
        <f t="shared" si="24"/>
        <v>86.796666666666667</v>
      </c>
      <c r="E1149" s="40">
        <f t="shared" si="25"/>
        <v>86.357499999999987</v>
      </c>
      <c r="F1149" s="12"/>
      <c r="G1149" s="18" t="str">
        <f t="shared" si="26"/>
        <v>No</v>
      </c>
      <c r="H1149" s="12"/>
      <c r="I1149" s="39" t="str">
        <f>IF(BuyAllowed="Yes",IF(AND(G1149 = "No", C1149&gt;D1149), "Yes", "No"),"No")</f>
        <v>No</v>
      </c>
      <c r="J1149" s="39" t="str">
        <f>IF(SellAllowed="Yes",IF(AND(G1149 = "Yes", C1149&lt;E1149), "Yes", "No"),"No")</f>
        <v>No</v>
      </c>
      <c r="K1149" s="39">
        <f>IF(I1149 = "Yes", M1148/(C1149+CostBuy), IF(J1149 = "Yes", 0, K1148))</f>
        <v>0</v>
      </c>
      <c r="M1149" s="19">
        <f>IF(I1149 = "Yes", M1148-(C1149+CostBuy)*K1149, IF(J1149="Yes", M1148+(C1149-CostSell)*K1148, M1148+K1149*Rate))</f>
        <v>11806342.754602849</v>
      </c>
    </row>
    <row r="1150" spans="2:13" s="11" customFormat="1" x14ac:dyDescent="0.2">
      <c r="B1150" s="24">
        <v>1965.09</v>
      </c>
      <c r="C1150" s="25">
        <v>89.38</v>
      </c>
      <c r="D1150" s="40">
        <f t="shared" si="24"/>
        <v>86.753333333333345</v>
      </c>
      <c r="E1150" s="40">
        <f t="shared" si="25"/>
        <v>86.673749999999984</v>
      </c>
      <c r="F1150" s="12"/>
      <c r="G1150" s="18" t="str">
        <f t="shared" si="26"/>
        <v>No</v>
      </c>
      <c r="H1150" s="12"/>
      <c r="I1150" s="39" t="str">
        <f>IF(BuyAllowed="Yes",IF(AND(G1150 = "No", C1150&gt;D1150), "Yes", "No"),"No")</f>
        <v>Yes</v>
      </c>
      <c r="J1150" s="39" t="str">
        <f>IF(SellAllowed="Yes",IF(AND(G1150 = "Yes", C1150&lt;E1150), "Yes", "No"),"No")</f>
        <v>No</v>
      </c>
      <c r="K1150" s="39">
        <f>IF(I1150 = "Yes", M1149/(C1150+CostBuy), IF(J1150 = "Yes", 0, K1149))</f>
        <v>132047.22910863272</v>
      </c>
      <c r="M1150" s="19">
        <f>IF(I1150 = "Yes", M1149-(C1150+CostBuy)*K1150, IF(J1150="Yes", M1149+(C1150-CostSell)*K1149, M1149+K1150*Rate))</f>
        <v>-1.862645149230957E-9</v>
      </c>
    </row>
    <row r="1151" spans="2:13" s="11" customFormat="1" x14ac:dyDescent="0.2">
      <c r="B1151" s="24">
        <v>1965.1</v>
      </c>
      <c r="C1151" s="25">
        <v>91.39</v>
      </c>
      <c r="D1151" s="40">
        <f t="shared" si="24"/>
        <v>87.178333333333342</v>
      </c>
      <c r="E1151" s="40">
        <f t="shared" si="25"/>
        <v>87.081249999999997</v>
      </c>
      <c r="F1151" s="12"/>
      <c r="G1151" s="18" t="str">
        <f t="shared" si="26"/>
        <v>Yes</v>
      </c>
      <c r="H1151" s="12"/>
      <c r="I1151" s="39" t="str">
        <f>IF(BuyAllowed="Yes",IF(AND(G1151 = "No", C1151&gt;D1151), "Yes", "No"),"No")</f>
        <v>No</v>
      </c>
      <c r="J1151" s="39" t="str">
        <f>IF(SellAllowed="Yes",IF(AND(G1151 = "Yes", C1151&lt;E1151), "Yes", "No"),"No")</f>
        <v>No</v>
      </c>
      <c r="K1151" s="39">
        <f>IF(I1151 = "Yes", M1150/(C1151+CostBuy), IF(J1151 = "Yes", 0, K1150))</f>
        <v>132047.22910863272</v>
      </c>
      <c r="M1151" s="19">
        <f>IF(I1151 = "Yes", M1150-(C1151+CostBuy)*K1151, IF(J1151="Yes", M1150+(C1151-CostSell)*K1150, M1150+K1151*Rate))</f>
        <v>6602.3614554297737</v>
      </c>
    </row>
    <row r="1152" spans="2:13" s="11" customFormat="1" x14ac:dyDescent="0.2">
      <c r="B1152" s="24">
        <v>1965.11</v>
      </c>
      <c r="C1152" s="25">
        <v>92.15</v>
      </c>
      <c r="D1152" s="40">
        <f t="shared" si="24"/>
        <v>87.748333333333335</v>
      </c>
      <c r="E1152" s="40">
        <f t="shared" si="25"/>
        <v>87.66125000000001</v>
      </c>
      <c r="F1152" s="12"/>
      <c r="G1152" s="18" t="str">
        <f t="shared" si="26"/>
        <v>Yes</v>
      </c>
      <c r="H1152" s="12"/>
      <c r="I1152" s="39" t="str">
        <f>IF(BuyAllowed="Yes",IF(AND(G1152 = "No", C1152&gt;D1152), "Yes", "No"),"No")</f>
        <v>No</v>
      </c>
      <c r="J1152" s="39" t="str">
        <f>IF(SellAllowed="Yes",IF(AND(G1152 = "Yes", C1152&lt;E1152), "Yes", "No"),"No")</f>
        <v>No</v>
      </c>
      <c r="K1152" s="39">
        <f>IF(I1152 = "Yes", M1151/(C1152+CostBuy), IF(J1152 = "Yes", 0, K1151))</f>
        <v>132047.22910863272</v>
      </c>
      <c r="M1152" s="19">
        <f>IF(I1152 = "Yes", M1151-(C1152+CostBuy)*K1152, IF(J1152="Yes", M1151+(C1152-CostSell)*K1151, M1151+K1152*Rate))</f>
        <v>13204.72291086141</v>
      </c>
    </row>
    <row r="1153" spans="2:13" s="11" customFormat="1" x14ac:dyDescent="0.2">
      <c r="B1153" s="24">
        <v>1965.12</v>
      </c>
      <c r="C1153" s="25">
        <v>91.73</v>
      </c>
      <c r="D1153" s="40">
        <f t="shared" si="24"/>
        <v>88.226666666666674</v>
      </c>
      <c r="E1153" s="40">
        <f t="shared" si="25"/>
        <v>88.326250000000002</v>
      </c>
      <c r="F1153" s="12"/>
      <c r="G1153" s="18" t="str">
        <f t="shared" si="26"/>
        <v>Yes</v>
      </c>
      <c r="H1153" s="12"/>
      <c r="I1153" s="39" t="str">
        <f>IF(BuyAllowed="Yes",IF(AND(G1153 = "No", C1153&gt;D1153), "Yes", "No"),"No")</f>
        <v>No</v>
      </c>
      <c r="J1153" s="39" t="str">
        <f>IF(SellAllowed="Yes",IF(AND(G1153 = "Yes", C1153&lt;E1153), "Yes", "No"),"No")</f>
        <v>No</v>
      </c>
      <c r="K1153" s="39">
        <f>IF(I1153 = "Yes", M1152/(C1153+CostBuy), IF(J1153 = "Yes", 0, K1152))</f>
        <v>132047.22910863272</v>
      </c>
      <c r="M1153" s="19">
        <f>IF(I1153 = "Yes", M1152-(C1153+CostBuy)*K1153, IF(J1153="Yes", M1152+(C1153-CostSell)*K1152, M1152+K1153*Rate))</f>
        <v>19807.084366293046</v>
      </c>
    </row>
    <row r="1154" spans="2:13" s="11" customFormat="1" x14ac:dyDescent="0.2">
      <c r="B1154" s="24">
        <v>1966.01</v>
      </c>
      <c r="C1154" s="25">
        <v>93.32</v>
      </c>
      <c r="D1154" s="40">
        <f t="shared" si="24"/>
        <v>89.341666666666654</v>
      </c>
      <c r="E1154" s="40">
        <f t="shared" si="25"/>
        <v>88.796250000000001</v>
      </c>
      <c r="F1154" s="12"/>
      <c r="G1154" s="18" t="str">
        <f t="shared" si="26"/>
        <v>Yes</v>
      </c>
      <c r="H1154" s="12"/>
      <c r="I1154" s="39" t="str">
        <f>IF(BuyAllowed="Yes",IF(AND(G1154 = "No", C1154&gt;D1154), "Yes", "No"),"No")</f>
        <v>No</v>
      </c>
      <c r="J1154" s="39" t="str">
        <f>IF(SellAllowed="Yes",IF(AND(G1154 = "Yes", C1154&lt;E1154), "Yes", "No"),"No")</f>
        <v>No</v>
      </c>
      <c r="K1154" s="39">
        <f>IF(I1154 = "Yes", M1153/(C1154+CostBuy), IF(J1154 = "Yes", 0, K1153))</f>
        <v>132047.22910863272</v>
      </c>
      <c r="M1154" s="19">
        <f>IF(I1154 = "Yes", M1153-(C1154+CostBuy)*K1154, IF(J1154="Yes", M1153+(C1154-CostSell)*K1153, M1153+K1154*Rate))</f>
        <v>26409.445821724683</v>
      </c>
    </row>
    <row r="1155" spans="2:13" s="11" customFormat="1" x14ac:dyDescent="0.2">
      <c r="B1155" s="24">
        <v>1966.02</v>
      </c>
      <c r="C1155" s="25">
        <v>92.69</v>
      </c>
      <c r="D1155" s="40">
        <f t="shared" si="24"/>
        <v>90.743333333333339</v>
      </c>
      <c r="E1155" s="40">
        <f t="shared" si="25"/>
        <v>89.30125000000001</v>
      </c>
      <c r="F1155" s="12"/>
      <c r="G1155" s="18" t="str">
        <f t="shared" si="26"/>
        <v>Yes</v>
      </c>
      <c r="H1155" s="12"/>
      <c r="I1155" s="39" t="str">
        <f>IF(BuyAllowed="Yes",IF(AND(G1155 = "No", C1155&gt;D1155), "Yes", "No"),"No")</f>
        <v>No</v>
      </c>
      <c r="J1155" s="39" t="str">
        <f>IF(SellAllowed="Yes",IF(AND(G1155 = "Yes", C1155&lt;E1155), "Yes", "No"),"No")</f>
        <v>No</v>
      </c>
      <c r="K1155" s="39">
        <f>IF(I1155 = "Yes", M1154/(C1155+CostBuy), IF(J1155 = "Yes", 0, K1154))</f>
        <v>132047.22910863272</v>
      </c>
      <c r="M1155" s="19">
        <f>IF(I1155 = "Yes", M1154-(C1155+CostBuy)*K1155, IF(J1155="Yes", M1154+(C1155-CostSell)*K1154, M1154+K1155*Rate))</f>
        <v>33011.807277156317</v>
      </c>
    </row>
    <row r="1156" spans="2:13" s="11" customFormat="1" x14ac:dyDescent="0.2">
      <c r="B1156" s="24">
        <v>1966.03</v>
      </c>
      <c r="C1156" s="25">
        <v>88.88</v>
      </c>
      <c r="D1156" s="40">
        <f t="shared" si="24"/>
        <v>91.776666666666657</v>
      </c>
      <c r="E1156" s="40">
        <f t="shared" si="25"/>
        <v>90.257499999999993</v>
      </c>
      <c r="F1156" s="12"/>
      <c r="G1156" s="18" t="str">
        <f t="shared" si="26"/>
        <v>Yes</v>
      </c>
      <c r="H1156" s="12"/>
      <c r="I1156" s="39" t="str">
        <f>IF(BuyAllowed="Yes",IF(AND(G1156 = "No", C1156&gt;D1156), "Yes", "No"),"No")</f>
        <v>No</v>
      </c>
      <c r="J1156" s="39" t="str">
        <f>IF(SellAllowed="Yes",IF(AND(G1156 = "Yes", C1156&lt;E1156), "Yes", "No"),"No")</f>
        <v>Yes</v>
      </c>
      <c r="K1156" s="39">
        <f>IF(I1156 = "Yes", M1155/(C1156+CostBuy), IF(J1156 = "Yes", 0, K1155))</f>
        <v>0</v>
      </c>
      <c r="M1156" s="19">
        <f>IF(I1156 = "Yes", M1155-(C1156+CostBuy)*K1156, IF(J1156="Yes", M1155+(C1156-CostSell)*K1155, M1155+K1156*Rate))</f>
        <v>11761446.696705913</v>
      </c>
    </row>
    <row r="1157" spans="2:13" s="11" customFormat="1" x14ac:dyDescent="0.2">
      <c r="B1157" s="24">
        <v>1966.04</v>
      </c>
      <c r="C1157" s="25">
        <v>91.6</v>
      </c>
      <c r="D1157" s="40">
        <f t="shared" si="24"/>
        <v>91.693333333333342</v>
      </c>
      <c r="E1157" s="40">
        <f t="shared" si="25"/>
        <v>90.753750000000011</v>
      </c>
      <c r="F1157" s="12"/>
      <c r="G1157" s="18" t="str">
        <f t="shared" si="26"/>
        <v>No</v>
      </c>
      <c r="H1157" s="12"/>
      <c r="I1157" s="39" t="str">
        <f>IF(BuyAllowed="Yes",IF(AND(G1157 = "No", C1157&gt;D1157), "Yes", "No"),"No")</f>
        <v>No</v>
      </c>
      <c r="J1157" s="39" t="str">
        <f>IF(SellAllowed="Yes",IF(AND(G1157 = "Yes", C1157&lt;E1157), "Yes", "No"),"No")</f>
        <v>No</v>
      </c>
      <c r="K1157" s="39">
        <f>IF(I1157 = "Yes", M1156/(C1157+CostBuy), IF(J1157 = "Yes", 0, K1156))</f>
        <v>0</v>
      </c>
      <c r="M1157" s="19">
        <f>IF(I1157 = "Yes", M1156-(C1157+CostBuy)*K1157, IF(J1157="Yes", M1156+(C1157-CostSell)*K1156, M1156+K1157*Rate))</f>
        <v>11761446.696705913</v>
      </c>
    </row>
    <row r="1158" spans="2:13" s="11" customFormat="1" x14ac:dyDescent="0.2">
      <c r="B1158" s="24">
        <v>1966.05</v>
      </c>
      <c r="C1158" s="25">
        <v>86.78</v>
      </c>
      <c r="D1158" s="40">
        <f t="shared" si="24"/>
        <v>91.728333333333339</v>
      </c>
      <c r="E1158" s="40">
        <f t="shared" si="25"/>
        <v>91.392499999999998</v>
      </c>
      <c r="F1158" s="12"/>
      <c r="G1158" s="18" t="str">
        <f t="shared" si="26"/>
        <v>No</v>
      </c>
      <c r="H1158" s="12"/>
      <c r="I1158" s="39" t="str">
        <f>IF(BuyAllowed="Yes",IF(AND(G1158 = "No", C1158&gt;D1158), "Yes", "No"),"No")</f>
        <v>No</v>
      </c>
      <c r="J1158" s="39" t="str">
        <f>IF(SellAllowed="Yes",IF(AND(G1158 = "Yes", C1158&lt;E1158), "Yes", "No"),"No")</f>
        <v>No</v>
      </c>
      <c r="K1158" s="39">
        <f>IF(I1158 = "Yes", M1157/(C1158+CostBuy), IF(J1158 = "Yes", 0, K1157))</f>
        <v>0</v>
      </c>
      <c r="M1158" s="19">
        <f>IF(I1158 = "Yes", M1157-(C1158+CostBuy)*K1158, IF(J1158="Yes", M1157+(C1158-CostSell)*K1157, M1157+K1158*Rate))</f>
        <v>11761446.696705913</v>
      </c>
    </row>
    <row r="1159" spans="2:13" s="11" customFormat="1" x14ac:dyDescent="0.2">
      <c r="B1159" s="24">
        <v>1966.06</v>
      </c>
      <c r="C1159" s="25">
        <v>86.06</v>
      </c>
      <c r="D1159" s="40">
        <f t="shared" si="24"/>
        <v>90.833333333333329</v>
      </c>
      <c r="E1159" s="40">
        <f t="shared" si="25"/>
        <v>91.06750000000001</v>
      </c>
      <c r="F1159" s="12"/>
      <c r="G1159" s="18" t="str">
        <f t="shared" si="26"/>
        <v>No</v>
      </c>
      <c r="H1159" s="12"/>
      <c r="I1159" s="39" t="str">
        <f>IF(BuyAllowed="Yes",IF(AND(G1159 = "No", C1159&gt;D1159), "Yes", "No"),"No")</f>
        <v>No</v>
      </c>
      <c r="J1159" s="39" t="str">
        <f>IF(SellAllowed="Yes",IF(AND(G1159 = "Yes", C1159&lt;E1159), "Yes", "No"),"No")</f>
        <v>No</v>
      </c>
      <c r="K1159" s="39">
        <f>IF(I1159 = "Yes", M1158/(C1159+CostBuy), IF(J1159 = "Yes", 0, K1158))</f>
        <v>0</v>
      </c>
      <c r="M1159" s="19">
        <f>IF(I1159 = "Yes", M1158-(C1159+CostBuy)*K1159, IF(J1159="Yes", M1158+(C1159-CostSell)*K1158, M1158+K1159*Rate))</f>
        <v>11761446.696705913</v>
      </c>
    </row>
    <row r="1160" spans="2:13" s="11" customFormat="1" x14ac:dyDescent="0.2">
      <c r="B1160" s="24">
        <v>1966.07</v>
      </c>
      <c r="C1160" s="25">
        <v>85.84</v>
      </c>
      <c r="D1160" s="40">
        <f t="shared" si="24"/>
        <v>89.888333333333321</v>
      </c>
      <c r="E1160" s="40">
        <f t="shared" si="25"/>
        <v>90.401250000000005</v>
      </c>
      <c r="F1160" s="12"/>
      <c r="G1160" s="18" t="str">
        <f t="shared" si="26"/>
        <v>No</v>
      </c>
      <c r="H1160" s="12"/>
      <c r="I1160" s="39" t="str">
        <f>IF(BuyAllowed="Yes",IF(AND(G1160 = "No", C1160&gt;D1160), "Yes", "No"),"No")</f>
        <v>No</v>
      </c>
      <c r="J1160" s="39" t="str">
        <f>IF(SellAllowed="Yes",IF(AND(G1160 = "Yes", C1160&lt;E1160), "Yes", "No"),"No")</f>
        <v>No</v>
      </c>
      <c r="K1160" s="39">
        <f>IF(I1160 = "Yes", M1159/(C1160+CostBuy), IF(J1160 = "Yes", 0, K1159))</f>
        <v>0</v>
      </c>
      <c r="M1160" s="19">
        <f>IF(I1160 = "Yes", M1159-(C1160+CostBuy)*K1160, IF(J1160="Yes", M1159+(C1160-CostSell)*K1159, M1159+K1160*Rate))</f>
        <v>11761446.696705913</v>
      </c>
    </row>
    <row r="1161" spans="2:13" s="11" customFormat="1" x14ac:dyDescent="0.2">
      <c r="B1161" s="24">
        <v>1966.08</v>
      </c>
      <c r="C1161" s="25">
        <v>80.650000000000006</v>
      </c>
      <c r="D1161" s="40">
        <f t="shared" si="24"/>
        <v>88.641666666666652</v>
      </c>
      <c r="E1161" s="40">
        <f t="shared" si="25"/>
        <v>89.612499999999997</v>
      </c>
      <c r="F1161" s="12"/>
      <c r="G1161" s="18" t="str">
        <f t="shared" si="26"/>
        <v>No</v>
      </c>
      <c r="H1161" s="12"/>
      <c r="I1161" s="39" t="str">
        <f>IF(BuyAllowed="Yes",IF(AND(G1161 = "No", C1161&gt;D1161), "Yes", "No"),"No")</f>
        <v>No</v>
      </c>
      <c r="J1161" s="39" t="str">
        <f>IF(SellAllowed="Yes",IF(AND(G1161 = "Yes", C1161&lt;E1161), "Yes", "No"),"No")</f>
        <v>No</v>
      </c>
      <c r="K1161" s="39">
        <f>IF(I1161 = "Yes", M1160/(C1161+CostBuy), IF(J1161 = "Yes", 0, K1160))</f>
        <v>0</v>
      </c>
      <c r="M1161" s="19">
        <f>IF(I1161 = "Yes", M1160-(C1161+CostBuy)*K1161, IF(J1161="Yes", M1160+(C1161-CostSell)*K1160, M1160+K1161*Rate))</f>
        <v>11761446.696705913</v>
      </c>
    </row>
    <row r="1162" spans="2:13" s="11" customFormat="1" x14ac:dyDescent="0.2">
      <c r="B1162" s="24">
        <v>1966.09</v>
      </c>
      <c r="C1162" s="25">
        <v>77.81</v>
      </c>
      <c r="D1162" s="40">
        <f t="shared" si="24"/>
        <v>86.634999999999991</v>
      </c>
      <c r="E1162" s="40">
        <f t="shared" si="25"/>
        <v>88.227499999999992</v>
      </c>
      <c r="F1162" s="12"/>
      <c r="G1162" s="18" t="str">
        <f t="shared" si="26"/>
        <v>No</v>
      </c>
      <c r="H1162" s="12"/>
      <c r="I1162" s="39" t="str">
        <f>IF(BuyAllowed="Yes",IF(AND(G1162 = "No", C1162&gt;D1162), "Yes", "No"),"No")</f>
        <v>No</v>
      </c>
      <c r="J1162" s="39" t="str">
        <f>IF(SellAllowed="Yes",IF(AND(G1162 = "Yes", C1162&lt;E1162), "Yes", "No"),"No")</f>
        <v>No</v>
      </c>
      <c r="K1162" s="39">
        <f>IF(I1162 = "Yes", M1161/(C1162+CostBuy), IF(J1162 = "Yes", 0, K1161))</f>
        <v>0</v>
      </c>
      <c r="M1162" s="19">
        <f>IF(I1162 = "Yes", M1161-(C1162+CostBuy)*K1162, IF(J1162="Yes", M1161+(C1162-CostSell)*K1161, M1161+K1162*Rate))</f>
        <v>11761446.696705913</v>
      </c>
    </row>
    <row r="1163" spans="2:13" s="11" customFormat="1" x14ac:dyDescent="0.2">
      <c r="B1163" s="24">
        <v>1966.1</v>
      </c>
      <c r="C1163" s="25">
        <v>77.13</v>
      </c>
      <c r="D1163" s="40">
        <f t="shared" si="24"/>
        <v>84.789999999999992</v>
      </c>
      <c r="E1163" s="40">
        <f t="shared" si="25"/>
        <v>86.288749999999993</v>
      </c>
      <c r="F1163" s="12"/>
      <c r="G1163" s="18" t="str">
        <f t="shared" si="26"/>
        <v>No</v>
      </c>
      <c r="H1163" s="12"/>
      <c r="I1163" s="39" t="str">
        <f>IF(BuyAllowed="Yes",IF(AND(G1163 = "No", C1163&gt;D1163), "Yes", "No"),"No")</f>
        <v>No</v>
      </c>
      <c r="J1163" s="39" t="str">
        <f>IF(SellAllowed="Yes",IF(AND(G1163 = "Yes", C1163&lt;E1163), "Yes", "No"),"No")</f>
        <v>No</v>
      </c>
      <c r="K1163" s="39">
        <f>IF(I1163 = "Yes", M1162/(C1163+CostBuy), IF(J1163 = "Yes", 0, K1162))</f>
        <v>0</v>
      </c>
      <c r="M1163" s="19">
        <f>IF(I1163 = "Yes", M1162-(C1163+CostBuy)*K1163, IF(J1163="Yes", M1162+(C1163-CostSell)*K1162, M1162+K1163*Rate))</f>
        <v>11761446.696705913</v>
      </c>
    </row>
    <row r="1164" spans="2:13" s="11" customFormat="1" x14ac:dyDescent="0.2">
      <c r="B1164" s="24">
        <v>1966.11</v>
      </c>
      <c r="C1164" s="25">
        <v>80.989999999999995</v>
      </c>
      <c r="D1164" s="40">
        <f t="shared" si="24"/>
        <v>82.378333333333345</v>
      </c>
      <c r="E1164" s="40">
        <f t="shared" si="25"/>
        <v>84.343749999999986</v>
      </c>
      <c r="F1164" s="12"/>
      <c r="G1164" s="18" t="str">
        <f t="shared" si="26"/>
        <v>No</v>
      </c>
      <c r="H1164" s="12"/>
      <c r="I1164" s="39" t="str">
        <f>IF(BuyAllowed="Yes",IF(AND(G1164 = "No", C1164&gt;D1164), "Yes", "No"),"No")</f>
        <v>No</v>
      </c>
      <c r="J1164" s="39" t="str">
        <f>IF(SellAllowed="Yes",IF(AND(G1164 = "Yes", C1164&lt;E1164), "Yes", "No"),"No")</f>
        <v>No</v>
      </c>
      <c r="K1164" s="39">
        <f>IF(I1164 = "Yes", M1163/(C1164+CostBuy), IF(J1164 = "Yes", 0, K1163))</f>
        <v>0</v>
      </c>
      <c r="M1164" s="19">
        <f>IF(I1164 = "Yes", M1163-(C1164+CostBuy)*K1164, IF(J1164="Yes", M1163+(C1164-CostSell)*K1163, M1163+K1164*Rate))</f>
        <v>11761446.696705913</v>
      </c>
    </row>
    <row r="1165" spans="2:13" s="11" customFormat="1" x14ac:dyDescent="0.2">
      <c r="B1165" s="24">
        <v>1966.12</v>
      </c>
      <c r="C1165" s="25">
        <v>81.33</v>
      </c>
      <c r="D1165" s="40">
        <f t="shared" si="24"/>
        <v>81.413333333333341</v>
      </c>
      <c r="E1165" s="40">
        <f t="shared" si="25"/>
        <v>83.357499999999987</v>
      </c>
      <c r="F1165" s="12"/>
      <c r="G1165" s="18" t="str">
        <f t="shared" si="26"/>
        <v>No</v>
      </c>
      <c r="H1165" s="12"/>
      <c r="I1165" s="39" t="str">
        <f>IF(BuyAllowed="Yes",IF(AND(G1165 = "No", C1165&gt;D1165), "Yes", "No"),"No")</f>
        <v>No</v>
      </c>
      <c r="J1165" s="39" t="str">
        <f>IF(SellAllowed="Yes",IF(AND(G1165 = "Yes", C1165&lt;E1165), "Yes", "No"),"No")</f>
        <v>No</v>
      </c>
      <c r="K1165" s="39">
        <f>IF(I1165 = "Yes", M1164/(C1165+CostBuy), IF(J1165 = "Yes", 0, K1164))</f>
        <v>0</v>
      </c>
      <c r="M1165" s="19">
        <f>IF(I1165 = "Yes", M1164-(C1165+CostBuy)*K1165, IF(J1165="Yes", M1164+(C1165-CostSell)*K1164, M1164+K1165*Rate))</f>
        <v>11761446.696705913</v>
      </c>
    </row>
    <row r="1166" spans="2:13" s="11" customFormat="1" x14ac:dyDescent="0.2">
      <c r="B1166" s="24">
        <v>1967.01</v>
      </c>
      <c r="C1166" s="25">
        <v>84.45</v>
      </c>
      <c r="D1166" s="40">
        <f t="shared" si="24"/>
        <v>80.625</v>
      </c>
      <c r="E1166" s="40">
        <f t="shared" si="25"/>
        <v>82.073750000000004</v>
      </c>
      <c r="F1166" s="12"/>
      <c r="G1166" s="18" t="str">
        <f t="shared" si="26"/>
        <v>No</v>
      </c>
      <c r="H1166" s="12"/>
      <c r="I1166" s="39" t="str">
        <f>IF(BuyAllowed="Yes",IF(AND(G1166 = "No", C1166&gt;D1166), "Yes", "No"),"No")</f>
        <v>Yes</v>
      </c>
      <c r="J1166" s="39" t="str">
        <f>IF(SellAllowed="Yes",IF(AND(G1166 = "Yes", C1166&lt;E1166), "Yes", "No"),"No")</f>
        <v>No</v>
      </c>
      <c r="K1166" s="39">
        <f>IF(I1166 = "Yes", M1165/(C1166+CostBuy), IF(J1166 = "Yes", 0, K1165))</f>
        <v>139221.67017881051</v>
      </c>
      <c r="M1166" s="19">
        <f>IF(I1166 = "Yes", M1165-(C1166+CostBuy)*K1166, IF(J1166="Yes", M1165+(C1166-CostSell)*K1165, M1165+K1166*Rate))</f>
        <v>0</v>
      </c>
    </row>
    <row r="1167" spans="2:13" s="11" customFormat="1" x14ac:dyDescent="0.2">
      <c r="B1167" s="24">
        <v>1967.02</v>
      </c>
      <c r="C1167" s="25">
        <v>87.36</v>
      </c>
      <c r="D1167" s="40">
        <f t="shared" si="24"/>
        <v>80.393333333333331</v>
      </c>
      <c r="E1167" s="40">
        <f t="shared" si="25"/>
        <v>81.782500000000013</v>
      </c>
      <c r="F1167" s="12"/>
      <c r="G1167" s="18" t="str">
        <f t="shared" si="26"/>
        <v>Yes</v>
      </c>
      <c r="H1167" s="12"/>
      <c r="I1167" s="39" t="str">
        <f>IF(BuyAllowed="Yes",IF(AND(G1167 = "No", C1167&gt;D1167), "Yes", "No"),"No")</f>
        <v>No</v>
      </c>
      <c r="J1167" s="39" t="str">
        <f>IF(SellAllowed="Yes",IF(AND(G1167 = "Yes", C1167&lt;E1167), "Yes", "No"),"No")</f>
        <v>No</v>
      </c>
      <c r="K1167" s="39">
        <f>IF(I1167 = "Yes", M1166/(C1167+CostBuy), IF(J1167 = "Yes", 0, K1166))</f>
        <v>139221.67017881051</v>
      </c>
      <c r="M1167" s="19">
        <f>IF(I1167 = "Yes", M1166-(C1167+CostBuy)*K1167, IF(J1167="Yes", M1166+(C1167-CostSell)*K1166, M1166+K1167*Rate))</f>
        <v>6961.0835089405264</v>
      </c>
    </row>
    <row r="1168" spans="2:13" s="11" customFormat="1" x14ac:dyDescent="0.2">
      <c r="B1168" s="24">
        <v>1967.03</v>
      </c>
      <c r="C1168" s="25">
        <v>89.42</v>
      </c>
      <c r="D1168" s="40">
        <f t="shared" si="24"/>
        <v>81.51166666666667</v>
      </c>
      <c r="E1168" s="40">
        <f t="shared" si="25"/>
        <v>81.945000000000007</v>
      </c>
      <c r="F1168" s="12"/>
      <c r="G1168" s="18" t="str">
        <f t="shared" si="26"/>
        <v>Yes</v>
      </c>
      <c r="H1168" s="12"/>
      <c r="I1168" s="39" t="str">
        <f>IF(BuyAllowed="Yes",IF(AND(G1168 = "No", C1168&gt;D1168), "Yes", "No"),"No")</f>
        <v>No</v>
      </c>
      <c r="J1168" s="39" t="str">
        <f>IF(SellAllowed="Yes",IF(AND(G1168 = "Yes", C1168&lt;E1168), "Yes", "No"),"No")</f>
        <v>No</v>
      </c>
      <c r="K1168" s="39">
        <f>IF(I1168 = "Yes", M1167/(C1168+CostBuy), IF(J1168 = "Yes", 0, K1167))</f>
        <v>139221.67017881051</v>
      </c>
      <c r="M1168" s="19">
        <f>IF(I1168 = "Yes", M1167-(C1168+CostBuy)*K1168, IF(J1168="Yes", M1167+(C1168-CostSell)*K1167, M1167+K1168*Rate))</f>
        <v>13922.167017881053</v>
      </c>
    </row>
    <row r="1169" spans="2:13" s="11" customFormat="1" x14ac:dyDescent="0.2">
      <c r="B1169" s="24">
        <v>1967.04</v>
      </c>
      <c r="C1169" s="25">
        <v>90.96</v>
      </c>
      <c r="D1169" s="40">
        <f t="shared" si="24"/>
        <v>83.446666666666673</v>
      </c>
      <c r="E1169" s="40">
        <f t="shared" si="25"/>
        <v>82.392499999999984</v>
      </c>
      <c r="F1169" s="12"/>
      <c r="G1169" s="18" t="str">
        <f t="shared" si="26"/>
        <v>Yes</v>
      </c>
      <c r="H1169" s="12"/>
      <c r="I1169" s="39" t="str">
        <f>IF(BuyAllowed="Yes",IF(AND(G1169 = "No", C1169&gt;D1169), "Yes", "No"),"No")</f>
        <v>No</v>
      </c>
      <c r="J1169" s="39" t="str">
        <f>IF(SellAllowed="Yes",IF(AND(G1169 = "Yes", C1169&lt;E1169), "Yes", "No"),"No")</f>
        <v>No</v>
      </c>
      <c r="K1169" s="39">
        <f>IF(I1169 = "Yes", M1168/(C1169+CostBuy), IF(J1169 = "Yes", 0, K1168))</f>
        <v>139221.67017881051</v>
      </c>
      <c r="M1169" s="19">
        <f>IF(I1169 = "Yes", M1168-(C1169+CostBuy)*K1169, IF(J1169="Yes", M1168+(C1169-CostSell)*K1168, M1168+K1169*Rate))</f>
        <v>20883.250526821579</v>
      </c>
    </row>
    <row r="1170" spans="2:13" s="11" customFormat="1" x14ac:dyDescent="0.2">
      <c r="B1170" s="24">
        <v>1967.05</v>
      </c>
      <c r="C1170" s="25">
        <v>92.59</v>
      </c>
      <c r="D1170" s="40">
        <f t="shared" si="24"/>
        <v>85.751666666666665</v>
      </c>
      <c r="E1170" s="40">
        <f t="shared" si="25"/>
        <v>83.681250000000006</v>
      </c>
      <c r="F1170" s="12"/>
      <c r="G1170" s="18" t="str">
        <f t="shared" si="26"/>
        <v>Yes</v>
      </c>
      <c r="H1170" s="12"/>
      <c r="I1170" s="39" t="str">
        <f>IF(BuyAllowed="Yes",IF(AND(G1170 = "No", C1170&gt;D1170), "Yes", "No"),"No")</f>
        <v>No</v>
      </c>
      <c r="J1170" s="39" t="str">
        <f>IF(SellAllowed="Yes",IF(AND(G1170 = "Yes", C1170&lt;E1170), "Yes", "No"),"No")</f>
        <v>No</v>
      </c>
      <c r="K1170" s="39">
        <f>IF(I1170 = "Yes", M1169/(C1170+CostBuy), IF(J1170 = "Yes", 0, K1169))</f>
        <v>139221.67017881051</v>
      </c>
      <c r="M1170" s="19">
        <f>IF(I1170 = "Yes", M1169-(C1170+CostBuy)*K1170, IF(J1170="Yes", M1169+(C1170-CostSell)*K1169, M1169+K1170*Rate))</f>
        <v>27844.334035762105</v>
      </c>
    </row>
    <row r="1171" spans="2:13" s="11" customFormat="1" x14ac:dyDescent="0.2">
      <c r="B1171" s="24">
        <v>1967.06</v>
      </c>
      <c r="C1171" s="25">
        <v>91.43</v>
      </c>
      <c r="D1171" s="40">
        <f t="shared" si="24"/>
        <v>87.685000000000002</v>
      </c>
      <c r="E1171" s="40">
        <f t="shared" si="25"/>
        <v>85.528750000000002</v>
      </c>
      <c r="F1171" s="12"/>
      <c r="G1171" s="18" t="str">
        <f t="shared" si="26"/>
        <v>Yes</v>
      </c>
      <c r="H1171" s="12"/>
      <c r="I1171" s="39" t="str">
        <f>IF(BuyAllowed="Yes",IF(AND(G1171 = "No", C1171&gt;D1171), "Yes", "No"),"No")</f>
        <v>No</v>
      </c>
      <c r="J1171" s="39" t="str">
        <f>IF(SellAllowed="Yes",IF(AND(G1171 = "Yes", C1171&lt;E1171), "Yes", "No"),"No")</f>
        <v>No</v>
      </c>
      <c r="K1171" s="39">
        <f>IF(I1171 = "Yes", M1170/(C1171+CostBuy), IF(J1171 = "Yes", 0, K1170))</f>
        <v>139221.67017881051</v>
      </c>
      <c r="M1171" s="19">
        <f>IF(I1171 = "Yes", M1170-(C1171+CostBuy)*K1171, IF(J1171="Yes", M1170+(C1171-CostSell)*K1170, M1170+K1171*Rate))</f>
        <v>34805.417544702635</v>
      </c>
    </row>
    <row r="1172" spans="2:13" s="11" customFormat="1" x14ac:dyDescent="0.2">
      <c r="B1172" s="24">
        <v>1967.07</v>
      </c>
      <c r="C1172" s="25">
        <v>93.01</v>
      </c>
      <c r="D1172" s="40">
        <f t="shared" si="24"/>
        <v>89.368333333333339</v>
      </c>
      <c r="E1172" s="40">
        <f t="shared" si="25"/>
        <v>87.316249999999997</v>
      </c>
      <c r="F1172" s="12"/>
      <c r="G1172" s="18" t="str">
        <f t="shared" si="26"/>
        <v>Yes</v>
      </c>
      <c r="H1172" s="12"/>
      <c r="I1172" s="39" t="str">
        <f>IF(BuyAllowed="Yes",IF(AND(G1172 = "No", C1172&gt;D1172), "Yes", "No"),"No")</f>
        <v>No</v>
      </c>
      <c r="J1172" s="39" t="str">
        <f>IF(SellAllowed="Yes",IF(AND(G1172 = "Yes", C1172&lt;E1172), "Yes", "No"),"No")</f>
        <v>No</v>
      </c>
      <c r="K1172" s="39">
        <f>IF(I1172 = "Yes", M1171/(C1172+CostBuy), IF(J1172 = "Yes", 0, K1171))</f>
        <v>139221.67017881051</v>
      </c>
      <c r="M1172" s="19">
        <f>IF(I1172 = "Yes", M1171-(C1172+CostBuy)*K1172, IF(J1172="Yes", M1171+(C1172-CostSell)*K1171, M1171+K1172*Rate))</f>
        <v>41766.501053643166</v>
      </c>
    </row>
    <row r="1173" spans="2:13" s="11" customFormat="1" x14ac:dyDescent="0.2">
      <c r="B1173" s="24">
        <v>1967.08</v>
      </c>
      <c r="C1173" s="25">
        <v>94.49</v>
      </c>
      <c r="D1173" s="40">
        <f t="shared" si="24"/>
        <v>90.795000000000016</v>
      </c>
      <c r="E1173" s="40">
        <f t="shared" si="25"/>
        <v>88.818749999999994</v>
      </c>
      <c r="F1173" s="12"/>
      <c r="G1173" s="18" t="str">
        <f t="shared" si="26"/>
        <v>Yes</v>
      </c>
      <c r="H1173" s="12"/>
      <c r="I1173" s="39" t="str">
        <f>IF(BuyAllowed="Yes",IF(AND(G1173 = "No", C1173&gt;D1173), "Yes", "No"),"No")</f>
        <v>No</v>
      </c>
      <c r="J1173" s="39" t="str">
        <f>IF(SellAllowed="Yes",IF(AND(G1173 = "Yes", C1173&lt;E1173), "Yes", "No"),"No")</f>
        <v>No</v>
      </c>
      <c r="K1173" s="39">
        <f>IF(I1173 = "Yes", M1172/(C1173+CostBuy), IF(J1173 = "Yes", 0, K1172))</f>
        <v>139221.67017881051</v>
      </c>
      <c r="M1173" s="19">
        <f>IF(I1173 = "Yes", M1172-(C1173+CostBuy)*K1173, IF(J1173="Yes", M1172+(C1173-CostSell)*K1172, M1172+K1173*Rate))</f>
        <v>48727.584562583696</v>
      </c>
    </row>
    <row r="1174" spans="2:13" s="11" customFormat="1" x14ac:dyDescent="0.2">
      <c r="B1174" s="24">
        <v>1967.09</v>
      </c>
      <c r="C1174" s="25">
        <v>95.81</v>
      </c>
      <c r="D1174" s="40">
        <f t="shared" si="24"/>
        <v>91.983333333333334</v>
      </c>
      <c r="E1174" s="40">
        <f t="shared" si="25"/>
        <v>90.463750000000005</v>
      </c>
      <c r="F1174" s="12"/>
      <c r="G1174" s="18" t="str">
        <f t="shared" si="26"/>
        <v>Yes</v>
      </c>
      <c r="H1174" s="12"/>
      <c r="I1174" s="39" t="str">
        <f>IF(BuyAllowed="Yes",IF(AND(G1174 = "No", C1174&gt;D1174), "Yes", "No"),"No")</f>
        <v>No</v>
      </c>
      <c r="J1174" s="39" t="str">
        <f>IF(SellAllowed="Yes",IF(AND(G1174 = "Yes", C1174&lt;E1174), "Yes", "No"),"No")</f>
        <v>No</v>
      </c>
      <c r="K1174" s="39">
        <f>IF(I1174 = "Yes", M1173/(C1174+CostBuy), IF(J1174 = "Yes", 0, K1173))</f>
        <v>139221.67017881051</v>
      </c>
      <c r="M1174" s="19">
        <f>IF(I1174 = "Yes", M1173-(C1174+CostBuy)*K1174, IF(J1174="Yes", M1173+(C1174-CostSell)*K1173, M1173+K1174*Rate))</f>
        <v>55688.668071524226</v>
      </c>
    </row>
    <row r="1175" spans="2:13" s="11" customFormat="1" x14ac:dyDescent="0.2">
      <c r="B1175" s="24">
        <v>1967.1</v>
      </c>
      <c r="C1175" s="25">
        <v>95.66</v>
      </c>
      <c r="D1175" s="40">
        <f t="shared" si="24"/>
        <v>93.048333333333332</v>
      </c>
      <c r="E1175" s="40">
        <f t="shared" si="25"/>
        <v>91.88375000000002</v>
      </c>
      <c r="F1175" s="12"/>
      <c r="G1175" s="18" t="str">
        <f t="shared" si="26"/>
        <v>Yes</v>
      </c>
      <c r="H1175" s="12"/>
      <c r="I1175" s="39" t="str">
        <f>IF(BuyAllowed="Yes",IF(AND(G1175 = "No", C1175&gt;D1175), "Yes", "No"),"No")</f>
        <v>No</v>
      </c>
      <c r="J1175" s="39" t="str">
        <f>IF(SellAllowed="Yes",IF(AND(G1175 = "Yes", C1175&lt;E1175), "Yes", "No"),"No")</f>
        <v>No</v>
      </c>
      <c r="K1175" s="39">
        <f>IF(I1175 = "Yes", M1174/(C1175+CostBuy), IF(J1175 = "Yes", 0, K1174))</f>
        <v>139221.67017881051</v>
      </c>
      <c r="M1175" s="19">
        <f>IF(I1175 = "Yes", M1174-(C1175+CostBuy)*K1175, IF(J1175="Yes", M1174+(C1175-CostSell)*K1174, M1174+K1175*Rate))</f>
        <v>62649.751580464756</v>
      </c>
    </row>
    <row r="1176" spans="2:13" s="11" customFormat="1" x14ac:dyDescent="0.2">
      <c r="B1176" s="24">
        <v>1967.11</v>
      </c>
      <c r="C1176" s="25">
        <v>92.66</v>
      </c>
      <c r="D1176" s="40">
        <f t="shared" si="24"/>
        <v>93.831666666666663</v>
      </c>
      <c r="E1176" s="40">
        <f t="shared" si="25"/>
        <v>92.921250000000001</v>
      </c>
      <c r="F1176" s="12"/>
      <c r="G1176" s="18" t="str">
        <f t="shared" si="26"/>
        <v>Yes</v>
      </c>
      <c r="H1176" s="12"/>
      <c r="I1176" s="39" t="str">
        <f>IF(BuyAllowed="Yes",IF(AND(G1176 = "No", C1176&gt;D1176), "Yes", "No"),"No")</f>
        <v>No</v>
      </c>
      <c r="J1176" s="39" t="str">
        <f>IF(SellAllowed="Yes",IF(AND(G1176 = "Yes", C1176&lt;E1176), "Yes", "No"),"No")</f>
        <v>Yes</v>
      </c>
      <c r="K1176" s="39">
        <f>IF(I1176 = "Yes", M1175/(C1176+CostBuy), IF(J1176 = "Yes", 0, K1175))</f>
        <v>0</v>
      </c>
      <c r="M1176" s="19">
        <f>IF(I1176 = "Yes", M1175-(C1176+CostBuy)*K1176, IF(J1176="Yes", M1175+(C1176-CostSell)*K1175, M1175+K1176*Rate))</f>
        <v>12954576.410138318</v>
      </c>
    </row>
    <row r="1177" spans="2:13" s="11" customFormat="1" x14ac:dyDescent="0.2">
      <c r="B1177" s="24">
        <v>1967.12</v>
      </c>
      <c r="C1177" s="25">
        <v>95.3</v>
      </c>
      <c r="D1177" s="40">
        <f t="shared" si="24"/>
        <v>93.84333333333332</v>
      </c>
      <c r="E1177" s="40">
        <f t="shared" si="25"/>
        <v>93.326249999999987</v>
      </c>
      <c r="F1177" s="12"/>
      <c r="G1177" s="18" t="str">
        <f t="shared" si="26"/>
        <v>No</v>
      </c>
      <c r="H1177" s="12"/>
      <c r="I1177" s="39" t="str">
        <f>IF(BuyAllowed="Yes",IF(AND(G1177 = "No", C1177&gt;D1177), "Yes", "No"),"No")</f>
        <v>Yes</v>
      </c>
      <c r="J1177" s="39" t="str">
        <f>IF(SellAllowed="Yes",IF(AND(G1177 = "Yes", C1177&lt;E1177), "Yes", "No"),"No")</f>
        <v>No</v>
      </c>
      <c r="K1177" s="39">
        <f>IF(I1177 = "Yes", M1176/(C1177+CostBuy), IF(J1177 = "Yes", 0, K1176))</f>
        <v>135891.91660692665</v>
      </c>
      <c r="M1177" s="19">
        <f>IF(I1177 = "Yes", M1176-(C1177+CostBuy)*K1177, IF(J1177="Yes", M1176+(C1177-CostSell)*K1176, M1176+K1177*Rate))</f>
        <v>1.862645149230957E-9</v>
      </c>
    </row>
    <row r="1178" spans="2:13" s="11" customFormat="1" x14ac:dyDescent="0.2">
      <c r="B1178" s="24">
        <v>1968.01</v>
      </c>
      <c r="C1178" s="25">
        <v>95.04</v>
      </c>
      <c r="D1178" s="40">
        <f t="shared" si="24"/>
        <v>94.48833333333333</v>
      </c>
      <c r="E1178" s="40">
        <f t="shared" si="25"/>
        <v>93.868749999999991</v>
      </c>
      <c r="F1178" s="12"/>
      <c r="G1178" s="18" t="str">
        <f t="shared" si="26"/>
        <v>Yes</v>
      </c>
      <c r="H1178" s="12"/>
      <c r="I1178" s="39" t="str">
        <f>IF(BuyAllowed="Yes",IF(AND(G1178 = "No", C1178&gt;D1178), "Yes", "No"),"No")</f>
        <v>No</v>
      </c>
      <c r="J1178" s="39" t="str">
        <f>IF(SellAllowed="Yes",IF(AND(G1178 = "Yes", C1178&lt;E1178), "Yes", "No"),"No")</f>
        <v>No</v>
      </c>
      <c r="K1178" s="39">
        <f>IF(I1178 = "Yes", M1177/(C1178+CostBuy), IF(J1178 = "Yes", 0, K1177))</f>
        <v>135891.91660692665</v>
      </c>
      <c r="M1178" s="19">
        <f>IF(I1178 = "Yes", M1177-(C1178+CostBuy)*K1178, IF(J1178="Yes", M1177+(C1178-CostSell)*K1177, M1177+K1178*Rate))</f>
        <v>6794.5958303481957</v>
      </c>
    </row>
    <row r="1179" spans="2:13" s="11" customFormat="1" x14ac:dyDescent="0.2">
      <c r="B1179" s="24">
        <v>1968.02</v>
      </c>
      <c r="C1179" s="25">
        <v>90.75</v>
      </c>
      <c r="D1179" s="40">
        <f t="shared" ref="D1179:D1242" si="27">AVERAGE(C1173:C1178)</f>
        <v>94.826666666666668</v>
      </c>
      <c r="E1179" s="40">
        <f t="shared" ref="E1179:E1242" si="28">AVERAGE(C1171:C1178)</f>
        <v>94.174999999999983</v>
      </c>
      <c r="F1179" s="12"/>
      <c r="G1179" s="18" t="str">
        <f t="shared" si="26"/>
        <v>Yes</v>
      </c>
      <c r="H1179" s="12"/>
      <c r="I1179" s="39" t="str">
        <f>IF(BuyAllowed="Yes",IF(AND(G1179 = "No", C1179&gt;D1179), "Yes", "No"),"No")</f>
        <v>No</v>
      </c>
      <c r="J1179" s="39" t="str">
        <f>IF(SellAllowed="Yes",IF(AND(G1179 = "Yes", C1179&lt;E1179), "Yes", "No"),"No")</f>
        <v>Yes</v>
      </c>
      <c r="K1179" s="39">
        <f>IF(I1179 = "Yes", M1178/(C1179+CostBuy), IF(J1179 = "Yes", 0, K1178))</f>
        <v>0</v>
      </c>
      <c r="M1179" s="19">
        <f>IF(I1179 = "Yes", M1178-(C1179+CostBuy)*K1179, IF(J1179="Yes", M1178+(C1179-CostSell)*K1178, M1178+K1179*Rate))</f>
        <v>12330832.512912525</v>
      </c>
    </row>
    <row r="1180" spans="2:13" s="11" customFormat="1" x14ac:dyDescent="0.2">
      <c r="B1180" s="24">
        <v>1968.03</v>
      </c>
      <c r="C1180" s="25">
        <v>89.09</v>
      </c>
      <c r="D1180" s="40">
        <f t="shared" si="27"/>
        <v>94.203333333333333</v>
      </c>
      <c r="E1180" s="40">
        <f t="shared" si="28"/>
        <v>94.089999999999989</v>
      </c>
      <c r="F1180" s="12"/>
      <c r="G1180" s="18" t="str">
        <f t="shared" ref="G1180:G1243" si="29">IF(I1179 = "Yes", "Yes", IF(J1179="Yes", "No", G1179))</f>
        <v>No</v>
      </c>
      <c r="H1180" s="12"/>
      <c r="I1180" s="39" t="str">
        <f>IF(BuyAllowed="Yes",IF(AND(G1180 = "No", C1180&gt;D1180), "Yes", "No"),"No")</f>
        <v>No</v>
      </c>
      <c r="J1180" s="39" t="str">
        <f>IF(SellAllowed="Yes",IF(AND(G1180 = "Yes", C1180&lt;E1180), "Yes", "No"),"No")</f>
        <v>No</v>
      </c>
      <c r="K1180" s="39">
        <f>IF(I1180 = "Yes", M1179/(C1180+CostBuy), IF(J1180 = "Yes", 0, K1179))</f>
        <v>0</v>
      </c>
      <c r="M1180" s="19">
        <f>IF(I1180 = "Yes", M1179-(C1180+CostBuy)*K1180, IF(J1180="Yes", M1179+(C1180-CostSell)*K1179, M1179+K1180*Rate))</f>
        <v>12330832.512912525</v>
      </c>
    </row>
    <row r="1181" spans="2:13" s="11" customFormat="1" x14ac:dyDescent="0.2">
      <c r="B1181" s="24">
        <v>1968.04</v>
      </c>
      <c r="C1181" s="25">
        <v>95.67</v>
      </c>
      <c r="D1181" s="40">
        <f t="shared" si="27"/>
        <v>93.083333333333329</v>
      </c>
      <c r="E1181" s="40">
        <f t="shared" si="28"/>
        <v>93.600000000000009</v>
      </c>
      <c r="F1181" s="12"/>
      <c r="G1181" s="18" t="str">
        <f t="shared" si="29"/>
        <v>No</v>
      </c>
      <c r="H1181" s="12"/>
      <c r="I1181" s="39" t="str">
        <f>IF(BuyAllowed="Yes",IF(AND(G1181 = "No", C1181&gt;D1181), "Yes", "No"),"No")</f>
        <v>Yes</v>
      </c>
      <c r="J1181" s="39" t="str">
        <f>IF(SellAllowed="Yes",IF(AND(G1181 = "Yes", C1181&lt;E1181), "Yes", "No"),"No")</f>
        <v>No</v>
      </c>
      <c r="K1181" s="39">
        <f>IF(I1181 = "Yes", M1180/(C1181+CostBuy), IF(J1181 = "Yes", 0, K1180))</f>
        <v>128848.82458633777</v>
      </c>
      <c r="M1181" s="19">
        <f>IF(I1181 = "Yes", M1180-(C1181+CostBuy)*K1181, IF(J1181="Yes", M1180+(C1181-CostSell)*K1180, M1180+K1181*Rate))</f>
        <v>0</v>
      </c>
    </row>
    <row r="1182" spans="2:13" s="11" customFormat="1" x14ac:dyDescent="0.2">
      <c r="B1182" s="24">
        <v>1968.05</v>
      </c>
      <c r="C1182" s="25">
        <v>97.87</v>
      </c>
      <c r="D1182" s="40">
        <f t="shared" si="27"/>
        <v>93.084999999999994</v>
      </c>
      <c r="E1182" s="40">
        <f t="shared" si="28"/>
        <v>93.747500000000002</v>
      </c>
      <c r="F1182" s="12"/>
      <c r="G1182" s="18" t="str">
        <f t="shared" si="29"/>
        <v>Yes</v>
      </c>
      <c r="H1182" s="12"/>
      <c r="I1182" s="39" t="str">
        <f>IF(BuyAllowed="Yes",IF(AND(G1182 = "No", C1182&gt;D1182), "Yes", "No"),"No")</f>
        <v>No</v>
      </c>
      <c r="J1182" s="39" t="str">
        <f>IF(SellAllowed="Yes",IF(AND(G1182 = "Yes", C1182&lt;E1182), "Yes", "No"),"No")</f>
        <v>No</v>
      </c>
      <c r="K1182" s="39">
        <f>IF(I1182 = "Yes", M1181/(C1182+CostBuy), IF(J1182 = "Yes", 0, K1181))</f>
        <v>128848.82458633777</v>
      </c>
      <c r="M1182" s="19">
        <f>IF(I1182 = "Yes", M1181-(C1182+CostBuy)*K1182, IF(J1182="Yes", M1181+(C1182-CostSell)*K1181, M1181+K1182*Rate))</f>
        <v>6442.4412293168889</v>
      </c>
    </row>
    <row r="1183" spans="2:13" s="11" customFormat="1" x14ac:dyDescent="0.2">
      <c r="B1183" s="24">
        <v>1968.06</v>
      </c>
      <c r="C1183" s="25">
        <v>100.5</v>
      </c>
      <c r="D1183" s="40">
        <f t="shared" si="27"/>
        <v>93.953333333333333</v>
      </c>
      <c r="E1183" s="40">
        <f t="shared" si="28"/>
        <v>94.004999999999995</v>
      </c>
      <c r="F1183" s="12"/>
      <c r="G1183" s="18" t="str">
        <f t="shared" si="29"/>
        <v>Yes</v>
      </c>
      <c r="H1183" s="12"/>
      <c r="I1183" s="39" t="str">
        <f>IF(BuyAllowed="Yes",IF(AND(G1183 = "No", C1183&gt;D1183), "Yes", "No"),"No")</f>
        <v>No</v>
      </c>
      <c r="J1183" s="39" t="str">
        <f>IF(SellAllowed="Yes",IF(AND(G1183 = "Yes", C1183&lt;E1183), "Yes", "No"),"No")</f>
        <v>No</v>
      </c>
      <c r="K1183" s="39">
        <f>IF(I1183 = "Yes", M1182/(C1183+CostBuy), IF(J1183 = "Yes", 0, K1182))</f>
        <v>128848.82458633777</v>
      </c>
      <c r="M1183" s="19">
        <f>IF(I1183 = "Yes", M1182-(C1183+CostBuy)*K1183, IF(J1183="Yes", M1182+(C1183-CostSell)*K1182, M1182+K1183*Rate))</f>
        <v>12884.882458633778</v>
      </c>
    </row>
    <row r="1184" spans="2:13" s="11" customFormat="1" x14ac:dyDescent="0.2">
      <c r="B1184" s="24">
        <v>1968.07</v>
      </c>
      <c r="C1184" s="25">
        <v>100.3</v>
      </c>
      <c r="D1184" s="40">
        <f t="shared" si="27"/>
        <v>94.820000000000007</v>
      </c>
      <c r="E1184" s="40">
        <f t="shared" si="28"/>
        <v>94.61</v>
      </c>
      <c r="F1184" s="12"/>
      <c r="G1184" s="18" t="str">
        <f t="shared" si="29"/>
        <v>Yes</v>
      </c>
      <c r="H1184" s="12"/>
      <c r="I1184" s="39" t="str">
        <f>IF(BuyAllowed="Yes",IF(AND(G1184 = "No", C1184&gt;D1184), "Yes", "No"),"No")</f>
        <v>No</v>
      </c>
      <c r="J1184" s="39" t="str">
        <f>IF(SellAllowed="Yes",IF(AND(G1184 = "Yes", C1184&lt;E1184), "Yes", "No"),"No")</f>
        <v>No</v>
      </c>
      <c r="K1184" s="39">
        <f>IF(I1184 = "Yes", M1183/(C1184+CostBuy), IF(J1184 = "Yes", 0, K1183))</f>
        <v>128848.82458633777</v>
      </c>
      <c r="M1184" s="19">
        <f>IF(I1184 = "Yes", M1183-(C1184+CostBuy)*K1184, IF(J1184="Yes", M1183+(C1184-CostSell)*K1183, M1183+K1184*Rate))</f>
        <v>19327.323687950666</v>
      </c>
    </row>
    <row r="1185" spans="2:13" s="11" customFormat="1" x14ac:dyDescent="0.2">
      <c r="B1185" s="24">
        <v>1968.08</v>
      </c>
      <c r="C1185" s="25">
        <v>98.11</v>
      </c>
      <c r="D1185" s="40">
        <f t="shared" si="27"/>
        <v>95.696666666666658</v>
      </c>
      <c r="E1185" s="40">
        <f t="shared" si="28"/>
        <v>95.564999999999998</v>
      </c>
      <c r="F1185" s="12"/>
      <c r="G1185" s="18" t="str">
        <f t="shared" si="29"/>
        <v>Yes</v>
      </c>
      <c r="H1185" s="12"/>
      <c r="I1185" s="39" t="str">
        <f>IF(BuyAllowed="Yes",IF(AND(G1185 = "No", C1185&gt;D1185), "Yes", "No"),"No")</f>
        <v>No</v>
      </c>
      <c r="J1185" s="39" t="str">
        <f>IF(SellAllowed="Yes",IF(AND(G1185 = "Yes", C1185&lt;E1185), "Yes", "No"),"No")</f>
        <v>No</v>
      </c>
      <c r="K1185" s="39">
        <f>IF(I1185 = "Yes", M1184/(C1185+CostBuy), IF(J1185 = "Yes", 0, K1184))</f>
        <v>128848.82458633777</v>
      </c>
      <c r="M1185" s="19">
        <f>IF(I1185 = "Yes", M1184-(C1185+CostBuy)*K1185, IF(J1185="Yes", M1184+(C1185-CostSell)*K1184, M1184+K1185*Rate))</f>
        <v>25769.764917267556</v>
      </c>
    </row>
    <row r="1186" spans="2:13" s="11" customFormat="1" x14ac:dyDescent="0.2">
      <c r="B1186" s="24">
        <v>1968.09</v>
      </c>
      <c r="C1186" s="25">
        <v>101.3</v>
      </c>
      <c r="D1186" s="40">
        <f t="shared" si="27"/>
        <v>96.923333333333332</v>
      </c>
      <c r="E1186" s="40">
        <f t="shared" si="28"/>
        <v>95.916250000000005</v>
      </c>
      <c r="F1186" s="12"/>
      <c r="G1186" s="18" t="str">
        <f t="shared" si="29"/>
        <v>Yes</v>
      </c>
      <c r="H1186" s="12"/>
      <c r="I1186" s="39" t="str">
        <f>IF(BuyAllowed="Yes",IF(AND(G1186 = "No", C1186&gt;D1186), "Yes", "No"),"No")</f>
        <v>No</v>
      </c>
      <c r="J1186" s="39" t="str">
        <f>IF(SellAllowed="Yes",IF(AND(G1186 = "Yes", C1186&lt;E1186), "Yes", "No"),"No")</f>
        <v>No</v>
      </c>
      <c r="K1186" s="39">
        <f>IF(I1186 = "Yes", M1185/(C1186+CostBuy), IF(J1186 = "Yes", 0, K1185))</f>
        <v>128848.82458633777</v>
      </c>
      <c r="M1186" s="19">
        <f>IF(I1186 = "Yes", M1185-(C1186+CostBuy)*K1186, IF(J1186="Yes", M1185+(C1186-CostSell)*K1185, M1185+K1186*Rate))</f>
        <v>32212.206146584445</v>
      </c>
    </row>
    <row r="1187" spans="2:13" s="11" customFormat="1" x14ac:dyDescent="0.2">
      <c r="B1187" s="24">
        <v>1968.1</v>
      </c>
      <c r="C1187" s="25">
        <v>103.8</v>
      </c>
      <c r="D1187" s="40">
        <f t="shared" si="27"/>
        <v>98.958333333333329</v>
      </c>
      <c r="E1187" s="40">
        <f t="shared" si="28"/>
        <v>96.69874999999999</v>
      </c>
      <c r="F1187" s="12"/>
      <c r="G1187" s="18" t="str">
        <f t="shared" si="29"/>
        <v>Yes</v>
      </c>
      <c r="H1187" s="12"/>
      <c r="I1187" s="39" t="str">
        <f>IF(BuyAllowed="Yes",IF(AND(G1187 = "No", C1187&gt;D1187), "Yes", "No"),"No")</f>
        <v>No</v>
      </c>
      <c r="J1187" s="39" t="str">
        <f>IF(SellAllowed="Yes",IF(AND(G1187 = "Yes", C1187&lt;E1187), "Yes", "No"),"No")</f>
        <v>No</v>
      </c>
      <c r="K1187" s="39">
        <f>IF(I1187 = "Yes", M1186/(C1187+CostBuy), IF(J1187 = "Yes", 0, K1186))</f>
        <v>128848.82458633777</v>
      </c>
      <c r="M1187" s="19">
        <f>IF(I1187 = "Yes", M1186-(C1187+CostBuy)*K1187, IF(J1187="Yes", M1186+(C1187-CostSell)*K1186, M1186+K1187*Rate))</f>
        <v>38654.647375901332</v>
      </c>
    </row>
    <row r="1188" spans="2:13" s="11" customFormat="1" x14ac:dyDescent="0.2">
      <c r="B1188" s="24">
        <v>1968.11</v>
      </c>
      <c r="C1188" s="25">
        <v>105.4</v>
      </c>
      <c r="D1188" s="40">
        <f t="shared" si="27"/>
        <v>100.31333333333333</v>
      </c>
      <c r="E1188" s="40">
        <f t="shared" si="28"/>
        <v>98.329999999999984</v>
      </c>
      <c r="F1188" s="12"/>
      <c r="G1188" s="18" t="str">
        <f t="shared" si="29"/>
        <v>Yes</v>
      </c>
      <c r="H1188" s="12"/>
      <c r="I1188" s="39" t="str">
        <f>IF(BuyAllowed="Yes",IF(AND(G1188 = "No", C1188&gt;D1188), "Yes", "No"),"No")</f>
        <v>No</v>
      </c>
      <c r="J1188" s="39" t="str">
        <f>IF(SellAllowed="Yes",IF(AND(G1188 = "Yes", C1188&lt;E1188), "Yes", "No"),"No")</f>
        <v>No</v>
      </c>
      <c r="K1188" s="39">
        <f>IF(I1188 = "Yes", M1187/(C1188+CostBuy), IF(J1188 = "Yes", 0, K1187))</f>
        <v>128848.82458633777</v>
      </c>
      <c r="M1188" s="19">
        <f>IF(I1188 = "Yes", M1187-(C1188+CostBuy)*K1188, IF(J1188="Yes", M1187+(C1188-CostSell)*K1187, M1187+K1188*Rate))</f>
        <v>45097.088605218218</v>
      </c>
    </row>
    <row r="1189" spans="2:13" s="11" customFormat="1" x14ac:dyDescent="0.2">
      <c r="B1189" s="24">
        <v>1968.12</v>
      </c>
      <c r="C1189" s="25">
        <v>106.5</v>
      </c>
      <c r="D1189" s="40">
        <f t="shared" si="27"/>
        <v>101.56833333333334</v>
      </c>
      <c r="E1189" s="40">
        <f t="shared" si="28"/>
        <v>100.36874999999999</v>
      </c>
      <c r="F1189" s="12"/>
      <c r="G1189" s="18" t="str">
        <f t="shared" si="29"/>
        <v>Yes</v>
      </c>
      <c r="H1189" s="12"/>
      <c r="I1189" s="39" t="str">
        <f>IF(BuyAllowed="Yes",IF(AND(G1189 = "No", C1189&gt;D1189), "Yes", "No"),"No")</f>
        <v>No</v>
      </c>
      <c r="J1189" s="39" t="str">
        <f>IF(SellAllowed="Yes",IF(AND(G1189 = "Yes", C1189&lt;E1189), "Yes", "No"),"No")</f>
        <v>No</v>
      </c>
      <c r="K1189" s="39">
        <f>IF(I1189 = "Yes", M1188/(C1189+CostBuy), IF(J1189 = "Yes", 0, K1188))</f>
        <v>128848.82458633777</v>
      </c>
      <c r="M1189" s="19">
        <f>IF(I1189 = "Yes", M1188-(C1189+CostBuy)*K1189, IF(J1189="Yes", M1188+(C1189-CostSell)*K1188, M1188+K1189*Rate))</f>
        <v>51539.529834535104</v>
      </c>
    </row>
    <row r="1190" spans="2:13" s="11" customFormat="1" x14ac:dyDescent="0.2">
      <c r="B1190" s="24">
        <v>1969.01</v>
      </c>
      <c r="C1190" s="25">
        <v>102</v>
      </c>
      <c r="D1190" s="40">
        <f t="shared" si="27"/>
        <v>102.56833333333333</v>
      </c>
      <c r="E1190" s="40">
        <f t="shared" si="28"/>
        <v>101.7225</v>
      </c>
      <c r="F1190" s="12"/>
      <c r="G1190" s="18" t="str">
        <f t="shared" si="29"/>
        <v>Yes</v>
      </c>
      <c r="H1190" s="12"/>
      <c r="I1190" s="39" t="str">
        <f>IF(BuyAllowed="Yes",IF(AND(G1190 = "No", C1190&gt;D1190), "Yes", "No"),"No")</f>
        <v>No</v>
      </c>
      <c r="J1190" s="39" t="str">
        <f>IF(SellAllowed="Yes",IF(AND(G1190 = "Yes", C1190&lt;E1190), "Yes", "No"),"No")</f>
        <v>No</v>
      </c>
      <c r="K1190" s="39">
        <f>IF(I1190 = "Yes", M1189/(C1190+CostBuy), IF(J1190 = "Yes", 0, K1189))</f>
        <v>128848.82458633777</v>
      </c>
      <c r="M1190" s="19">
        <f>IF(I1190 = "Yes", M1189-(C1190+CostBuy)*K1190, IF(J1190="Yes", M1189+(C1190-CostSell)*K1189, M1189+K1190*Rate))</f>
        <v>57981.97106385199</v>
      </c>
    </row>
    <row r="1191" spans="2:13" s="11" customFormat="1" x14ac:dyDescent="0.2">
      <c r="B1191" s="24">
        <v>1969.02</v>
      </c>
      <c r="C1191" s="25">
        <v>101.5</v>
      </c>
      <c r="D1191" s="40">
        <f t="shared" si="27"/>
        <v>102.85166666666667</v>
      </c>
      <c r="E1191" s="40">
        <f t="shared" si="28"/>
        <v>102.23875000000001</v>
      </c>
      <c r="F1191" s="12"/>
      <c r="G1191" s="18" t="str">
        <f t="shared" si="29"/>
        <v>Yes</v>
      </c>
      <c r="H1191" s="12"/>
      <c r="I1191" s="39" t="str">
        <f>IF(BuyAllowed="Yes",IF(AND(G1191 = "No", C1191&gt;D1191), "Yes", "No"),"No")</f>
        <v>No</v>
      </c>
      <c r="J1191" s="39" t="str">
        <f>IF(SellAllowed="Yes",IF(AND(G1191 = "Yes", C1191&lt;E1191), "Yes", "No"),"No")</f>
        <v>Yes</v>
      </c>
      <c r="K1191" s="39">
        <f>IF(I1191 = "Yes", M1190/(C1191+CostBuy), IF(J1191 = "Yes", 0, K1190))</f>
        <v>0</v>
      </c>
      <c r="M1191" s="19">
        <f>IF(I1191 = "Yes", M1190-(C1191+CostBuy)*K1191, IF(J1191="Yes", M1190+(C1191-CostSell)*K1190, M1190+K1191*Rate))</f>
        <v>13128406.737101955</v>
      </c>
    </row>
    <row r="1192" spans="2:13" s="11" customFormat="1" x14ac:dyDescent="0.2">
      <c r="B1192" s="24">
        <v>1969.03</v>
      </c>
      <c r="C1192" s="25">
        <v>99.3</v>
      </c>
      <c r="D1192" s="40">
        <f t="shared" si="27"/>
        <v>103.41666666666667</v>
      </c>
      <c r="E1192" s="40">
        <f t="shared" si="28"/>
        <v>102.36375</v>
      </c>
      <c r="F1192" s="12"/>
      <c r="G1192" s="18" t="str">
        <f t="shared" si="29"/>
        <v>No</v>
      </c>
      <c r="H1192" s="12"/>
      <c r="I1192" s="39" t="str">
        <f>IF(BuyAllowed="Yes",IF(AND(G1192 = "No", C1192&gt;D1192), "Yes", "No"),"No")</f>
        <v>No</v>
      </c>
      <c r="J1192" s="39" t="str">
        <f>IF(SellAllowed="Yes",IF(AND(G1192 = "Yes", C1192&lt;E1192), "Yes", "No"),"No")</f>
        <v>No</v>
      </c>
      <c r="K1192" s="39">
        <f>IF(I1192 = "Yes", M1191/(C1192+CostBuy), IF(J1192 = "Yes", 0, K1191))</f>
        <v>0</v>
      </c>
      <c r="M1192" s="19">
        <f>IF(I1192 = "Yes", M1191-(C1192+CostBuy)*K1192, IF(J1192="Yes", M1191+(C1192-CostSell)*K1191, M1191+K1192*Rate))</f>
        <v>13128406.737101955</v>
      </c>
    </row>
    <row r="1193" spans="2:13" s="11" customFormat="1" x14ac:dyDescent="0.2">
      <c r="B1193" s="24">
        <v>1969.04</v>
      </c>
      <c r="C1193" s="25">
        <v>101.3</v>
      </c>
      <c r="D1193" s="40">
        <f t="shared" si="27"/>
        <v>103.08333333333333</v>
      </c>
      <c r="E1193" s="40">
        <f t="shared" si="28"/>
        <v>102.23875</v>
      </c>
      <c r="F1193" s="12"/>
      <c r="G1193" s="18" t="str">
        <f t="shared" si="29"/>
        <v>No</v>
      </c>
      <c r="H1193" s="12"/>
      <c r="I1193" s="39" t="str">
        <f>IF(BuyAllowed="Yes",IF(AND(G1193 = "No", C1193&gt;D1193), "Yes", "No"),"No")</f>
        <v>No</v>
      </c>
      <c r="J1193" s="39" t="str">
        <f>IF(SellAllowed="Yes",IF(AND(G1193 = "Yes", C1193&lt;E1193), "Yes", "No"),"No")</f>
        <v>No</v>
      </c>
      <c r="K1193" s="39">
        <f>IF(I1193 = "Yes", M1192/(C1193+CostBuy), IF(J1193 = "Yes", 0, K1192))</f>
        <v>0</v>
      </c>
      <c r="M1193" s="19">
        <f>IF(I1193 = "Yes", M1192-(C1193+CostBuy)*K1193, IF(J1193="Yes", M1192+(C1193-CostSell)*K1192, M1192+K1193*Rate))</f>
        <v>13128406.737101955</v>
      </c>
    </row>
    <row r="1194" spans="2:13" s="11" customFormat="1" x14ac:dyDescent="0.2">
      <c r="B1194" s="24">
        <v>1969.05</v>
      </c>
      <c r="C1194" s="25">
        <v>104.6</v>
      </c>
      <c r="D1194" s="40">
        <f t="shared" si="27"/>
        <v>102.66666666666664</v>
      </c>
      <c r="E1194" s="40">
        <f t="shared" si="28"/>
        <v>102.63749999999999</v>
      </c>
      <c r="F1194" s="12"/>
      <c r="G1194" s="18" t="str">
        <f t="shared" si="29"/>
        <v>No</v>
      </c>
      <c r="H1194" s="12"/>
      <c r="I1194" s="39" t="str">
        <f>IF(BuyAllowed="Yes",IF(AND(G1194 = "No", C1194&gt;D1194), "Yes", "No"),"No")</f>
        <v>Yes</v>
      </c>
      <c r="J1194" s="39" t="str">
        <f>IF(SellAllowed="Yes",IF(AND(G1194 = "Yes", C1194&lt;E1194), "Yes", "No"),"No")</f>
        <v>No</v>
      </c>
      <c r="K1194" s="39">
        <f>IF(I1194 = "Yes", M1193/(C1194+CostBuy), IF(J1194 = "Yes", 0, K1193))</f>
        <v>125474.59368347468</v>
      </c>
      <c r="M1194" s="19">
        <f>IF(I1194 = "Yes", M1193-(C1194+CostBuy)*K1194, IF(J1194="Yes", M1193+(C1194-CostSell)*K1193, M1193+K1194*Rate))</f>
        <v>0</v>
      </c>
    </row>
    <row r="1195" spans="2:13" s="11" customFormat="1" x14ac:dyDescent="0.2">
      <c r="B1195" s="24">
        <v>1969.06</v>
      </c>
      <c r="C1195" s="25">
        <v>99.14</v>
      </c>
      <c r="D1195" s="40">
        <f t="shared" si="27"/>
        <v>102.53333333333335</v>
      </c>
      <c r="E1195" s="40">
        <f t="shared" si="28"/>
        <v>103.05</v>
      </c>
      <c r="F1195" s="12"/>
      <c r="G1195" s="18" t="str">
        <f t="shared" si="29"/>
        <v>Yes</v>
      </c>
      <c r="H1195" s="12"/>
      <c r="I1195" s="39" t="str">
        <f>IF(BuyAllowed="Yes",IF(AND(G1195 = "No", C1195&gt;D1195), "Yes", "No"),"No")</f>
        <v>No</v>
      </c>
      <c r="J1195" s="39" t="str">
        <f>IF(SellAllowed="Yes",IF(AND(G1195 = "Yes", C1195&lt;E1195), "Yes", "No"),"No")</f>
        <v>Yes</v>
      </c>
      <c r="K1195" s="39">
        <f>IF(I1195 = "Yes", M1194/(C1195+CostBuy), IF(J1195 = "Yes", 0, K1194))</f>
        <v>0</v>
      </c>
      <c r="M1195" s="19">
        <f>IF(I1195 = "Yes", M1194-(C1195+CostBuy)*K1195, IF(J1195="Yes", M1194+(C1195-CostSell)*K1194, M1194+K1195*Rate))</f>
        <v>12432022.742158672</v>
      </c>
    </row>
    <row r="1196" spans="2:13" s="11" customFormat="1" x14ac:dyDescent="0.2">
      <c r="B1196" s="24">
        <v>1969.07</v>
      </c>
      <c r="C1196" s="25">
        <v>94.71</v>
      </c>
      <c r="D1196" s="40">
        <f t="shared" si="27"/>
        <v>101.30666666666667</v>
      </c>
      <c r="E1196" s="40">
        <f t="shared" si="28"/>
        <v>102.46749999999999</v>
      </c>
      <c r="F1196" s="12"/>
      <c r="G1196" s="18" t="str">
        <f t="shared" si="29"/>
        <v>No</v>
      </c>
      <c r="H1196" s="12"/>
      <c r="I1196" s="39" t="str">
        <f>IF(BuyAllowed="Yes",IF(AND(G1196 = "No", C1196&gt;D1196), "Yes", "No"),"No")</f>
        <v>No</v>
      </c>
      <c r="J1196" s="39" t="str">
        <f>IF(SellAllowed="Yes",IF(AND(G1196 = "Yes", C1196&lt;E1196), "Yes", "No"),"No")</f>
        <v>No</v>
      </c>
      <c r="K1196" s="39">
        <f>IF(I1196 = "Yes", M1195/(C1196+CostBuy), IF(J1196 = "Yes", 0, K1195))</f>
        <v>0</v>
      </c>
      <c r="M1196" s="19">
        <f>IF(I1196 = "Yes", M1195-(C1196+CostBuy)*K1196, IF(J1196="Yes", M1195+(C1196-CostSell)*K1195, M1195+K1196*Rate))</f>
        <v>12432022.742158672</v>
      </c>
    </row>
    <row r="1197" spans="2:13" s="11" customFormat="1" x14ac:dyDescent="0.2">
      <c r="B1197" s="24">
        <v>1969.08</v>
      </c>
      <c r="C1197" s="25">
        <v>94.18</v>
      </c>
      <c r="D1197" s="40">
        <f t="shared" si="27"/>
        <v>100.09166666666668</v>
      </c>
      <c r="E1197" s="40">
        <f t="shared" si="28"/>
        <v>101.13125000000001</v>
      </c>
      <c r="F1197" s="12"/>
      <c r="G1197" s="18" t="str">
        <f t="shared" si="29"/>
        <v>No</v>
      </c>
      <c r="H1197" s="12"/>
      <c r="I1197" s="39" t="str">
        <f>IF(BuyAllowed="Yes",IF(AND(G1197 = "No", C1197&gt;D1197), "Yes", "No"),"No")</f>
        <v>No</v>
      </c>
      <c r="J1197" s="39" t="str">
        <f>IF(SellAllowed="Yes",IF(AND(G1197 = "Yes", C1197&lt;E1197), "Yes", "No"),"No")</f>
        <v>No</v>
      </c>
      <c r="K1197" s="39">
        <f>IF(I1197 = "Yes", M1196/(C1197+CostBuy), IF(J1197 = "Yes", 0, K1196))</f>
        <v>0</v>
      </c>
      <c r="M1197" s="19">
        <f>IF(I1197 = "Yes", M1196-(C1197+CostBuy)*K1197, IF(J1197="Yes", M1196+(C1197-CostSell)*K1196, M1196+K1197*Rate))</f>
        <v>12432022.742158672</v>
      </c>
    </row>
    <row r="1198" spans="2:13" s="11" customFormat="1" x14ac:dyDescent="0.2">
      <c r="B1198" s="24">
        <v>1969.09</v>
      </c>
      <c r="C1198" s="25">
        <v>94.51</v>
      </c>
      <c r="D1198" s="40">
        <f t="shared" si="27"/>
        <v>98.87166666666667</v>
      </c>
      <c r="E1198" s="40">
        <f t="shared" si="28"/>
        <v>99.591250000000002</v>
      </c>
      <c r="F1198" s="12"/>
      <c r="G1198" s="18" t="str">
        <f t="shared" si="29"/>
        <v>No</v>
      </c>
      <c r="H1198" s="12"/>
      <c r="I1198" s="39" t="str">
        <f>IF(BuyAllowed="Yes",IF(AND(G1198 = "No", C1198&gt;D1198), "Yes", "No"),"No")</f>
        <v>No</v>
      </c>
      <c r="J1198" s="39" t="str">
        <f>IF(SellAllowed="Yes",IF(AND(G1198 = "Yes", C1198&lt;E1198), "Yes", "No"),"No")</f>
        <v>No</v>
      </c>
      <c r="K1198" s="39">
        <f>IF(I1198 = "Yes", M1197/(C1198+CostBuy), IF(J1198 = "Yes", 0, K1197))</f>
        <v>0</v>
      </c>
      <c r="M1198" s="19">
        <f>IF(I1198 = "Yes", M1197-(C1198+CostBuy)*K1198, IF(J1198="Yes", M1197+(C1198-CostSell)*K1197, M1197+K1198*Rate))</f>
        <v>12432022.742158672</v>
      </c>
    </row>
    <row r="1199" spans="2:13" s="11" customFormat="1" x14ac:dyDescent="0.2">
      <c r="B1199" s="24">
        <v>1969.1</v>
      </c>
      <c r="C1199" s="25">
        <v>95.52</v>
      </c>
      <c r="D1199" s="40">
        <f t="shared" si="27"/>
        <v>98.073333333333323</v>
      </c>
      <c r="E1199" s="40">
        <f t="shared" si="28"/>
        <v>98.655000000000001</v>
      </c>
      <c r="F1199" s="12"/>
      <c r="G1199" s="18" t="str">
        <f t="shared" si="29"/>
        <v>No</v>
      </c>
      <c r="H1199" s="12"/>
      <c r="I1199" s="39" t="str">
        <f>IF(BuyAllowed="Yes",IF(AND(G1199 = "No", C1199&gt;D1199), "Yes", "No"),"No")</f>
        <v>No</v>
      </c>
      <c r="J1199" s="39" t="str">
        <f>IF(SellAllowed="Yes",IF(AND(G1199 = "Yes", C1199&lt;E1199), "Yes", "No"),"No")</f>
        <v>No</v>
      </c>
      <c r="K1199" s="39">
        <f>IF(I1199 = "Yes", M1198/(C1199+CostBuy), IF(J1199 = "Yes", 0, K1198))</f>
        <v>0</v>
      </c>
      <c r="M1199" s="19">
        <f>IF(I1199 = "Yes", M1198-(C1199+CostBuy)*K1199, IF(J1199="Yes", M1198+(C1199-CostSell)*K1198, M1198+K1199*Rate))</f>
        <v>12432022.742158672</v>
      </c>
    </row>
    <row r="1200" spans="2:13" s="11" customFormat="1" x14ac:dyDescent="0.2">
      <c r="B1200" s="24">
        <v>1969.11</v>
      </c>
      <c r="C1200" s="25">
        <v>96.21</v>
      </c>
      <c r="D1200" s="40">
        <f t="shared" si="27"/>
        <v>97.11</v>
      </c>
      <c r="E1200" s="40">
        <f t="shared" si="28"/>
        <v>97.907499999999999</v>
      </c>
      <c r="F1200" s="12"/>
      <c r="G1200" s="18" t="str">
        <f t="shared" si="29"/>
        <v>No</v>
      </c>
      <c r="H1200" s="12"/>
      <c r="I1200" s="39" t="str">
        <f>IF(BuyAllowed="Yes",IF(AND(G1200 = "No", C1200&gt;D1200), "Yes", "No"),"No")</f>
        <v>No</v>
      </c>
      <c r="J1200" s="39" t="str">
        <f>IF(SellAllowed="Yes",IF(AND(G1200 = "Yes", C1200&lt;E1200), "Yes", "No"),"No")</f>
        <v>No</v>
      </c>
      <c r="K1200" s="39">
        <f>IF(I1200 = "Yes", M1199/(C1200+CostBuy), IF(J1200 = "Yes", 0, K1199))</f>
        <v>0</v>
      </c>
      <c r="M1200" s="19">
        <f>IF(I1200 = "Yes", M1199-(C1200+CostBuy)*K1200, IF(J1200="Yes", M1199+(C1200-CostSell)*K1199, M1199+K1200*Rate))</f>
        <v>12432022.742158672</v>
      </c>
    </row>
    <row r="1201" spans="2:13" s="11" customFormat="1" x14ac:dyDescent="0.2">
      <c r="B1201" s="24">
        <v>1969.12</v>
      </c>
      <c r="C1201" s="25">
        <v>91.11</v>
      </c>
      <c r="D1201" s="40">
        <f t="shared" si="27"/>
        <v>95.711666666666659</v>
      </c>
      <c r="E1201" s="40">
        <f t="shared" si="28"/>
        <v>97.521249999999995</v>
      </c>
      <c r="F1201" s="12"/>
      <c r="G1201" s="18" t="str">
        <f t="shared" si="29"/>
        <v>No</v>
      </c>
      <c r="H1201" s="12"/>
      <c r="I1201" s="39" t="str">
        <f>IF(BuyAllowed="Yes",IF(AND(G1201 = "No", C1201&gt;D1201), "Yes", "No"),"No")</f>
        <v>No</v>
      </c>
      <c r="J1201" s="39" t="str">
        <f>IF(SellAllowed="Yes",IF(AND(G1201 = "Yes", C1201&lt;E1201), "Yes", "No"),"No")</f>
        <v>No</v>
      </c>
      <c r="K1201" s="39">
        <f>IF(I1201 = "Yes", M1200/(C1201+CostBuy), IF(J1201 = "Yes", 0, K1200))</f>
        <v>0</v>
      </c>
      <c r="M1201" s="19">
        <f>IF(I1201 = "Yes", M1200-(C1201+CostBuy)*K1201, IF(J1201="Yes", M1200+(C1201-CostSell)*K1200, M1200+K1201*Rate))</f>
        <v>12432022.742158672</v>
      </c>
    </row>
    <row r="1202" spans="2:13" s="11" customFormat="1" x14ac:dyDescent="0.2">
      <c r="B1202" s="24">
        <v>1970.01</v>
      </c>
      <c r="C1202" s="25">
        <v>90.31</v>
      </c>
      <c r="D1202" s="40">
        <f t="shared" si="27"/>
        <v>94.373333333333321</v>
      </c>
      <c r="E1202" s="40">
        <f t="shared" si="28"/>
        <v>96.247500000000002</v>
      </c>
      <c r="F1202" s="12"/>
      <c r="G1202" s="18" t="str">
        <f t="shared" si="29"/>
        <v>No</v>
      </c>
      <c r="H1202" s="12"/>
      <c r="I1202" s="39" t="str">
        <f>IF(BuyAllowed="Yes",IF(AND(G1202 = "No", C1202&gt;D1202), "Yes", "No"),"No")</f>
        <v>No</v>
      </c>
      <c r="J1202" s="39" t="str">
        <f>IF(SellAllowed="Yes",IF(AND(G1202 = "Yes", C1202&lt;E1202), "Yes", "No"),"No")</f>
        <v>No</v>
      </c>
      <c r="K1202" s="39">
        <f>IF(I1202 = "Yes", M1201/(C1202+CostBuy), IF(J1202 = "Yes", 0, K1201))</f>
        <v>0</v>
      </c>
      <c r="M1202" s="19">
        <f>IF(I1202 = "Yes", M1201-(C1202+CostBuy)*K1202, IF(J1202="Yes", M1201+(C1202-CostSell)*K1201, M1201+K1202*Rate))</f>
        <v>12432022.742158672</v>
      </c>
    </row>
    <row r="1203" spans="2:13" s="11" customFormat="1" x14ac:dyDescent="0.2">
      <c r="B1203" s="24">
        <v>1970.02</v>
      </c>
      <c r="C1203" s="25">
        <v>87.16</v>
      </c>
      <c r="D1203" s="40">
        <f t="shared" si="27"/>
        <v>93.639999999999986</v>
      </c>
      <c r="E1203" s="40">
        <f t="shared" si="28"/>
        <v>94.461250000000007</v>
      </c>
      <c r="F1203" s="12"/>
      <c r="G1203" s="18" t="str">
        <f t="shared" si="29"/>
        <v>No</v>
      </c>
      <c r="H1203" s="12"/>
      <c r="I1203" s="39" t="str">
        <f>IF(BuyAllowed="Yes",IF(AND(G1203 = "No", C1203&gt;D1203), "Yes", "No"),"No")</f>
        <v>No</v>
      </c>
      <c r="J1203" s="39" t="str">
        <f>IF(SellAllowed="Yes",IF(AND(G1203 = "Yes", C1203&lt;E1203), "Yes", "No"),"No")</f>
        <v>No</v>
      </c>
      <c r="K1203" s="39">
        <f>IF(I1203 = "Yes", M1202/(C1203+CostBuy), IF(J1203 = "Yes", 0, K1202))</f>
        <v>0</v>
      </c>
      <c r="M1203" s="19">
        <f>IF(I1203 = "Yes", M1202-(C1203+CostBuy)*K1203, IF(J1203="Yes", M1202+(C1203-CostSell)*K1202, M1202+K1203*Rate))</f>
        <v>12432022.742158672</v>
      </c>
    </row>
    <row r="1204" spans="2:13" s="11" customFormat="1" x14ac:dyDescent="0.2">
      <c r="B1204" s="24">
        <v>1970.03</v>
      </c>
      <c r="C1204" s="25">
        <v>88.65</v>
      </c>
      <c r="D1204" s="40">
        <f t="shared" si="27"/>
        <v>92.470000000000013</v>
      </c>
      <c r="E1204" s="40">
        <f t="shared" si="28"/>
        <v>92.96374999999999</v>
      </c>
      <c r="F1204" s="12"/>
      <c r="G1204" s="18" t="str">
        <f t="shared" si="29"/>
        <v>No</v>
      </c>
      <c r="H1204" s="12"/>
      <c r="I1204" s="39" t="str">
        <f>IF(BuyAllowed="Yes",IF(AND(G1204 = "No", C1204&gt;D1204), "Yes", "No"),"No")</f>
        <v>No</v>
      </c>
      <c r="J1204" s="39" t="str">
        <f>IF(SellAllowed="Yes",IF(AND(G1204 = "Yes", C1204&lt;E1204), "Yes", "No"),"No")</f>
        <v>No</v>
      </c>
      <c r="K1204" s="39">
        <f>IF(I1204 = "Yes", M1203/(C1204+CostBuy), IF(J1204 = "Yes", 0, K1203))</f>
        <v>0</v>
      </c>
      <c r="M1204" s="19">
        <f>IF(I1204 = "Yes", M1203-(C1204+CostBuy)*K1204, IF(J1204="Yes", M1203+(C1204-CostSell)*K1203, M1203+K1204*Rate))</f>
        <v>12432022.742158672</v>
      </c>
    </row>
    <row r="1205" spans="2:13" s="11" customFormat="1" x14ac:dyDescent="0.2">
      <c r="B1205" s="24">
        <v>1970.04</v>
      </c>
      <c r="C1205" s="25">
        <v>85.95</v>
      </c>
      <c r="D1205" s="40">
        <f t="shared" si="27"/>
        <v>91.493333333333325</v>
      </c>
      <c r="E1205" s="40">
        <f t="shared" si="28"/>
        <v>92.206249999999983</v>
      </c>
      <c r="F1205" s="12"/>
      <c r="G1205" s="18" t="str">
        <f t="shared" si="29"/>
        <v>No</v>
      </c>
      <c r="H1205" s="12"/>
      <c r="I1205" s="39" t="str">
        <f>IF(BuyAllowed="Yes",IF(AND(G1205 = "No", C1205&gt;D1205), "Yes", "No"),"No")</f>
        <v>No</v>
      </c>
      <c r="J1205" s="39" t="str">
        <f>IF(SellAllowed="Yes",IF(AND(G1205 = "Yes", C1205&lt;E1205), "Yes", "No"),"No")</f>
        <v>No</v>
      </c>
      <c r="K1205" s="39">
        <f>IF(I1205 = "Yes", M1204/(C1205+CostBuy), IF(J1205 = "Yes", 0, K1204))</f>
        <v>0</v>
      </c>
      <c r="M1205" s="19">
        <f>IF(I1205 = "Yes", M1204-(C1205+CostBuy)*K1205, IF(J1205="Yes", M1204+(C1205-CostSell)*K1204, M1204+K1205*Rate))</f>
        <v>12432022.742158672</v>
      </c>
    </row>
    <row r="1206" spans="2:13" s="11" customFormat="1" x14ac:dyDescent="0.2">
      <c r="B1206" s="24">
        <v>1970.05</v>
      </c>
      <c r="C1206" s="25">
        <v>76.06</v>
      </c>
      <c r="D1206" s="40">
        <f t="shared" si="27"/>
        <v>89.898333333333326</v>
      </c>
      <c r="E1206" s="40">
        <f t="shared" si="28"/>
        <v>91.177500000000009</v>
      </c>
      <c r="F1206" s="12"/>
      <c r="G1206" s="18" t="str">
        <f t="shared" si="29"/>
        <v>No</v>
      </c>
      <c r="H1206" s="12"/>
      <c r="I1206" s="39" t="str">
        <f>IF(BuyAllowed="Yes",IF(AND(G1206 = "No", C1206&gt;D1206), "Yes", "No"),"No")</f>
        <v>No</v>
      </c>
      <c r="J1206" s="39" t="str">
        <f>IF(SellAllowed="Yes",IF(AND(G1206 = "Yes", C1206&lt;E1206), "Yes", "No"),"No")</f>
        <v>No</v>
      </c>
      <c r="K1206" s="39">
        <f>IF(I1206 = "Yes", M1205/(C1206+CostBuy), IF(J1206 = "Yes", 0, K1205))</f>
        <v>0</v>
      </c>
      <c r="M1206" s="19">
        <f>IF(I1206 = "Yes", M1205-(C1206+CostBuy)*K1206, IF(J1206="Yes", M1205+(C1206-CostSell)*K1205, M1205+K1206*Rate))</f>
        <v>12432022.742158672</v>
      </c>
    </row>
    <row r="1207" spans="2:13" s="11" customFormat="1" x14ac:dyDescent="0.2">
      <c r="B1207" s="24">
        <v>1970.06</v>
      </c>
      <c r="C1207" s="25">
        <v>75.59</v>
      </c>
      <c r="D1207" s="40">
        <f t="shared" si="27"/>
        <v>86.54</v>
      </c>
      <c r="E1207" s="40">
        <f t="shared" si="28"/>
        <v>88.871250000000003</v>
      </c>
      <c r="F1207" s="12"/>
      <c r="G1207" s="18" t="str">
        <f t="shared" si="29"/>
        <v>No</v>
      </c>
      <c r="H1207" s="12"/>
      <c r="I1207" s="39" t="str">
        <f>IF(BuyAllowed="Yes",IF(AND(G1207 = "No", C1207&gt;D1207), "Yes", "No"),"No")</f>
        <v>No</v>
      </c>
      <c r="J1207" s="39" t="str">
        <f>IF(SellAllowed="Yes",IF(AND(G1207 = "Yes", C1207&lt;E1207), "Yes", "No"),"No")</f>
        <v>No</v>
      </c>
      <c r="K1207" s="39">
        <f>IF(I1207 = "Yes", M1206/(C1207+CostBuy), IF(J1207 = "Yes", 0, K1206))</f>
        <v>0</v>
      </c>
      <c r="M1207" s="19">
        <f>IF(I1207 = "Yes", M1206-(C1207+CostBuy)*K1207, IF(J1207="Yes", M1206+(C1207-CostSell)*K1206, M1206+K1207*Rate))</f>
        <v>12432022.742158672</v>
      </c>
    </row>
    <row r="1208" spans="2:13" s="11" customFormat="1" x14ac:dyDescent="0.2">
      <c r="B1208" s="24">
        <v>1970.07</v>
      </c>
      <c r="C1208" s="25">
        <v>75.72</v>
      </c>
      <c r="D1208" s="40">
        <f t="shared" si="27"/>
        <v>83.953333333333333</v>
      </c>
      <c r="E1208" s="40">
        <f t="shared" si="28"/>
        <v>86.38000000000001</v>
      </c>
      <c r="F1208" s="12"/>
      <c r="G1208" s="18" t="str">
        <f t="shared" si="29"/>
        <v>No</v>
      </c>
      <c r="H1208" s="12"/>
      <c r="I1208" s="39" t="str">
        <f>IF(BuyAllowed="Yes",IF(AND(G1208 = "No", C1208&gt;D1208), "Yes", "No"),"No")</f>
        <v>No</v>
      </c>
      <c r="J1208" s="39" t="str">
        <f>IF(SellAllowed="Yes",IF(AND(G1208 = "Yes", C1208&lt;E1208), "Yes", "No"),"No")</f>
        <v>No</v>
      </c>
      <c r="K1208" s="39">
        <f>IF(I1208 = "Yes", M1207/(C1208+CostBuy), IF(J1208 = "Yes", 0, K1207))</f>
        <v>0</v>
      </c>
      <c r="M1208" s="19">
        <f>IF(I1208 = "Yes", M1207-(C1208+CostBuy)*K1208, IF(J1208="Yes", M1207+(C1208-CostSell)*K1207, M1207+K1208*Rate))</f>
        <v>12432022.742158672</v>
      </c>
    </row>
    <row r="1209" spans="2:13" s="11" customFormat="1" x14ac:dyDescent="0.2">
      <c r="B1209" s="24">
        <v>1970.08</v>
      </c>
      <c r="C1209" s="25">
        <v>77.92</v>
      </c>
      <c r="D1209" s="40">
        <f t="shared" si="27"/>
        <v>81.521666666666661</v>
      </c>
      <c r="E1209" s="40">
        <f t="shared" si="28"/>
        <v>83.818750000000009</v>
      </c>
      <c r="F1209" s="12"/>
      <c r="G1209" s="18" t="str">
        <f t="shared" si="29"/>
        <v>No</v>
      </c>
      <c r="H1209" s="12"/>
      <c r="I1209" s="39" t="str">
        <f>IF(BuyAllowed="Yes",IF(AND(G1209 = "No", C1209&gt;D1209), "Yes", "No"),"No")</f>
        <v>No</v>
      </c>
      <c r="J1209" s="39" t="str">
        <f>IF(SellAllowed="Yes",IF(AND(G1209 = "Yes", C1209&lt;E1209), "Yes", "No"),"No")</f>
        <v>No</v>
      </c>
      <c r="K1209" s="39">
        <f>IF(I1209 = "Yes", M1208/(C1209+CostBuy), IF(J1209 = "Yes", 0, K1208))</f>
        <v>0</v>
      </c>
      <c r="M1209" s="19">
        <f>IF(I1209 = "Yes", M1208-(C1209+CostBuy)*K1209, IF(J1209="Yes", M1208+(C1209-CostSell)*K1208, M1208+K1209*Rate))</f>
        <v>12432022.742158672</v>
      </c>
    </row>
    <row r="1210" spans="2:13" s="11" customFormat="1" x14ac:dyDescent="0.2">
      <c r="B1210" s="24">
        <v>1970.09</v>
      </c>
      <c r="C1210" s="25">
        <v>82.58</v>
      </c>
      <c r="D1210" s="40">
        <f t="shared" si="27"/>
        <v>79.981666666666669</v>
      </c>
      <c r="E1210" s="40">
        <f t="shared" si="28"/>
        <v>82.17</v>
      </c>
      <c r="F1210" s="12"/>
      <c r="G1210" s="18" t="str">
        <f t="shared" si="29"/>
        <v>No</v>
      </c>
      <c r="H1210" s="12"/>
      <c r="I1210" s="39" t="str">
        <f>IF(BuyAllowed="Yes",IF(AND(G1210 = "No", C1210&gt;D1210), "Yes", "No"),"No")</f>
        <v>Yes</v>
      </c>
      <c r="J1210" s="39" t="str">
        <f>IF(SellAllowed="Yes",IF(AND(G1210 = "Yes", C1210&lt;E1210), "Yes", "No"),"No")</f>
        <v>No</v>
      </c>
      <c r="K1210" s="39">
        <f>IF(I1210 = "Yes", M1209/(C1210+CostBuy), IF(J1210 = "Yes", 0, K1209))</f>
        <v>150490.53071248846</v>
      </c>
      <c r="M1210" s="19">
        <f>IF(I1210 = "Yes", M1209-(C1210+CostBuy)*K1210, IF(J1210="Yes", M1209+(C1210-CostSell)*K1209, M1209+K1210*Rate))</f>
        <v>0</v>
      </c>
    </row>
    <row r="1211" spans="2:13" s="11" customFormat="1" x14ac:dyDescent="0.2">
      <c r="B1211" s="24">
        <v>1970.1</v>
      </c>
      <c r="C1211" s="25">
        <v>84.37</v>
      </c>
      <c r="D1211" s="40">
        <f t="shared" si="27"/>
        <v>78.97</v>
      </c>
      <c r="E1211" s="40">
        <f t="shared" si="28"/>
        <v>81.203749999999999</v>
      </c>
      <c r="F1211" s="12"/>
      <c r="G1211" s="18" t="str">
        <f t="shared" si="29"/>
        <v>Yes</v>
      </c>
      <c r="H1211" s="12"/>
      <c r="I1211" s="39" t="str">
        <f>IF(BuyAllowed="Yes",IF(AND(G1211 = "No", C1211&gt;D1211), "Yes", "No"),"No")</f>
        <v>No</v>
      </c>
      <c r="J1211" s="39" t="str">
        <f>IF(SellAllowed="Yes",IF(AND(G1211 = "Yes", C1211&lt;E1211), "Yes", "No"),"No")</f>
        <v>No</v>
      </c>
      <c r="K1211" s="39">
        <f>IF(I1211 = "Yes", M1210/(C1211+CostBuy), IF(J1211 = "Yes", 0, K1210))</f>
        <v>150490.53071248846</v>
      </c>
      <c r="M1211" s="19">
        <f>IF(I1211 = "Yes", M1210-(C1211+CostBuy)*K1211, IF(J1211="Yes", M1210+(C1211-CostSell)*K1210, M1210+K1211*Rate))</f>
        <v>7524.5265356244236</v>
      </c>
    </row>
    <row r="1212" spans="2:13" s="11" customFormat="1" x14ac:dyDescent="0.2">
      <c r="B1212" s="24">
        <v>1970.11</v>
      </c>
      <c r="C1212" s="25">
        <v>84.28</v>
      </c>
      <c r="D1212" s="40">
        <f t="shared" si="27"/>
        <v>78.706666666666663</v>
      </c>
      <c r="E1212" s="40">
        <f t="shared" si="28"/>
        <v>80.855000000000004</v>
      </c>
      <c r="F1212" s="12"/>
      <c r="G1212" s="18" t="str">
        <f t="shared" si="29"/>
        <v>Yes</v>
      </c>
      <c r="H1212" s="12"/>
      <c r="I1212" s="39" t="str">
        <f>IF(BuyAllowed="Yes",IF(AND(G1212 = "No", C1212&gt;D1212), "Yes", "No"),"No")</f>
        <v>No</v>
      </c>
      <c r="J1212" s="39" t="str">
        <f>IF(SellAllowed="Yes",IF(AND(G1212 = "Yes", C1212&lt;E1212), "Yes", "No"),"No")</f>
        <v>No</v>
      </c>
      <c r="K1212" s="39">
        <f>IF(I1212 = "Yes", M1211/(C1212+CostBuy), IF(J1212 = "Yes", 0, K1211))</f>
        <v>150490.53071248846</v>
      </c>
      <c r="M1212" s="19">
        <f>IF(I1212 = "Yes", M1211-(C1212+CostBuy)*K1212, IF(J1212="Yes", M1211+(C1212-CostSell)*K1211, M1211+K1212*Rate))</f>
        <v>15049.053071248847</v>
      </c>
    </row>
    <row r="1213" spans="2:13" s="11" customFormat="1" x14ac:dyDescent="0.2">
      <c r="B1213" s="24">
        <v>1970.12</v>
      </c>
      <c r="C1213" s="25">
        <v>90.05</v>
      </c>
      <c r="D1213" s="40">
        <f t="shared" si="27"/>
        <v>80.076666666666668</v>
      </c>
      <c r="E1213" s="40">
        <f t="shared" si="28"/>
        <v>80.308750000000003</v>
      </c>
      <c r="F1213" s="12"/>
      <c r="G1213" s="18" t="str">
        <f t="shared" si="29"/>
        <v>Yes</v>
      </c>
      <c r="H1213" s="12"/>
      <c r="I1213" s="39" t="str">
        <f>IF(BuyAllowed="Yes",IF(AND(G1213 = "No", C1213&gt;D1213), "Yes", "No"),"No")</f>
        <v>No</v>
      </c>
      <c r="J1213" s="39" t="str">
        <f>IF(SellAllowed="Yes",IF(AND(G1213 = "Yes", C1213&lt;E1213), "Yes", "No"),"No")</f>
        <v>No</v>
      </c>
      <c r="K1213" s="39">
        <f>IF(I1213 = "Yes", M1212/(C1213+CostBuy), IF(J1213 = "Yes", 0, K1212))</f>
        <v>150490.53071248846</v>
      </c>
      <c r="M1213" s="19">
        <f>IF(I1213 = "Yes", M1212-(C1213+CostBuy)*K1213, IF(J1213="Yes", M1212+(C1213-CostSell)*K1212, M1212+K1213*Rate))</f>
        <v>22573.579606873271</v>
      </c>
    </row>
    <row r="1214" spans="2:13" s="11" customFormat="1" x14ac:dyDescent="0.2">
      <c r="B1214" s="24">
        <v>1971.01</v>
      </c>
      <c r="C1214" s="25">
        <v>93.49</v>
      </c>
      <c r="D1214" s="40">
        <f t="shared" si="27"/>
        <v>82.486666666666665</v>
      </c>
      <c r="E1214" s="40">
        <f t="shared" si="28"/>
        <v>80.821249999999992</v>
      </c>
      <c r="F1214" s="12"/>
      <c r="G1214" s="18" t="str">
        <f t="shared" si="29"/>
        <v>Yes</v>
      </c>
      <c r="H1214" s="12"/>
      <c r="I1214" s="39" t="str">
        <f>IF(BuyAllowed="Yes",IF(AND(G1214 = "No", C1214&gt;D1214), "Yes", "No"),"No")</f>
        <v>No</v>
      </c>
      <c r="J1214" s="39" t="str">
        <f>IF(SellAllowed="Yes",IF(AND(G1214 = "Yes", C1214&lt;E1214), "Yes", "No"),"No")</f>
        <v>No</v>
      </c>
      <c r="K1214" s="39">
        <f>IF(I1214 = "Yes", M1213/(C1214+CostBuy), IF(J1214 = "Yes", 0, K1213))</f>
        <v>150490.53071248846</v>
      </c>
      <c r="M1214" s="19">
        <f>IF(I1214 = "Yes", M1213-(C1214+CostBuy)*K1214, IF(J1214="Yes", M1213+(C1214-CostSell)*K1213, M1213+K1214*Rate))</f>
        <v>30098.106142497694</v>
      </c>
    </row>
    <row r="1215" spans="2:13" s="11" customFormat="1" x14ac:dyDescent="0.2">
      <c r="B1215" s="24">
        <v>1971.02</v>
      </c>
      <c r="C1215" s="25">
        <v>97.11</v>
      </c>
      <c r="D1215" s="40">
        <f t="shared" si="27"/>
        <v>85.448333333333323</v>
      </c>
      <c r="E1215" s="40">
        <f t="shared" si="28"/>
        <v>83</v>
      </c>
      <c r="F1215" s="12"/>
      <c r="G1215" s="18" t="str">
        <f t="shared" si="29"/>
        <v>Yes</v>
      </c>
      <c r="H1215" s="12"/>
      <c r="I1215" s="39" t="str">
        <f>IF(BuyAllowed="Yes",IF(AND(G1215 = "No", C1215&gt;D1215), "Yes", "No"),"No")</f>
        <v>No</v>
      </c>
      <c r="J1215" s="39" t="str">
        <f>IF(SellAllowed="Yes",IF(AND(G1215 = "Yes", C1215&lt;E1215), "Yes", "No"),"No")</f>
        <v>No</v>
      </c>
      <c r="K1215" s="39">
        <f>IF(I1215 = "Yes", M1214/(C1215+CostBuy), IF(J1215 = "Yes", 0, K1214))</f>
        <v>150490.53071248846</v>
      </c>
      <c r="M1215" s="19">
        <f>IF(I1215 = "Yes", M1214-(C1215+CostBuy)*K1215, IF(J1215="Yes", M1214+(C1215-CostSell)*K1214, M1214+K1215*Rate))</f>
        <v>37622.632678122114</v>
      </c>
    </row>
    <row r="1216" spans="2:13" s="11" customFormat="1" x14ac:dyDescent="0.2">
      <c r="B1216" s="24">
        <v>1971.03</v>
      </c>
      <c r="C1216" s="25">
        <v>99.6</v>
      </c>
      <c r="D1216" s="40">
        <f t="shared" si="27"/>
        <v>88.646666666666661</v>
      </c>
      <c r="E1216" s="40">
        <f t="shared" si="28"/>
        <v>85.69</v>
      </c>
      <c r="F1216" s="12"/>
      <c r="G1216" s="18" t="str">
        <f t="shared" si="29"/>
        <v>Yes</v>
      </c>
      <c r="H1216" s="12"/>
      <c r="I1216" s="39" t="str">
        <f>IF(BuyAllowed="Yes",IF(AND(G1216 = "No", C1216&gt;D1216), "Yes", "No"),"No")</f>
        <v>No</v>
      </c>
      <c r="J1216" s="39" t="str">
        <f>IF(SellAllowed="Yes",IF(AND(G1216 = "Yes", C1216&lt;E1216), "Yes", "No"),"No")</f>
        <v>No</v>
      </c>
      <c r="K1216" s="39">
        <f>IF(I1216 = "Yes", M1215/(C1216+CostBuy), IF(J1216 = "Yes", 0, K1215))</f>
        <v>150490.53071248846</v>
      </c>
      <c r="M1216" s="19">
        <f>IF(I1216 = "Yes", M1215-(C1216+CostBuy)*K1216, IF(J1216="Yes", M1215+(C1216-CostSell)*K1215, M1215+K1216*Rate))</f>
        <v>45147.159213746534</v>
      </c>
    </row>
    <row r="1217" spans="2:13" s="11" customFormat="1" x14ac:dyDescent="0.2">
      <c r="B1217" s="24">
        <v>1971.04</v>
      </c>
      <c r="C1217" s="25">
        <v>103</v>
      </c>
      <c r="D1217" s="40">
        <f t="shared" si="27"/>
        <v>91.483333333333334</v>
      </c>
      <c r="E1217" s="40">
        <f t="shared" si="28"/>
        <v>88.674999999999997</v>
      </c>
      <c r="F1217" s="12"/>
      <c r="G1217" s="18" t="str">
        <f t="shared" si="29"/>
        <v>Yes</v>
      </c>
      <c r="H1217" s="12"/>
      <c r="I1217" s="39" t="str">
        <f>IF(BuyAllowed="Yes",IF(AND(G1217 = "No", C1217&gt;D1217), "Yes", "No"),"No")</f>
        <v>No</v>
      </c>
      <c r="J1217" s="39" t="str">
        <f>IF(SellAllowed="Yes",IF(AND(G1217 = "Yes", C1217&lt;E1217), "Yes", "No"),"No")</f>
        <v>No</v>
      </c>
      <c r="K1217" s="39">
        <f>IF(I1217 = "Yes", M1216/(C1217+CostBuy), IF(J1217 = "Yes", 0, K1216))</f>
        <v>150490.53071248846</v>
      </c>
      <c r="M1217" s="19">
        <f>IF(I1217 = "Yes", M1216-(C1217+CostBuy)*K1217, IF(J1217="Yes", M1216+(C1217-CostSell)*K1216, M1216+K1217*Rate))</f>
        <v>52671.685749370954</v>
      </c>
    </row>
    <row r="1218" spans="2:13" s="11" customFormat="1" x14ac:dyDescent="0.2">
      <c r="B1218" s="24">
        <v>1971.05</v>
      </c>
      <c r="C1218" s="25">
        <v>101.6</v>
      </c>
      <c r="D1218" s="40">
        <f t="shared" si="27"/>
        <v>94.588333333333324</v>
      </c>
      <c r="E1218" s="40">
        <f t="shared" si="28"/>
        <v>91.81</v>
      </c>
      <c r="F1218" s="12"/>
      <c r="G1218" s="18" t="str">
        <f t="shared" si="29"/>
        <v>Yes</v>
      </c>
      <c r="H1218" s="12"/>
      <c r="I1218" s="39" t="str">
        <f>IF(BuyAllowed="Yes",IF(AND(G1218 = "No", C1218&gt;D1218), "Yes", "No"),"No")</f>
        <v>No</v>
      </c>
      <c r="J1218" s="39" t="str">
        <f>IF(SellAllowed="Yes",IF(AND(G1218 = "Yes", C1218&lt;E1218), "Yes", "No"),"No")</f>
        <v>No</v>
      </c>
      <c r="K1218" s="39">
        <f>IF(I1218 = "Yes", M1217/(C1218+CostBuy), IF(J1218 = "Yes", 0, K1217))</f>
        <v>150490.53071248846</v>
      </c>
      <c r="M1218" s="19">
        <f>IF(I1218 = "Yes", M1217-(C1218+CostBuy)*K1218, IF(J1218="Yes", M1217+(C1218-CostSell)*K1217, M1217+K1218*Rate))</f>
        <v>60196.212284995374</v>
      </c>
    </row>
    <row r="1219" spans="2:13" s="11" customFormat="1" x14ac:dyDescent="0.2">
      <c r="B1219" s="24">
        <v>1971.06</v>
      </c>
      <c r="C1219" s="25">
        <v>99.72</v>
      </c>
      <c r="D1219" s="40">
        <f t="shared" si="27"/>
        <v>97.475000000000009</v>
      </c>
      <c r="E1219" s="40">
        <f t="shared" si="28"/>
        <v>94.1875</v>
      </c>
      <c r="F1219" s="12"/>
      <c r="G1219" s="18" t="str">
        <f t="shared" si="29"/>
        <v>Yes</v>
      </c>
      <c r="H1219" s="12"/>
      <c r="I1219" s="39" t="str">
        <f>IF(BuyAllowed="Yes",IF(AND(G1219 = "No", C1219&gt;D1219), "Yes", "No"),"No")</f>
        <v>No</v>
      </c>
      <c r="J1219" s="39" t="str">
        <f>IF(SellAllowed="Yes",IF(AND(G1219 = "Yes", C1219&lt;E1219), "Yes", "No"),"No")</f>
        <v>No</v>
      </c>
      <c r="K1219" s="39">
        <f>IF(I1219 = "Yes", M1218/(C1219+CostBuy), IF(J1219 = "Yes", 0, K1218))</f>
        <v>150490.53071248846</v>
      </c>
      <c r="M1219" s="19">
        <f>IF(I1219 = "Yes", M1218-(C1219+CostBuy)*K1219, IF(J1219="Yes", M1218+(C1219-CostSell)*K1218, M1218+K1219*Rate))</f>
        <v>67720.738820619794</v>
      </c>
    </row>
    <row r="1220" spans="2:13" s="11" customFormat="1" x14ac:dyDescent="0.2">
      <c r="B1220" s="24">
        <v>1971.07</v>
      </c>
      <c r="C1220" s="25">
        <v>99</v>
      </c>
      <c r="D1220" s="40">
        <f t="shared" si="27"/>
        <v>99.086666666666659</v>
      </c>
      <c r="E1220" s="40">
        <f t="shared" si="28"/>
        <v>96.106250000000003</v>
      </c>
      <c r="F1220" s="12"/>
      <c r="G1220" s="18" t="str">
        <f t="shared" si="29"/>
        <v>Yes</v>
      </c>
      <c r="H1220" s="12"/>
      <c r="I1220" s="39" t="str">
        <f>IF(BuyAllowed="Yes",IF(AND(G1220 = "No", C1220&gt;D1220), "Yes", "No"),"No")</f>
        <v>No</v>
      </c>
      <c r="J1220" s="39" t="str">
        <f>IF(SellAllowed="Yes",IF(AND(G1220 = "Yes", C1220&lt;E1220), "Yes", "No"),"No")</f>
        <v>No</v>
      </c>
      <c r="K1220" s="39">
        <f>IF(I1220 = "Yes", M1219/(C1220+CostBuy), IF(J1220 = "Yes", 0, K1219))</f>
        <v>150490.53071248846</v>
      </c>
      <c r="M1220" s="19">
        <f>IF(I1220 = "Yes", M1219-(C1220+CostBuy)*K1220, IF(J1220="Yes", M1219+(C1220-CostSell)*K1219, M1219+K1220*Rate))</f>
        <v>75245.265356244214</v>
      </c>
    </row>
    <row r="1221" spans="2:13" s="11" customFormat="1" x14ac:dyDescent="0.2">
      <c r="B1221" s="24">
        <v>1971.08</v>
      </c>
      <c r="C1221" s="25">
        <v>97.24</v>
      </c>
      <c r="D1221" s="40">
        <f t="shared" si="27"/>
        <v>100.005</v>
      </c>
      <c r="E1221" s="40">
        <f t="shared" si="28"/>
        <v>97.946250000000006</v>
      </c>
      <c r="F1221" s="12"/>
      <c r="G1221" s="18" t="str">
        <f t="shared" si="29"/>
        <v>Yes</v>
      </c>
      <c r="H1221" s="12"/>
      <c r="I1221" s="39" t="str">
        <f>IF(BuyAllowed="Yes",IF(AND(G1221 = "No", C1221&gt;D1221), "Yes", "No"),"No")</f>
        <v>No</v>
      </c>
      <c r="J1221" s="39" t="str">
        <f>IF(SellAllowed="Yes",IF(AND(G1221 = "Yes", C1221&lt;E1221), "Yes", "No"),"No")</f>
        <v>Yes</v>
      </c>
      <c r="K1221" s="39">
        <f>IF(I1221 = "Yes", M1220/(C1221+CostBuy), IF(J1221 = "Yes", 0, K1220))</f>
        <v>0</v>
      </c>
      <c r="M1221" s="19">
        <f>IF(I1221 = "Yes", M1220-(C1221+CostBuy)*K1221, IF(J1221="Yes", M1220+(C1221-CostSell)*K1220, M1220+K1221*Rate))</f>
        <v>14699915.039995871</v>
      </c>
    </row>
    <row r="1222" spans="2:13" s="11" customFormat="1" x14ac:dyDescent="0.2">
      <c r="B1222" s="24">
        <v>1971.09</v>
      </c>
      <c r="C1222" s="25">
        <v>99.4</v>
      </c>
      <c r="D1222" s="40">
        <f t="shared" si="27"/>
        <v>100.02666666666666</v>
      </c>
      <c r="E1222" s="40">
        <f t="shared" si="28"/>
        <v>98.844999999999999</v>
      </c>
      <c r="F1222" s="12"/>
      <c r="G1222" s="18" t="str">
        <f t="shared" si="29"/>
        <v>No</v>
      </c>
      <c r="H1222" s="12"/>
      <c r="I1222" s="39" t="str">
        <f>IF(BuyAllowed="Yes",IF(AND(G1222 = "No", C1222&gt;D1222), "Yes", "No"),"No")</f>
        <v>No</v>
      </c>
      <c r="J1222" s="39" t="str">
        <f>IF(SellAllowed="Yes",IF(AND(G1222 = "Yes", C1222&lt;E1222), "Yes", "No"),"No")</f>
        <v>No</v>
      </c>
      <c r="K1222" s="39">
        <f>IF(I1222 = "Yes", M1221/(C1222+CostBuy), IF(J1222 = "Yes", 0, K1221))</f>
        <v>0</v>
      </c>
      <c r="M1222" s="19">
        <f>IF(I1222 = "Yes", M1221-(C1222+CostBuy)*K1222, IF(J1222="Yes", M1221+(C1222-CostSell)*K1221, M1221+K1222*Rate))</f>
        <v>14699915.039995871</v>
      </c>
    </row>
    <row r="1223" spans="2:13" s="11" customFormat="1" x14ac:dyDescent="0.2">
      <c r="B1223" s="24">
        <v>1971.1</v>
      </c>
      <c r="C1223" s="25">
        <v>97.29</v>
      </c>
      <c r="D1223" s="40">
        <f t="shared" si="27"/>
        <v>99.993333333333339</v>
      </c>
      <c r="E1223" s="40">
        <f t="shared" si="28"/>
        <v>99.583749999999995</v>
      </c>
      <c r="F1223" s="12"/>
      <c r="G1223" s="18" t="str">
        <f t="shared" si="29"/>
        <v>No</v>
      </c>
      <c r="H1223" s="12"/>
      <c r="I1223" s="39" t="str">
        <f>IF(BuyAllowed="Yes",IF(AND(G1223 = "No", C1223&gt;D1223), "Yes", "No"),"No")</f>
        <v>No</v>
      </c>
      <c r="J1223" s="39" t="str">
        <f>IF(SellAllowed="Yes",IF(AND(G1223 = "Yes", C1223&lt;E1223), "Yes", "No"),"No")</f>
        <v>No</v>
      </c>
      <c r="K1223" s="39">
        <f>IF(I1223 = "Yes", M1222/(C1223+CostBuy), IF(J1223 = "Yes", 0, K1222))</f>
        <v>0</v>
      </c>
      <c r="M1223" s="19">
        <f>IF(I1223 = "Yes", M1222-(C1223+CostBuy)*K1223, IF(J1223="Yes", M1222+(C1223-CostSell)*K1222, M1222+K1223*Rate))</f>
        <v>14699915.039995871</v>
      </c>
    </row>
    <row r="1224" spans="2:13" s="11" customFormat="1" x14ac:dyDescent="0.2">
      <c r="B1224" s="24">
        <v>1971.11</v>
      </c>
      <c r="C1224" s="25">
        <v>92.78</v>
      </c>
      <c r="D1224" s="40">
        <f t="shared" si="27"/>
        <v>99.041666666666671</v>
      </c>
      <c r="E1224" s="40">
        <f t="shared" si="28"/>
        <v>99.606249999999989</v>
      </c>
      <c r="F1224" s="12"/>
      <c r="G1224" s="18" t="str">
        <f t="shared" si="29"/>
        <v>No</v>
      </c>
      <c r="H1224" s="12"/>
      <c r="I1224" s="39" t="str">
        <f>IF(BuyAllowed="Yes",IF(AND(G1224 = "No", C1224&gt;D1224), "Yes", "No"),"No")</f>
        <v>No</v>
      </c>
      <c r="J1224" s="39" t="str">
        <f>IF(SellAllowed="Yes",IF(AND(G1224 = "Yes", C1224&lt;E1224), "Yes", "No"),"No")</f>
        <v>No</v>
      </c>
      <c r="K1224" s="39">
        <f>IF(I1224 = "Yes", M1223/(C1224+CostBuy), IF(J1224 = "Yes", 0, K1223))</f>
        <v>0</v>
      </c>
      <c r="M1224" s="19">
        <f>IF(I1224 = "Yes", M1223-(C1224+CostBuy)*K1224, IF(J1224="Yes", M1223+(C1224-CostSell)*K1223, M1223+K1224*Rate))</f>
        <v>14699915.039995871</v>
      </c>
    </row>
    <row r="1225" spans="2:13" s="11" customFormat="1" x14ac:dyDescent="0.2">
      <c r="B1225" s="24">
        <v>1971.12</v>
      </c>
      <c r="C1225" s="25">
        <v>99.17</v>
      </c>
      <c r="D1225" s="40">
        <f t="shared" si="27"/>
        <v>97.571666666666673</v>
      </c>
      <c r="E1225" s="40">
        <f t="shared" si="28"/>
        <v>98.753749999999997</v>
      </c>
      <c r="F1225" s="12"/>
      <c r="G1225" s="18" t="str">
        <f t="shared" si="29"/>
        <v>No</v>
      </c>
      <c r="H1225" s="12"/>
      <c r="I1225" s="39" t="str">
        <f>IF(BuyAllowed="Yes",IF(AND(G1225 = "No", C1225&gt;D1225), "Yes", "No"),"No")</f>
        <v>Yes</v>
      </c>
      <c r="J1225" s="39" t="str">
        <f>IF(SellAllowed="Yes",IF(AND(G1225 = "Yes", C1225&lt;E1225), "Yes", "No"),"No")</f>
        <v>No</v>
      </c>
      <c r="K1225" s="39">
        <f>IF(I1225 = "Yes", M1224/(C1225+CostBuy), IF(J1225 = "Yes", 0, K1224))</f>
        <v>148184.62741931321</v>
      </c>
      <c r="M1225" s="19">
        <f>IF(I1225 = "Yes", M1224-(C1225+CostBuy)*K1225, IF(J1225="Yes", M1224+(C1225-CostSell)*K1224, M1224+K1225*Rate))</f>
        <v>0</v>
      </c>
    </row>
    <row r="1226" spans="2:13" s="11" customFormat="1" x14ac:dyDescent="0.2">
      <c r="B1226" s="24">
        <v>1972.01</v>
      </c>
      <c r="C1226" s="25">
        <v>103.3</v>
      </c>
      <c r="D1226" s="40">
        <f t="shared" si="27"/>
        <v>97.48</v>
      </c>
      <c r="E1226" s="40">
        <f t="shared" si="28"/>
        <v>98.274999999999991</v>
      </c>
      <c r="F1226" s="12"/>
      <c r="G1226" s="18" t="str">
        <f t="shared" si="29"/>
        <v>Yes</v>
      </c>
      <c r="H1226" s="12"/>
      <c r="I1226" s="39" t="str">
        <f>IF(BuyAllowed="Yes",IF(AND(G1226 = "No", C1226&gt;D1226), "Yes", "No"),"No")</f>
        <v>No</v>
      </c>
      <c r="J1226" s="39" t="str">
        <f>IF(SellAllowed="Yes",IF(AND(G1226 = "Yes", C1226&lt;E1226), "Yes", "No"),"No")</f>
        <v>No</v>
      </c>
      <c r="K1226" s="39">
        <f>IF(I1226 = "Yes", M1225/(C1226+CostBuy), IF(J1226 = "Yes", 0, K1225))</f>
        <v>148184.62741931321</v>
      </c>
      <c r="M1226" s="19">
        <f>IF(I1226 = "Yes", M1225-(C1226+CostBuy)*K1226, IF(J1226="Yes", M1225+(C1226-CostSell)*K1225, M1225+K1226*Rate))</f>
        <v>7409.231370965661</v>
      </c>
    </row>
    <row r="1227" spans="2:13" s="11" customFormat="1" x14ac:dyDescent="0.2">
      <c r="B1227" s="24">
        <v>1972.02</v>
      </c>
      <c r="C1227" s="25">
        <v>105.2</v>
      </c>
      <c r="D1227" s="40">
        <f t="shared" si="27"/>
        <v>98.196666666666673</v>
      </c>
      <c r="E1227" s="40">
        <f t="shared" si="28"/>
        <v>98.487499999999997</v>
      </c>
      <c r="F1227" s="12"/>
      <c r="G1227" s="18" t="str">
        <f t="shared" si="29"/>
        <v>Yes</v>
      </c>
      <c r="H1227" s="12"/>
      <c r="I1227" s="39" t="str">
        <f>IF(BuyAllowed="Yes",IF(AND(G1227 = "No", C1227&gt;D1227), "Yes", "No"),"No")</f>
        <v>No</v>
      </c>
      <c r="J1227" s="39" t="str">
        <f>IF(SellAllowed="Yes",IF(AND(G1227 = "Yes", C1227&lt;E1227), "Yes", "No"),"No")</f>
        <v>No</v>
      </c>
      <c r="K1227" s="39">
        <f>IF(I1227 = "Yes", M1226/(C1227+CostBuy), IF(J1227 = "Yes", 0, K1226))</f>
        <v>148184.62741931321</v>
      </c>
      <c r="M1227" s="19">
        <f>IF(I1227 = "Yes", M1226-(C1227+CostBuy)*K1227, IF(J1227="Yes", M1226+(C1227-CostSell)*K1226, M1226+K1227*Rate))</f>
        <v>14818.462741931322</v>
      </c>
    </row>
    <row r="1228" spans="2:13" s="11" customFormat="1" x14ac:dyDescent="0.2">
      <c r="B1228" s="24">
        <v>1972.03</v>
      </c>
      <c r="C1228" s="25">
        <v>107.7</v>
      </c>
      <c r="D1228" s="40">
        <f t="shared" si="27"/>
        <v>99.523333333333355</v>
      </c>
      <c r="E1228" s="40">
        <f t="shared" si="28"/>
        <v>99.172499999999999</v>
      </c>
      <c r="F1228" s="12"/>
      <c r="G1228" s="18" t="str">
        <f t="shared" si="29"/>
        <v>Yes</v>
      </c>
      <c r="H1228" s="12"/>
      <c r="I1228" s="39" t="str">
        <f>IF(BuyAllowed="Yes",IF(AND(G1228 = "No", C1228&gt;D1228), "Yes", "No"),"No")</f>
        <v>No</v>
      </c>
      <c r="J1228" s="39" t="str">
        <f>IF(SellAllowed="Yes",IF(AND(G1228 = "Yes", C1228&lt;E1228), "Yes", "No"),"No")</f>
        <v>No</v>
      </c>
      <c r="K1228" s="39">
        <f>IF(I1228 = "Yes", M1227/(C1228+CostBuy), IF(J1228 = "Yes", 0, K1227))</f>
        <v>148184.62741931321</v>
      </c>
      <c r="M1228" s="19">
        <f>IF(I1228 = "Yes", M1227-(C1228+CostBuy)*K1228, IF(J1228="Yes", M1227+(C1228-CostSell)*K1227, M1227+K1228*Rate))</f>
        <v>22227.694112896985</v>
      </c>
    </row>
    <row r="1229" spans="2:13" s="11" customFormat="1" x14ac:dyDescent="0.2">
      <c r="B1229" s="24">
        <v>1972.04</v>
      </c>
      <c r="C1229" s="25">
        <v>108.8</v>
      </c>
      <c r="D1229" s="40">
        <f t="shared" si="27"/>
        <v>100.90666666666668</v>
      </c>
      <c r="E1229" s="40">
        <f t="shared" si="28"/>
        <v>100.26000000000002</v>
      </c>
      <c r="F1229" s="12"/>
      <c r="G1229" s="18" t="str">
        <f t="shared" si="29"/>
        <v>Yes</v>
      </c>
      <c r="H1229" s="12"/>
      <c r="I1229" s="39" t="str">
        <f>IF(BuyAllowed="Yes",IF(AND(G1229 = "No", C1229&gt;D1229), "Yes", "No"),"No")</f>
        <v>No</v>
      </c>
      <c r="J1229" s="39" t="str">
        <f>IF(SellAllowed="Yes",IF(AND(G1229 = "Yes", C1229&lt;E1229), "Yes", "No"),"No")</f>
        <v>No</v>
      </c>
      <c r="K1229" s="39">
        <f>IF(I1229 = "Yes", M1228/(C1229+CostBuy), IF(J1229 = "Yes", 0, K1228))</f>
        <v>148184.62741931321</v>
      </c>
      <c r="M1229" s="19">
        <f>IF(I1229 = "Yes", M1228-(C1229+CostBuy)*K1229, IF(J1229="Yes", M1228+(C1229-CostSell)*K1228, M1228+K1229*Rate))</f>
        <v>29636.925483862644</v>
      </c>
    </row>
    <row r="1230" spans="2:13" s="11" customFormat="1" x14ac:dyDescent="0.2">
      <c r="B1230" s="24">
        <v>1972.05</v>
      </c>
      <c r="C1230" s="25">
        <v>107.7</v>
      </c>
      <c r="D1230" s="40">
        <f t="shared" si="27"/>
        <v>102.82499999999999</v>
      </c>
      <c r="E1230" s="40">
        <f t="shared" si="28"/>
        <v>101.70500000000001</v>
      </c>
      <c r="F1230" s="12"/>
      <c r="G1230" s="18" t="str">
        <f t="shared" si="29"/>
        <v>Yes</v>
      </c>
      <c r="H1230" s="12"/>
      <c r="I1230" s="39" t="str">
        <f>IF(BuyAllowed="Yes",IF(AND(G1230 = "No", C1230&gt;D1230), "Yes", "No"),"No")</f>
        <v>No</v>
      </c>
      <c r="J1230" s="39" t="str">
        <f>IF(SellAllowed="Yes",IF(AND(G1230 = "Yes", C1230&lt;E1230), "Yes", "No"),"No")</f>
        <v>No</v>
      </c>
      <c r="K1230" s="39">
        <f>IF(I1230 = "Yes", M1229/(C1230+CostBuy), IF(J1230 = "Yes", 0, K1229))</f>
        <v>148184.62741931321</v>
      </c>
      <c r="M1230" s="19">
        <f>IF(I1230 = "Yes", M1229-(C1230+CostBuy)*K1230, IF(J1230="Yes", M1229+(C1230-CostSell)*K1229, M1229+K1230*Rate))</f>
        <v>37046.156854828303</v>
      </c>
    </row>
    <row r="1231" spans="2:13" s="11" customFormat="1" x14ac:dyDescent="0.2">
      <c r="B1231" s="24">
        <v>1972.06</v>
      </c>
      <c r="C1231" s="25">
        <v>108</v>
      </c>
      <c r="D1231" s="40">
        <f t="shared" si="27"/>
        <v>105.31166666666667</v>
      </c>
      <c r="E1231" s="40">
        <f t="shared" si="28"/>
        <v>102.74250000000001</v>
      </c>
      <c r="F1231" s="12"/>
      <c r="G1231" s="18" t="str">
        <f t="shared" si="29"/>
        <v>Yes</v>
      </c>
      <c r="H1231" s="12"/>
      <c r="I1231" s="39" t="str">
        <f>IF(BuyAllowed="Yes",IF(AND(G1231 = "No", C1231&gt;D1231), "Yes", "No"),"No")</f>
        <v>No</v>
      </c>
      <c r="J1231" s="39" t="str">
        <f>IF(SellAllowed="Yes",IF(AND(G1231 = "Yes", C1231&lt;E1231), "Yes", "No"),"No")</f>
        <v>No</v>
      </c>
      <c r="K1231" s="39">
        <f>IF(I1231 = "Yes", M1230/(C1231+CostBuy), IF(J1231 = "Yes", 0, K1230))</f>
        <v>148184.62741931321</v>
      </c>
      <c r="M1231" s="19">
        <f>IF(I1231 = "Yes", M1230-(C1231+CostBuy)*K1231, IF(J1231="Yes", M1230+(C1231-CostSell)*K1230, M1230+K1231*Rate))</f>
        <v>44455.388225793962</v>
      </c>
    </row>
    <row r="1232" spans="2:13" s="11" customFormat="1" x14ac:dyDescent="0.2">
      <c r="B1232" s="24">
        <v>1972.07</v>
      </c>
      <c r="C1232" s="25">
        <v>107.2</v>
      </c>
      <c r="D1232" s="40">
        <f t="shared" si="27"/>
        <v>106.78333333333335</v>
      </c>
      <c r="E1232" s="40">
        <f t="shared" si="28"/>
        <v>104.08125</v>
      </c>
      <c r="F1232" s="12"/>
      <c r="G1232" s="18" t="str">
        <f t="shared" si="29"/>
        <v>Yes</v>
      </c>
      <c r="H1232" s="12"/>
      <c r="I1232" s="39" t="str">
        <f>IF(BuyAllowed="Yes",IF(AND(G1232 = "No", C1232&gt;D1232), "Yes", "No"),"No")</f>
        <v>No</v>
      </c>
      <c r="J1232" s="39" t="str">
        <f>IF(SellAllowed="Yes",IF(AND(G1232 = "Yes", C1232&lt;E1232), "Yes", "No"),"No")</f>
        <v>No</v>
      </c>
      <c r="K1232" s="39">
        <f>IF(I1232 = "Yes", M1231/(C1232+CostBuy), IF(J1232 = "Yes", 0, K1231))</f>
        <v>148184.62741931321</v>
      </c>
      <c r="M1232" s="19">
        <f>IF(I1232 = "Yes", M1231-(C1232+CostBuy)*K1232, IF(J1232="Yes", M1231+(C1232-CostSell)*K1231, M1231+K1232*Rate))</f>
        <v>51864.619596759621</v>
      </c>
    </row>
    <row r="1233" spans="2:13" s="11" customFormat="1" x14ac:dyDescent="0.2">
      <c r="B1233" s="24">
        <v>1972.08</v>
      </c>
      <c r="C1233" s="25">
        <v>111</v>
      </c>
      <c r="D1233" s="40">
        <f t="shared" si="27"/>
        <v>107.43333333333334</v>
      </c>
      <c r="E1233" s="40">
        <f t="shared" si="28"/>
        <v>105.88375000000001</v>
      </c>
      <c r="F1233" s="12"/>
      <c r="G1233" s="18" t="str">
        <f t="shared" si="29"/>
        <v>Yes</v>
      </c>
      <c r="H1233" s="12"/>
      <c r="I1233" s="39" t="str">
        <f>IF(BuyAllowed="Yes",IF(AND(G1233 = "No", C1233&gt;D1233), "Yes", "No"),"No")</f>
        <v>No</v>
      </c>
      <c r="J1233" s="39" t="str">
        <f>IF(SellAllowed="Yes",IF(AND(G1233 = "Yes", C1233&lt;E1233), "Yes", "No"),"No")</f>
        <v>No</v>
      </c>
      <c r="K1233" s="39">
        <f>IF(I1233 = "Yes", M1232/(C1233+CostBuy), IF(J1233 = "Yes", 0, K1232))</f>
        <v>148184.62741931321</v>
      </c>
      <c r="M1233" s="19">
        <f>IF(I1233 = "Yes", M1232-(C1233+CostBuy)*K1233, IF(J1233="Yes", M1232+(C1233-CostSell)*K1232, M1232+K1233*Rate))</f>
        <v>59273.85096772528</v>
      </c>
    </row>
    <row r="1234" spans="2:13" s="11" customFormat="1" x14ac:dyDescent="0.2">
      <c r="B1234" s="24">
        <v>1972.09</v>
      </c>
      <c r="C1234" s="25">
        <v>109.4</v>
      </c>
      <c r="D1234" s="40">
        <f t="shared" si="27"/>
        <v>108.39999999999999</v>
      </c>
      <c r="E1234" s="40">
        <f t="shared" si="28"/>
        <v>107.36250000000001</v>
      </c>
      <c r="F1234" s="12"/>
      <c r="G1234" s="18" t="str">
        <f t="shared" si="29"/>
        <v>Yes</v>
      </c>
      <c r="H1234" s="12"/>
      <c r="I1234" s="39" t="str">
        <f>IF(BuyAllowed="Yes",IF(AND(G1234 = "No", C1234&gt;D1234), "Yes", "No"),"No")</f>
        <v>No</v>
      </c>
      <c r="J1234" s="39" t="str">
        <f>IF(SellAllowed="Yes",IF(AND(G1234 = "Yes", C1234&lt;E1234), "Yes", "No"),"No")</f>
        <v>No</v>
      </c>
      <c r="K1234" s="39">
        <f>IF(I1234 = "Yes", M1233/(C1234+CostBuy), IF(J1234 = "Yes", 0, K1233))</f>
        <v>148184.62741931321</v>
      </c>
      <c r="M1234" s="19">
        <f>IF(I1234 = "Yes", M1233-(C1234+CostBuy)*K1234, IF(J1234="Yes", M1233+(C1234-CostSell)*K1233, M1233+K1234*Rate))</f>
        <v>66683.082338690947</v>
      </c>
    </row>
    <row r="1235" spans="2:13" s="11" customFormat="1" x14ac:dyDescent="0.2">
      <c r="B1235" s="24">
        <v>1972.1</v>
      </c>
      <c r="C1235" s="25">
        <v>109.6</v>
      </c>
      <c r="D1235" s="40">
        <f t="shared" si="27"/>
        <v>108.68333333333334</v>
      </c>
      <c r="E1235" s="40">
        <f t="shared" si="28"/>
        <v>108.125</v>
      </c>
      <c r="F1235" s="12"/>
      <c r="G1235" s="18" t="str">
        <f t="shared" si="29"/>
        <v>Yes</v>
      </c>
      <c r="H1235" s="12"/>
      <c r="I1235" s="39" t="str">
        <f>IF(BuyAllowed="Yes",IF(AND(G1235 = "No", C1235&gt;D1235), "Yes", "No"),"No")</f>
        <v>No</v>
      </c>
      <c r="J1235" s="39" t="str">
        <f>IF(SellAllowed="Yes",IF(AND(G1235 = "Yes", C1235&lt;E1235), "Yes", "No"),"No")</f>
        <v>No</v>
      </c>
      <c r="K1235" s="39">
        <f>IF(I1235 = "Yes", M1234/(C1235+CostBuy), IF(J1235 = "Yes", 0, K1234))</f>
        <v>148184.62741931321</v>
      </c>
      <c r="M1235" s="19">
        <f>IF(I1235 = "Yes", M1234-(C1235+CostBuy)*K1235, IF(J1235="Yes", M1234+(C1235-CostSell)*K1234, M1234+K1235*Rate))</f>
        <v>74092.313709656606</v>
      </c>
    </row>
    <row r="1236" spans="2:13" s="11" customFormat="1" x14ac:dyDescent="0.2">
      <c r="B1236" s="24">
        <v>1972.11</v>
      </c>
      <c r="C1236" s="25">
        <v>115.1</v>
      </c>
      <c r="D1236" s="40">
        <f t="shared" si="27"/>
        <v>108.81666666666666</v>
      </c>
      <c r="E1236" s="40">
        <f t="shared" si="28"/>
        <v>108.675</v>
      </c>
      <c r="F1236" s="12"/>
      <c r="G1236" s="18" t="str">
        <f t="shared" si="29"/>
        <v>Yes</v>
      </c>
      <c r="H1236" s="12"/>
      <c r="I1236" s="39" t="str">
        <f>IF(BuyAllowed="Yes",IF(AND(G1236 = "No", C1236&gt;D1236), "Yes", "No"),"No")</f>
        <v>No</v>
      </c>
      <c r="J1236" s="39" t="str">
        <f>IF(SellAllowed="Yes",IF(AND(G1236 = "Yes", C1236&lt;E1236), "Yes", "No"),"No")</f>
        <v>No</v>
      </c>
      <c r="K1236" s="39">
        <f>IF(I1236 = "Yes", M1235/(C1236+CostBuy), IF(J1236 = "Yes", 0, K1235))</f>
        <v>148184.62741931321</v>
      </c>
      <c r="M1236" s="19">
        <f>IF(I1236 = "Yes", M1235-(C1236+CostBuy)*K1236, IF(J1236="Yes", M1235+(C1236-CostSell)*K1235, M1235+K1236*Rate))</f>
        <v>81501.545080622265</v>
      </c>
    </row>
    <row r="1237" spans="2:13" s="11" customFormat="1" x14ac:dyDescent="0.2">
      <c r="B1237" s="24">
        <v>1972.12</v>
      </c>
      <c r="C1237" s="25">
        <v>117.5</v>
      </c>
      <c r="D1237" s="40">
        <f t="shared" si="27"/>
        <v>110.05000000000001</v>
      </c>
      <c r="E1237" s="40">
        <f t="shared" si="28"/>
        <v>109.60000000000001</v>
      </c>
      <c r="F1237" s="12"/>
      <c r="G1237" s="18" t="str">
        <f t="shared" si="29"/>
        <v>Yes</v>
      </c>
      <c r="H1237" s="12"/>
      <c r="I1237" s="39" t="str">
        <f>IF(BuyAllowed="Yes",IF(AND(G1237 = "No", C1237&gt;D1237), "Yes", "No"),"No")</f>
        <v>No</v>
      </c>
      <c r="J1237" s="39" t="str">
        <f>IF(SellAllowed="Yes",IF(AND(G1237 = "Yes", C1237&lt;E1237), "Yes", "No"),"No")</f>
        <v>No</v>
      </c>
      <c r="K1237" s="39">
        <f>IF(I1237 = "Yes", M1236/(C1237+CostBuy), IF(J1237 = "Yes", 0, K1236))</f>
        <v>148184.62741931321</v>
      </c>
      <c r="M1237" s="19">
        <f>IF(I1237 = "Yes", M1236-(C1237+CostBuy)*K1237, IF(J1237="Yes", M1236+(C1237-CostSell)*K1236, M1236+K1237*Rate))</f>
        <v>88910.776451587924</v>
      </c>
    </row>
    <row r="1238" spans="2:13" s="11" customFormat="1" x14ac:dyDescent="0.2">
      <c r="B1238" s="24">
        <v>1973.01</v>
      </c>
      <c r="C1238" s="25">
        <v>118.4</v>
      </c>
      <c r="D1238" s="40">
        <f t="shared" si="27"/>
        <v>111.63333333333334</v>
      </c>
      <c r="E1238" s="40">
        <f t="shared" si="28"/>
        <v>110.6875</v>
      </c>
      <c r="F1238" s="12"/>
      <c r="G1238" s="18" t="str">
        <f t="shared" si="29"/>
        <v>Yes</v>
      </c>
      <c r="H1238" s="12"/>
      <c r="I1238" s="39" t="str">
        <f>IF(BuyAllowed="Yes",IF(AND(G1238 = "No", C1238&gt;D1238), "Yes", "No"),"No")</f>
        <v>No</v>
      </c>
      <c r="J1238" s="39" t="str">
        <f>IF(SellAllowed="Yes",IF(AND(G1238 = "Yes", C1238&lt;E1238), "Yes", "No"),"No")</f>
        <v>No</v>
      </c>
      <c r="K1238" s="39">
        <f>IF(I1238 = "Yes", M1237/(C1238+CostBuy), IF(J1238 = "Yes", 0, K1237))</f>
        <v>148184.62741931321</v>
      </c>
      <c r="M1238" s="19">
        <f>IF(I1238 = "Yes", M1237-(C1238+CostBuy)*K1238, IF(J1238="Yes", M1237+(C1238-CostSell)*K1237, M1237+K1238*Rate))</f>
        <v>96320.007822553584</v>
      </c>
    </row>
    <row r="1239" spans="2:13" s="11" customFormat="1" x14ac:dyDescent="0.2">
      <c r="B1239" s="24">
        <v>1973.02</v>
      </c>
      <c r="C1239" s="25">
        <v>114.2</v>
      </c>
      <c r="D1239" s="40">
        <f t="shared" si="27"/>
        <v>113.5</v>
      </c>
      <c r="E1239" s="40">
        <f t="shared" si="28"/>
        <v>112.02500000000001</v>
      </c>
      <c r="F1239" s="12"/>
      <c r="G1239" s="18" t="str">
        <f t="shared" si="29"/>
        <v>Yes</v>
      </c>
      <c r="H1239" s="12"/>
      <c r="I1239" s="39" t="str">
        <f>IF(BuyAllowed="Yes",IF(AND(G1239 = "No", C1239&gt;D1239), "Yes", "No"),"No")</f>
        <v>No</v>
      </c>
      <c r="J1239" s="39" t="str">
        <f>IF(SellAllowed="Yes",IF(AND(G1239 = "Yes", C1239&lt;E1239), "Yes", "No"),"No")</f>
        <v>No</v>
      </c>
      <c r="K1239" s="39">
        <f>IF(I1239 = "Yes", M1238/(C1239+CostBuy), IF(J1239 = "Yes", 0, K1238))</f>
        <v>148184.62741931321</v>
      </c>
      <c r="M1239" s="19">
        <f>IF(I1239 = "Yes", M1238-(C1239+CostBuy)*K1239, IF(J1239="Yes", M1238+(C1239-CostSell)*K1238, M1238+K1239*Rate))</f>
        <v>103729.23919351924</v>
      </c>
    </row>
    <row r="1240" spans="2:13" s="11" customFormat="1" x14ac:dyDescent="0.2">
      <c r="B1240" s="24">
        <v>1973.03</v>
      </c>
      <c r="C1240" s="25">
        <v>112.4</v>
      </c>
      <c r="D1240" s="40">
        <f t="shared" si="27"/>
        <v>114.03333333333335</v>
      </c>
      <c r="E1240" s="40">
        <f t="shared" si="28"/>
        <v>112.80000000000001</v>
      </c>
      <c r="F1240" s="12"/>
      <c r="G1240" s="18" t="str">
        <f t="shared" si="29"/>
        <v>Yes</v>
      </c>
      <c r="H1240" s="12"/>
      <c r="I1240" s="39" t="str">
        <f>IF(BuyAllowed="Yes",IF(AND(G1240 = "No", C1240&gt;D1240), "Yes", "No"),"No")</f>
        <v>No</v>
      </c>
      <c r="J1240" s="39" t="str">
        <f>IF(SellAllowed="Yes",IF(AND(G1240 = "Yes", C1240&lt;E1240), "Yes", "No"),"No")</f>
        <v>Yes</v>
      </c>
      <c r="K1240" s="39">
        <f>IF(I1240 = "Yes", M1239/(C1240+CostBuy), IF(J1240 = "Yes", 0, K1239))</f>
        <v>0</v>
      </c>
      <c r="M1240" s="19">
        <f>IF(I1240 = "Yes", M1239-(C1240+CostBuy)*K1240, IF(J1240="Yes", M1239+(C1240-CostSell)*K1239, M1239+K1240*Rate))</f>
        <v>16750790.283479167</v>
      </c>
    </row>
    <row r="1241" spans="2:13" s="11" customFormat="1" x14ac:dyDescent="0.2">
      <c r="B1241" s="24">
        <v>1973.04</v>
      </c>
      <c r="C1241" s="25">
        <v>110.3</v>
      </c>
      <c r="D1241" s="40">
        <f t="shared" si="27"/>
        <v>114.53333333333335</v>
      </c>
      <c r="E1241" s="40">
        <f t="shared" si="28"/>
        <v>113.45</v>
      </c>
      <c r="F1241" s="12"/>
      <c r="G1241" s="18" t="str">
        <f t="shared" si="29"/>
        <v>No</v>
      </c>
      <c r="H1241" s="12"/>
      <c r="I1241" s="39" t="str">
        <f>IF(BuyAllowed="Yes",IF(AND(G1241 = "No", C1241&gt;D1241), "Yes", "No"),"No")</f>
        <v>No</v>
      </c>
      <c r="J1241" s="39" t="str">
        <f>IF(SellAllowed="Yes",IF(AND(G1241 = "Yes", C1241&lt;E1241), "Yes", "No"),"No")</f>
        <v>No</v>
      </c>
      <c r="K1241" s="39">
        <f>IF(I1241 = "Yes", M1240/(C1241+CostBuy), IF(J1241 = "Yes", 0, K1240))</f>
        <v>0</v>
      </c>
      <c r="M1241" s="19">
        <f>IF(I1241 = "Yes", M1240-(C1241+CostBuy)*K1241, IF(J1241="Yes", M1240+(C1241-CostSell)*K1240, M1240+K1241*Rate))</f>
        <v>16750790.283479167</v>
      </c>
    </row>
    <row r="1242" spans="2:13" s="11" customFormat="1" x14ac:dyDescent="0.2">
      <c r="B1242" s="24">
        <v>1973.05</v>
      </c>
      <c r="C1242" s="25">
        <v>107.2</v>
      </c>
      <c r="D1242" s="40">
        <f t="shared" si="27"/>
        <v>114.64999999999999</v>
      </c>
      <c r="E1242" s="40">
        <f t="shared" si="28"/>
        <v>113.3625</v>
      </c>
      <c r="F1242" s="12"/>
      <c r="G1242" s="18" t="str">
        <f t="shared" si="29"/>
        <v>No</v>
      </c>
      <c r="H1242" s="12"/>
      <c r="I1242" s="39" t="str">
        <f>IF(BuyAllowed="Yes",IF(AND(G1242 = "No", C1242&gt;D1242), "Yes", "No"),"No")</f>
        <v>No</v>
      </c>
      <c r="J1242" s="39" t="str">
        <f>IF(SellAllowed="Yes",IF(AND(G1242 = "Yes", C1242&lt;E1242), "Yes", "No"),"No")</f>
        <v>No</v>
      </c>
      <c r="K1242" s="39">
        <f>IF(I1242 = "Yes", M1241/(C1242+CostBuy), IF(J1242 = "Yes", 0, K1241))</f>
        <v>0</v>
      </c>
      <c r="M1242" s="19">
        <f>IF(I1242 = "Yes", M1241-(C1242+CostBuy)*K1242, IF(J1242="Yes", M1241+(C1242-CostSell)*K1241, M1241+K1242*Rate))</f>
        <v>16750790.283479167</v>
      </c>
    </row>
    <row r="1243" spans="2:13" s="11" customFormat="1" x14ac:dyDescent="0.2">
      <c r="B1243" s="24">
        <v>1973.06</v>
      </c>
      <c r="C1243" s="25">
        <v>104.8</v>
      </c>
      <c r="D1243" s="40">
        <f t="shared" ref="D1243:D1306" si="30">AVERAGE(C1237:C1242)</f>
        <v>113.33333333333333</v>
      </c>
      <c r="E1243" s="40">
        <f t="shared" ref="E1243:E1306" si="31">AVERAGE(C1235:C1242)</f>
        <v>113.08750000000001</v>
      </c>
      <c r="F1243" s="12"/>
      <c r="G1243" s="18" t="str">
        <f t="shared" si="29"/>
        <v>No</v>
      </c>
      <c r="H1243" s="12"/>
      <c r="I1243" s="39" t="str">
        <f>IF(BuyAllowed="Yes",IF(AND(G1243 = "No", C1243&gt;D1243), "Yes", "No"),"No")</f>
        <v>No</v>
      </c>
      <c r="J1243" s="39" t="str">
        <f>IF(SellAllowed="Yes",IF(AND(G1243 = "Yes", C1243&lt;E1243), "Yes", "No"),"No")</f>
        <v>No</v>
      </c>
      <c r="K1243" s="39">
        <f>IF(I1243 = "Yes", M1242/(C1243+CostBuy), IF(J1243 = "Yes", 0, K1242))</f>
        <v>0</v>
      </c>
      <c r="M1243" s="19">
        <f>IF(I1243 = "Yes", M1242-(C1243+CostBuy)*K1243, IF(J1243="Yes", M1242+(C1243-CostSell)*K1242, M1242+K1243*Rate))</f>
        <v>16750790.283479167</v>
      </c>
    </row>
    <row r="1244" spans="2:13" s="11" customFormat="1" x14ac:dyDescent="0.2">
      <c r="B1244" s="24">
        <v>1973.07</v>
      </c>
      <c r="C1244" s="25">
        <v>105.8</v>
      </c>
      <c r="D1244" s="40">
        <f t="shared" si="30"/>
        <v>111.21666666666665</v>
      </c>
      <c r="E1244" s="40">
        <f t="shared" si="31"/>
        <v>112.4875</v>
      </c>
      <c r="F1244" s="12"/>
      <c r="G1244" s="18" t="str">
        <f t="shared" ref="G1244:G1307" si="32">IF(I1243 = "Yes", "Yes", IF(J1243="Yes", "No", G1243))</f>
        <v>No</v>
      </c>
      <c r="H1244" s="12"/>
      <c r="I1244" s="39" t="str">
        <f>IF(BuyAllowed="Yes",IF(AND(G1244 = "No", C1244&gt;D1244), "Yes", "No"),"No")</f>
        <v>No</v>
      </c>
      <c r="J1244" s="39" t="str">
        <f>IF(SellAllowed="Yes",IF(AND(G1244 = "Yes", C1244&lt;E1244), "Yes", "No"),"No")</f>
        <v>No</v>
      </c>
      <c r="K1244" s="39">
        <f>IF(I1244 = "Yes", M1243/(C1244+CostBuy), IF(J1244 = "Yes", 0, K1243))</f>
        <v>0</v>
      </c>
      <c r="M1244" s="19">
        <f>IF(I1244 = "Yes", M1243-(C1244+CostBuy)*K1244, IF(J1244="Yes", M1243+(C1244-CostSell)*K1243, M1243+K1244*Rate))</f>
        <v>16750790.283479167</v>
      </c>
    </row>
    <row r="1245" spans="2:13" s="11" customFormat="1" x14ac:dyDescent="0.2">
      <c r="B1245" s="24">
        <v>1973.08</v>
      </c>
      <c r="C1245" s="25">
        <v>103.8</v>
      </c>
      <c r="D1245" s="40">
        <f t="shared" si="30"/>
        <v>109.11666666666666</v>
      </c>
      <c r="E1245" s="40">
        <f t="shared" si="31"/>
        <v>111.32499999999999</v>
      </c>
      <c r="F1245" s="12"/>
      <c r="G1245" s="18" t="str">
        <f t="shared" si="32"/>
        <v>No</v>
      </c>
      <c r="H1245" s="12"/>
      <c r="I1245" s="39" t="str">
        <f>IF(BuyAllowed="Yes",IF(AND(G1245 = "No", C1245&gt;D1245), "Yes", "No"),"No")</f>
        <v>No</v>
      </c>
      <c r="J1245" s="39" t="str">
        <f>IF(SellAllowed="Yes",IF(AND(G1245 = "Yes", C1245&lt;E1245), "Yes", "No"),"No")</f>
        <v>No</v>
      </c>
      <c r="K1245" s="39">
        <f>IF(I1245 = "Yes", M1244/(C1245+CostBuy), IF(J1245 = "Yes", 0, K1244))</f>
        <v>0</v>
      </c>
      <c r="M1245" s="19">
        <f>IF(I1245 = "Yes", M1244-(C1245+CostBuy)*K1245, IF(J1245="Yes", M1244+(C1245-CostSell)*K1244, M1244+K1245*Rate))</f>
        <v>16750790.283479167</v>
      </c>
    </row>
    <row r="1246" spans="2:13" s="11" customFormat="1" x14ac:dyDescent="0.2">
      <c r="B1246" s="24">
        <v>1973.09</v>
      </c>
      <c r="C1246" s="25">
        <v>105.6</v>
      </c>
      <c r="D1246" s="40">
        <f t="shared" si="30"/>
        <v>107.38333333333333</v>
      </c>
      <c r="E1246" s="40">
        <f t="shared" si="31"/>
        <v>109.61249999999998</v>
      </c>
      <c r="F1246" s="12"/>
      <c r="G1246" s="18" t="str">
        <f t="shared" si="32"/>
        <v>No</v>
      </c>
      <c r="H1246" s="12"/>
      <c r="I1246" s="39" t="str">
        <f>IF(BuyAllowed="Yes",IF(AND(G1246 = "No", C1246&gt;D1246), "Yes", "No"),"No")</f>
        <v>No</v>
      </c>
      <c r="J1246" s="39" t="str">
        <f>IF(SellAllowed="Yes",IF(AND(G1246 = "Yes", C1246&lt;E1246), "Yes", "No"),"No")</f>
        <v>No</v>
      </c>
      <c r="K1246" s="39">
        <f>IF(I1246 = "Yes", M1245/(C1246+CostBuy), IF(J1246 = "Yes", 0, K1245))</f>
        <v>0</v>
      </c>
      <c r="M1246" s="19">
        <f>IF(I1246 = "Yes", M1245-(C1246+CostBuy)*K1246, IF(J1246="Yes", M1245+(C1246-CostSell)*K1245, M1245+K1246*Rate))</f>
        <v>16750790.283479167</v>
      </c>
    </row>
    <row r="1247" spans="2:13" s="11" customFormat="1" x14ac:dyDescent="0.2">
      <c r="B1247" s="24">
        <v>1973.1</v>
      </c>
      <c r="C1247" s="25">
        <v>109.8</v>
      </c>
      <c r="D1247" s="40">
        <f t="shared" si="30"/>
        <v>106.25</v>
      </c>
      <c r="E1247" s="40">
        <f t="shared" si="31"/>
        <v>108.01249999999999</v>
      </c>
      <c r="F1247" s="12"/>
      <c r="G1247" s="18" t="str">
        <f t="shared" si="32"/>
        <v>No</v>
      </c>
      <c r="H1247" s="12"/>
      <c r="I1247" s="39" t="str">
        <f>IF(BuyAllowed="Yes",IF(AND(G1247 = "No", C1247&gt;D1247), "Yes", "No"),"No")</f>
        <v>Yes</v>
      </c>
      <c r="J1247" s="39" t="str">
        <f>IF(SellAllowed="Yes",IF(AND(G1247 = "Yes", C1247&lt;E1247), "Yes", "No"),"No")</f>
        <v>No</v>
      </c>
      <c r="K1247" s="39">
        <f>IF(I1247 = "Yes", M1246/(C1247+CostBuy), IF(J1247 = "Yes", 0, K1246))</f>
        <v>152515.61762249994</v>
      </c>
      <c r="M1247" s="19">
        <f>IF(I1247 = "Yes", M1246-(C1247+CostBuy)*K1247, IF(J1247="Yes", M1246+(C1247-CostSell)*K1246, M1246+K1247*Rate))</f>
        <v>0</v>
      </c>
    </row>
    <row r="1248" spans="2:13" s="11" customFormat="1" x14ac:dyDescent="0.2">
      <c r="B1248" s="24">
        <v>1973.11</v>
      </c>
      <c r="C1248" s="25">
        <v>102</v>
      </c>
      <c r="D1248" s="40">
        <f t="shared" si="30"/>
        <v>106.16666666666667</v>
      </c>
      <c r="E1248" s="40">
        <f t="shared" si="31"/>
        <v>107.46249999999999</v>
      </c>
      <c r="F1248" s="12"/>
      <c r="G1248" s="18" t="str">
        <f t="shared" si="32"/>
        <v>Yes</v>
      </c>
      <c r="H1248" s="12"/>
      <c r="I1248" s="39" t="str">
        <f>IF(BuyAllowed="Yes",IF(AND(G1248 = "No", C1248&gt;D1248), "Yes", "No"),"No")</f>
        <v>No</v>
      </c>
      <c r="J1248" s="39" t="str">
        <f>IF(SellAllowed="Yes",IF(AND(G1248 = "Yes", C1248&lt;E1248), "Yes", "No"),"No")</f>
        <v>Yes</v>
      </c>
      <c r="K1248" s="39">
        <f>IF(I1248 = "Yes", M1247/(C1248+CostBuy), IF(J1248 = "Yes", 0, K1247))</f>
        <v>0</v>
      </c>
      <c r="M1248" s="19">
        <f>IF(I1248 = "Yes", M1247-(C1248+CostBuy)*K1248, IF(J1248="Yes", M1247+(C1248-CostSell)*K1247, M1247+K1248*Rate))</f>
        <v>15547442.060437644</v>
      </c>
    </row>
    <row r="1249" spans="2:13" s="11" customFormat="1" x14ac:dyDescent="0.2">
      <c r="B1249" s="24">
        <v>1973.12</v>
      </c>
      <c r="C1249" s="25">
        <v>94.78</v>
      </c>
      <c r="D1249" s="40">
        <f t="shared" si="30"/>
        <v>105.3</v>
      </c>
      <c r="E1249" s="40">
        <f t="shared" si="31"/>
        <v>106.16249999999999</v>
      </c>
      <c r="F1249" s="12"/>
      <c r="G1249" s="18" t="str">
        <f t="shared" si="32"/>
        <v>No</v>
      </c>
      <c r="H1249" s="12"/>
      <c r="I1249" s="39" t="str">
        <f>IF(BuyAllowed="Yes",IF(AND(G1249 = "No", C1249&gt;D1249), "Yes", "No"),"No")</f>
        <v>No</v>
      </c>
      <c r="J1249" s="39" t="str">
        <f>IF(SellAllowed="Yes",IF(AND(G1249 = "Yes", C1249&lt;E1249), "Yes", "No"),"No")</f>
        <v>No</v>
      </c>
      <c r="K1249" s="39">
        <f>IF(I1249 = "Yes", M1248/(C1249+CostBuy), IF(J1249 = "Yes", 0, K1248))</f>
        <v>0</v>
      </c>
      <c r="M1249" s="19">
        <f>IF(I1249 = "Yes", M1248-(C1249+CostBuy)*K1249, IF(J1249="Yes", M1248+(C1249-CostSell)*K1248, M1248+K1249*Rate))</f>
        <v>15547442.060437644</v>
      </c>
    </row>
    <row r="1250" spans="2:13" s="11" customFormat="1" x14ac:dyDescent="0.2">
      <c r="B1250" s="24">
        <v>1974.01</v>
      </c>
      <c r="C1250" s="25">
        <v>96.11</v>
      </c>
      <c r="D1250" s="40">
        <f t="shared" si="30"/>
        <v>103.63</v>
      </c>
      <c r="E1250" s="40">
        <f t="shared" si="31"/>
        <v>104.2225</v>
      </c>
      <c r="F1250" s="12"/>
      <c r="G1250" s="18" t="str">
        <f t="shared" si="32"/>
        <v>No</v>
      </c>
      <c r="H1250" s="12"/>
      <c r="I1250" s="39" t="str">
        <f>IF(BuyAllowed="Yes",IF(AND(G1250 = "No", C1250&gt;D1250), "Yes", "No"),"No")</f>
        <v>No</v>
      </c>
      <c r="J1250" s="39" t="str">
        <f>IF(SellAllowed="Yes",IF(AND(G1250 = "Yes", C1250&lt;E1250), "Yes", "No"),"No")</f>
        <v>No</v>
      </c>
      <c r="K1250" s="39">
        <f>IF(I1250 = "Yes", M1249/(C1250+CostBuy), IF(J1250 = "Yes", 0, K1249))</f>
        <v>0</v>
      </c>
      <c r="M1250" s="19">
        <f>IF(I1250 = "Yes", M1249-(C1250+CostBuy)*K1250, IF(J1250="Yes", M1249+(C1250-CostSell)*K1249, M1249+K1250*Rate))</f>
        <v>15547442.060437644</v>
      </c>
    </row>
    <row r="1251" spans="2:13" s="11" customFormat="1" x14ac:dyDescent="0.2">
      <c r="B1251" s="24">
        <v>1974.02</v>
      </c>
      <c r="C1251" s="25">
        <v>93.45</v>
      </c>
      <c r="D1251" s="40">
        <f t="shared" si="30"/>
        <v>102.015</v>
      </c>
      <c r="E1251" s="40">
        <f t="shared" si="31"/>
        <v>102.83624999999999</v>
      </c>
      <c r="F1251" s="12"/>
      <c r="G1251" s="18" t="str">
        <f t="shared" si="32"/>
        <v>No</v>
      </c>
      <c r="H1251" s="12"/>
      <c r="I1251" s="39" t="str">
        <f>IF(BuyAllowed="Yes",IF(AND(G1251 = "No", C1251&gt;D1251), "Yes", "No"),"No")</f>
        <v>No</v>
      </c>
      <c r="J1251" s="39" t="str">
        <f>IF(SellAllowed="Yes",IF(AND(G1251 = "Yes", C1251&lt;E1251), "Yes", "No"),"No")</f>
        <v>No</v>
      </c>
      <c r="K1251" s="39">
        <f>IF(I1251 = "Yes", M1250/(C1251+CostBuy), IF(J1251 = "Yes", 0, K1250))</f>
        <v>0</v>
      </c>
      <c r="M1251" s="19">
        <f>IF(I1251 = "Yes", M1250-(C1251+CostBuy)*K1251, IF(J1251="Yes", M1250+(C1251-CostSell)*K1250, M1250+K1251*Rate))</f>
        <v>15547442.060437644</v>
      </c>
    </row>
    <row r="1252" spans="2:13" s="11" customFormat="1" x14ac:dyDescent="0.2">
      <c r="B1252" s="24">
        <v>1974.03</v>
      </c>
      <c r="C1252" s="25">
        <v>97.44</v>
      </c>
      <c r="D1252" s="40">
        <f t="shared" si="30"/>
        <v>100.29</v>
      </c>
      <c r="E1252" s="40">
        <f t="shared" si="31"/>
        <v>101.4175</v>
      </c>
      <c r="F1252" s="12"/>
      <c r="G1252" s="18" t="str">
        <f t="shared" si="32"/>
        <v>No</v>
      </c>
      <c r="H1252" s="12"/>
      <c r="I1252" s="39" t="str">
        <f>IF(BuyAllowed="Yes",IF(AND(G1252 = "No", C1252&gt;D1252), "Yes", "No"),"No")</f>
        <v>No</v>
      </c>
      <c r="J1252" s="39" t="str">
        <f>IF(SellAllowed="Yes",IF(AND(G1252 = "Yes", C1252&lt;E1252), "Yes", "No"),"No")</f>
        <v>No</v>
      </c>
      <c r="K1252" s="39">
        <f>IF(I1252 = "Yes", M1251/(C1252+CostBuy), IF(J1252 = "Yes", 0, K1251))</f>
        <v>0</v>
      </c>
      <c r="M1252" s="19">
        <f>IF(I1252 = "Yes", M1251-(C1252+CostBuy)*K1252, IF(J1252="Yes", M1251+(C1252-CostSell)*K1251, M1251+K1252*Rate))</f>
        <v>15547442.060437644</v>
      </c>
    </row>
    <row r="1253" spans="2:13" s="11" customFormat="1" x14ac:dyDescent="0.2">
      <c r="B1253" s="24">
        <v>1974.04</v>
      </c>
      <c r="C1253" s="25">
        <v>92.46</v>
      </c>
      <c r="D1253" s="40">
        <f t="shared" si="30"/>
        <v>98.93</v>
      </c>
      <c r="E1253" s="40">
        <f t="shared" si="31"/>
        <v>100.3725</v>
      </c>
      <c r="F1253" s="12"/>
      <c r="G1253" s="18" t="str">
        <f t="shared" si="32"/>
        <v>No</v>
      </c>
      <c r="H1253" s="12"/>
      <c r="I1253" s="39" t="str">
        <f>IF(BuyAllowed="Yes",IF(AND(G1253 = "No", C1253&gt;D1253), "Yes", "No"),"No")</f>
        <v>No</v>
      </c>
      <c r="J1253" s="39" t="str">
        <f>IF(SellAllowed="Yes",IF(AND(G1253 = "Yes", C1253&lt;E1253), "Yes", "No"),"No")</f>
        <v>No</v>
      </c>
      <c r="K1253" s="39">
        <f>IF(I1253 = "Yes", M1252/(C1253+CostBuy), IF(J1253 = "Yes", 0, K1252))</f>
        <v>0</v>
      </c>
      <c r="M1253" s="19">
        <f>IF(I1253 = "Yes", M1252-(C1253+CostBuy)*K1253, IF(J1253="Yes", M1252+(C1253-CostSell)*K1252, M1252+K1253*Rate))</f>
        <v>15547442.060437644</v>
      </c>
    </row>
    <row r="1254" spans="2:13" s="11" customFormat="1" x14ac:dyDescent="0.2">
      <c r="B1254" s="24">
        <v>1974.05</v>
      </c>
      <c r="C1254" s="25">
        <v>89.67</v>
      </c>
      <c r="D1254" s="40">
        <f t="shared" si="30"/>
        <v>96.04</v>
      </c>
      <c r="E1254" s="40">
        <f t="shared" si="31"/>
        <v>98.955000000000013</v>
      </c>
      <c r="F1254" s="12"/>
      <c r="G1254" s="18" t="str">
        <f t="shared" si="32"/>
        <v>No</v>
      </c>
      <c r="H1254" s="12"/>
      <c r="I1254" s="39" t="str">
        <f>IF(BuyAllowed="Yes",IF(AND(G1254 = "No", C1254&gt;D1254), "Yes", "No"),"No")</f>
        <v>No</v>
      </c>
      <c r="J1254" s="39" t="str">
        <f>IF(SellAllowed="Yes",IF(AND(G1254 = "Yes", C1254&lt;E1254), "Yes", "No"),"No")</f>
        <v>No</v>
      </c>
      <c r="K1254" s="39">
        <f>IF(I1254 = "Yes", M1253/(C1254+CostBuy), IF(J1254 = "Yes", 0, K1253))</f>
        <v>0</v>
      </c>
      <c r="M1254" s="19">
        <f>IF(I1254 = "Yes", M1253-(C1254+CostBuy)*K1254, IF(J1254="Yes", M1253+(C1254-CostSell)*K1253, M1253+K1254*Rate))</f>
        <v>15547442.060437644</v>
      </c>
    </row>
    <row r="1255" spans="2:13" s="11" customFormat="1" x14ac:dyDescent="0.2">
      <c r="B1255" s="24">
        <v>1974.06</v>
      </c>
      <c r="C1255" s="25">
        <v>89.79</v>
      </c>
      <c r="D1255" s="40">
        <f t="shared" si="30"/>
        <v>93.984999999999999</v>
      </c>
      <c r="E1255" s="40">
        <f t="shared" si="31"/>
        <v>96.963750000000005</v>
      </c>
      <c r="F1255" s="12"/>
      <c r="G1255" s="18" t="str">
        <f t="shared" si="32"/>
        <v>No</v>
      </c>
      <c r="H1255" s="12"/>
      <c r="I1255" s="39" t="str">
        <f>IF(BuyAllowed="Yes",IF(AND(G1255 = "No", C1255&gt;D1255), "Yes", "No"),"No")</f>
        <v>No</v>
      </c>
      <c r="J1255" s="39" t="str">
        <f>IF(SellAllowed="Yes",IF(AND(G1255 = "Yes", C1255&lt;E1255), "Yes", "No"),"No")</f>
        <v>No</v>
      </c>
      <c r="K1255" s="39">
        <f>IF(I1255 = "Yes", M1254/(C1255+CostBuy), IF(J1255 = "Yes", 0, K1254))</f>
        <v>0</v>
      </c>
      <c r="M1255" s="19">
        <f>IF(I1255 = "Yes", M1254-(C1255+CostBuy)*K1255, IF(J1255="Yes", M1254+(C1255-CostSell)*K1254, M1254+K1255*Rate))</f>
        <v>15547442.060437644</v>
      </c>
    </row>
    <row r="1256" spans="2:13" s="11" customFormat="1" x14ac:dyDescent="0.2">
      <c r="B1256" s="24">
        <v>1974.07</v>
      </c>
      <c r="C1256" s="25">
        <v>79.31</v>
      </c>
      <c r="D1256" s="40">
        <f t="shared" si="30"/>
        <v>93.153333333333322</v>
      </c>
      <c r="E1256" s="40">
        <f t="shared" si="31"/>
        <v>94.462499999999991</v>
      </c>
      <c r="F1256" s="12"/>
      <c r="G1256" s="18" t="str">
        <f t="shared" si="32"/>
        <v>No</v>
      </c>
      <c r="H1256" s="12"/>
      <c r="I1256" s="39" t="str">
        <f>IF(BuyAllowed="Yes",IF(AND(G1256 = "No", C1256&gt;D1256), "Yes", "No"),"No")</f>
        <v>No</v>
      </c>
      <c r="J1256" s="39" t="str">
        <f>IF(SellAllowed="Yes",IF(AND(G1256 = "Yes", C1256&lt;E1256), "Yes", "No"),"No")</f>
        <v>No</v>
      </c>
      <c r="K1256" s="39">
        <f>IF(I1256 = "Yes", M1255/(C1256+CostBuy), IF(J1256 = "Yes", 0, K1255))</f>
        <v>0</v>
      </c>
      <c r="M1256" s="19">
        <f>IF(I1256 = "Yes", M1255-(C1256+CostBuy)*K1256, IF(J1256="Yes", M1255+(C1256-CostSell)*K1255, M1255+K1256*Rate))</f>
        <v>15547442.060437644</v>
      </c>
    </row>
    <row r="1257" spans="2:13" s="11" customFormat="1" x14ac:dyDescent="0.2">
      <c r="B1257" s="24">
        <v>1974.08</v>
      </c>
      <c r="C1257" s="25">
        <v>76.03</v>
      </c>
      <c r="D1257" s="40">
        <f t="shared" si="30"/>
        <v>90.353333333333339</v>
      </c>
      <c r="E1257" s="40">
        <f t="shared" si="31"/>
        <v>91.626249999999999</v>
      </c>
      <c r="F1257" s="12"/>
      <c r="G1257" s="18" t="str">
        <f t="shared" si="32"/>
        <v>No</v>
      </c>
      <c r="H1257" s="12"/>
      <c r="I1257" s="39" t="str">
        <f>IF(BuyAllowed="Yes",IF(AND(G1257 = "No", C1257&gt;D1257), "Yes", "No"),"No")</f>
        <v>No</v>
      </c>
      <c r="J1257" s="39" t="str">
        <f>IF(SellAllowed="Yes",IF(AND(G1257 = "Yes", C1257&lt;E1257), "Yes", "No"),"No")</f>
        <v>No</v>
      </c>
      <c r="K1257" s="39">
        <f>IF(I1257 = "Yes", M1256/(C1257+CostBuy), IF(J1257 = "Yes", 0, K1256))</f>
        <v>0</v>
      </c>
      <c r="M1257" s="19">
        <f>IF(I1257 = "Yes", M1256-(C1257+CostBuy)*K1257, IF(J1257="Yes", M1256+(C1257-CostSell)*K1256, M1256+K1257*Rate))</f>
        <v>15547442.060437644</v>
      </c>
    </row>
    <row r="1258" spans="2:13" s="11" customFormat="1" x14ac:dyDescent="0.2">
      <c r="B1258" s="24">
        <v>1974.09</v>
      </c>
      <c r="C1258" s="25">
        <v>68.12</v>
      </c>
      <c r="D1258" s="40">
        <f t="shared" si="30"/>
        <v>87.45</v>
      </c>
      <c r="E1258" s="40">
        <f t="shared" si="31"/>
        <v>89.282499999999999</v>
      </c>
      <c r="F1258" s="12"/>
      <c r="G1258" s="18" t="str">
        <f t="shared" si="32"/>
        <v>No</v>
      </c>
      <c r="H1258" s="12"/>
      <c r="I1258" s="39" t="str">
        <f>IF(BuyAllowed="Yes",IF(AND(G1258 = "No", C1258&gt;D1258), "Yes", "No"),"No")</f>
        <v>No</v>
      </c>
      <c r="J1258" s="39" t="str">
        <f>IF(SellAllowed="Yes",IF(AND(G1258 = "Yes", C1258&lt;E1258), "Yes", "No"),"No")</f>
        <v>No</v>
      </c>
      <c r="K1258" s="39">
        <f>IF(I1258 = "Yes", M1257/(C1258+CostBuy), IF(J1258 = "Yes", 0, K1257))</f>
        <v>0</v>
      </c>
      <c r="M1258" s="19">
        <f>IF(I1258 = "Yes", M1257-(C1258+CostBuy)*K1258, IF(J1258="Yes", M1257+(C1258-CostSell)*K1257, M1257+K1258*Rate))</f>
        <v>15547442.060437644</v>
      </c>
    </row>
    <row r="1259" spans="2:13" s="11" customFormat="1" x14ac:dyDescent="0.2">
      <c r="B1259" s="24">
        <v>1974.1</v>
      </c>
      <c r="C1259" s="25">
        <v>69.44</v>
      </c>
      <c r="D1259" s="40">
        <f t="shared" si="30"/>
        <v>82.563333333333333</v>
      </c>
      <c r="E1259" s="40">
        <f t="shared" si="31"/>
        <v>85.783749999999998</v>
      </c>
      <c r="F1259" s="12"/>
      <c r="G1259" s="18" t="str">
        <f t="shared" si="32"/>
        <v>No</v>
      </c>
      <c r="H1259" s="12"/>
      <c r="I1259" s="39" t="str">
        <f>IF(BuyAllowed="Yes",IF(AND(G1259 = "No", C1259&gt;D1259), "Yes", "No"),"No")</f>
        <v>No</v>
      </c>
      <c r="J1259" s="39" t="str">
        <f>IF(SellAllowed="Yes",IF(AND(G1259 = "Yes", C1259&lt;E1259), "Yes", "No"),"No")</f>
        <v>No</v>
      </c>
      <c r="K1259" s="39">
        <f>IF(I1259 = "Yes", M1258/(C1259+CostBuy), IF(J1259 = "Yes", 0, K1258))</f>
        <v>0</v>
      </c>
      <c r="M1259" s="19">
        <f>IF(I1259 = "Yes", M1258-(C1259+CostBuy)*K1259, IF(J1259="Yes", M1258+(C1259-CostSell)*K1258, M1258+K1259*Rate))</f>
        <v>15547442.060437644</v>
      </c>
    </row>
    <row r="1260" spans="2:13" s="11" customFormat="1" x14ac:dyDescent="0.2">
      <c r="B1260" s="24">
        <v>1974.11</v>
      </c>
      <c r="C1260" s="25">
        <v>71.739999999999995</v>
      </c>
      <c r="D1260" s="40">
        <f t="shared" si="30"/>
        <v>78.726666666666659</v>
      </c>
      <c r="E1260" s="40">
        <f t="shared" si="31"/>
        <v>82.782499999999999</v>
      </c>
      <c r="F1260" s="12"/>
      <c r="G1260" s="18" t="str">
        <f t="shared" si="32"/>
        <v>No</v>
      </c>
      <c r="H1260" s="12"/>
      <c r="I1260" s="39" t="str">
        <f>IF(BuyAllowed="Yes",IF(AND(G1260 = "No", C1260&gt;D1260), "Yes", "No"),"No")</f>
        <v>No</v>
      </c>
      <c r="J1260" s="39" t="str">
        <f>IF(SellAllowed="Yes",IF(AND(G1260 = "Yes", C1260&lt;E1260), "Yes", "No"),"No")</f>
        <v>No</v>
      </c>
      <c r="K1260" s="39">
        <f>IF(I1260 = "Yes", M1259/(C1260+CostBuy), IF(J1260 = "Yes", 0, K1259))</f>
        <v>0</v>
      </c>
      <c r="M1260" s="19">
        <f>IF(I1260 = "Yes", M1259-(C1260+CostBuy)*K1260, IF(J1260="Yes", M1259+(C1260-CostSell)*K1259, M1259+K1260*Rate))</f>
        <v>15547442.060437644</v>
      </c>
    </row>
    <row r="1261" spans="2:13" s="11" customFormat="1" x14ac:dyDescent="0.2">
      <c r="B1261" s="24">
        <v>1974.12</v>
      </c>
      <c r="C1261" s="25">
        <v>67.069999999999993</v>
      </c>
      <c r="D1261" s="40">
        <f t="shared" si="30"/>
        <v>75.73833333333333</v>
      </c>
      <c r="E1261" s="40">
        <f t="shared" si="31"/>
        <v>79.569999999999993</v>
      </c>
      <c r="F1261" s="12"/>
      <c r="G1261" s="18" t="str">
        <f t="shared" si="32"/>
        <v>No</v>
      </c>
      <c r="H1261" s="12"/>
      <c r="I1261" s="39" t="str">
        <f>IF(BuyAllowed="Yes",IF(AND(G1261 = "No", C1261&gt;D1261), "Yes", "No"),"No")</f>
        <v>No</v>
      </c>
      <c r="J1261" s="39" t="str">
        <f>IF(SellAllowed="Yes",IF(AND(G1261 = "Yes", C1261&lt;E1261), "Yes", "No"),"No")</f>
        <v>No</v>
      </c>
      <c r="K1261" s="39">
        <f>IF(I1261 = "Yes", M1260/(C1261+CostBuy), IF(J1261 = "Yes", 0, K1260))</f>
        <v>0</v>
      </c>
      <c r="M1261" s="19">
        <f>IF(I1261 = "Yes", M1260-(C1261+CostBuy)*K1261, IF(J1261="Yes", M1260+(C1261-CostSell)*K1260, M1260+K1261*Rate))</f>
        <v>15547442.060437644</v>
      </c>
    </row>
    <row r="1262" spans="2:13" s="11" customFormat="1" x14ac:dyDescent="0.2">
      <c r="B1262" s="24">
        <v>1975.01</v>
      </c>
      <c r="C1262" s="25">
        <v>72.56</v>
      </c>
      <c r="D1262" s="40">
        <f t="shared" si="30"/>
        <v>71.951666666666668</v>
      </c>
      <c r="E1262" s="40">
        <f t="shared" si="31"/>
        <v>76.396249999999981</v>
      </c>
      <c r="F1262" s="12"/>
      <c r="G1262" s="18" t="str">
        <f t="shared" si="32"/>
        <v>No</v>
      </c>
      <c r="H1262" s="12"/>
      <c r="I1262" s="39" t="str">
        <f>IF(BuyAllowed="Yes",IF(AND(G1262 = "No", C1262&gt;D1262), "Yes", "No"),"No")</f>
        <v>Yes</v>
      </c>
      <c r="J1262" s="39" t="str">
        <f>IF(SellAllowed="Yes",IF(AND(G1262 = "Yes", C1262&lt;E1262), "Yes", "No"),"No")</f>
        <v>No</v>
      </c>
      <c r="K1262" s="39">
        <f>IF(I1262 = "Yes", M1261/(C1262+CostBuy), IF(J1262 = "Yes", 0, K1261))</f>
        <v>214181.59609364436</v>
      </c>
      <c r="M1262" s="19">
        <f>IF(I1262 = "Yes", M1261-(C1262+CostBuy)*K1262, IF(J1262="Yes", M1261+(C1262-CostSell)*K1261, M1261+K1262*Rate))</f>
        <v>0</v>
      </c>
    </row>
    <row r="1263" spans="2:13" s="11" customFormat="1" x14ac:dyDescent="0.2">
      <c r="B1263" s="24">
        <v>1975.02</v>
      </c>
      <c r="C1263" s="25">
        <v>80.099999999999994</v>
      </c>
      <c r="D1263" s="40">
        <f t="shared" si="30"/>
        <v>70.826666666666668</v>
      </c>
      <c r="E1263" s="40">
        <f t="shared" si="31"/>
        <v>74.257499999999993</v>
      </c>
      <c r="F1263" s="12"/>
      <c r="G1263" s="18" t="str">
        <f t="shared" si="32"/>
        <v>Yes</v>
      </c>
      <c r="H1263" s="12"/>
      <c r="I1263" s="39" t="str">
        <f>IF(BuyAllowed="Yes",IF(AND(G1263 = "No", C1263&gt;D1263), "Yes", "No"),"No")</f>
        <v>No</v>
      </c>
      <c r="J1263" s="39" t="str">
        <f>IF(SellAllowed="Yes",IF(AND(G1263 = "Yes", C1263&lt;E1263), "Yes", "No"),"No")</f>
        <v>No</v>
      </c>
      <c r="K1263" s="39">
        <f>IF(I1263 = "Yes", M1262/(C1263+CostBuy), IF(J1263 = "Yes", 0, K1262))</f>
        <v>214181.59609364436</v>
      </c>
      <c r="M1263" s="19">
        <f>IF(I1263 = "Yes", M1262-(C1263+CostBuy)*K1263, IF(J1263="Yes", M1262+(C1263-CostSell)*K1262, M1262+K1263*Rate))</f>
        <v>10709.079804682218</v>
      </c>
    </row>
    <row r="1264" spans="2:13" s="11" customFormat="1" x14ac:dyDescent="0.2">
      <c r="B1264" s="24">
        <v>1975.03</v>
      </c>
      <c r="C1264" s="25">
        <v>83.78</v>
      </c>
      <c r="D1264" s="40">
        <f t="shared" si="30"/>
        <v>71.504999999999995</v>
      </c>
      <c r="E1264" s="40">
        <f t="shared" si="31"/>
        <v>73.046250000000001</v>
      </c>
      <c r="F1264" s="12"/>
      <c r="G1264" s="18" t="str">
        <f t="shared" si="32"/>
        <v>Yes</v>
      </c>
      <c r="H1264" s="12"/>
      <c r="I1264" s="39" t="str">
        <f>IF(BuyAllowed="Yes",IF(AND(G1264 = "No", C1264&gt;D1264), "Yes", "No"),"No")</f>
        <v>No</v>
      </c>
      <c r="J1264" s="39" t="str">
        <f>IF(SellAllowed="Yes",IF(AND(G1264 = "Yes", C1264&lt;E1264), "Yes", "No"),"No")</f>
        <v>No</v>
      </c>
      <c r="K1264" s="39">
        <f>IF(I1264 = "Yes", M1263/(C1264+CostBuy), IF(J1264 = "Yes", 0, K1263))</f>
        <v>214181.59609364436</v>
      </c>
      <c r="M1264" s="19">
        <f>IF(I1264 = "Yes", M1263-(C1264+CostBuy)*K1264, IF(J1264="Yes", M1263+(C1264-CostSell)*K1263, M1263+K1264*Rate))</f>
        <v>21418.159609364437</v>
      </c>
    </row>
    <row r="1265" spans="2:13" s="11" customFormat="1" x14ac:dyDescent="0.2">
      <c r="B1265" s="24">
        <v>1975.04</v>
      </c>
      <c r="C1265" s="25">
        <v>84.72</v>
      </c>
      <c r="D1265" s="40">
        <f t="shared" si="30"/>
        <v>74.114999999999995</v>
      </c>
      <c r="E1265" s="40">
        <f t="shared" si="31"/>
        <v>73.60499999999999</v>
      </c>
      <c r="F1265" s="12"/>
      <c r="G1265" s="18" t="str">
        <f t="shared" si="32"/>
        <v>Yes</v>
      </c>
      <c r="H1265" s="12"/>
      <c r="I1265" s="39" t="str">
        <f>IF(BuyAllowed="Yes",IF(AND(G1265 = "No", C1265&gt;D1265), "Yes", "No"),"No")</f>
        <v>No</v>
      </c>
      <c r="J1265" s="39" t="str">
        <f>IF(SellAllowed="Yes",IF(AND(G1265 = "Yes", C1265&lt;E1265), "Yes", "No"),"No")</f>
        <v>No</v>
      </c>
      <c r="K1265" s="39">
        <f>IF(I1265 = "Yes", M1264/(C1265+CostBuy), IF(J1265 = "Yes", 0, K1264))</f>
        <v>214181.59609364436</v>
      </c>
      <c r="M1265" s="19">
        <f>IF(I1265 = "Yes", M1264-(C1265+CostBuy)*K1265, IF(J1265="Yes", M1264+(C1265-CostSell)*K1264, M1264+K1265*Rate))</f>
        <v>32127.239414046657</v>
      </c>
    </row>
    <row r="1266" spans="2:13" s="11" customFormat="1" x14ac:dyDescent="0.2">
      <c r="B1266" s="24">
        <v>1975.05</v>
      </c>
      <c r="C1266" s="25">
        <v>90.1</v>
      </c>
      <c r="D1266" s="40">
        <f t="shared" si="30"/>
        <v>76.661666666666676</v>
      </c>
      <c r="E1266" s="40">
        <f t="shared" si="31"/>
        <v>74.691249999999997</v>
      </c>
      <c r="F1266" s="12"/>
      <c r="G1266" s="18" t="str">
        <f t="shared" si="32"/>
        <v>Yes</v>
      </c>
      <c r="H1266" s="12"/>
      <c r="I1266" s="39" t="str">
        <f>IF(BuyAllowed="Yes",IF(AND(G1266 = "No", C1266&gt;D1266), "Yes", "No"),"No")</f>
        <v>No</v>
      </c>
      <c r="J1266" s="39" t="str">
        <f>IF(SellAllowed="Yes",IF(AND(G1266 = "Yes", C1266&lt;E1266), "Yes", "No"),"No")</f>
        <v>No</v>
      </c>
      <c r="K1266" s="39">
        <f>IF(I1266 = "Yes", M1265/(C1266+CostBuy), IF(J1266 = "Yes", 0, K1265))</f>
        <v>214181.59609364436</v>
      </c>
      <c r="M1266" s="19">
        <f>IF(I1266 = "Yes", M1265-(C1266+CostBuy)*K1266, IF(J1266="Yes", M1265+(C1266-CostSell)*K1265, M1265+K1266*Rate))</f>
        <v>42836.319218728873</v>
      </c>
    </row>
    <row r="1267" spans="2:13" s="11" customFormat="1" x14ac:dyDescent="0.2">
      <c r="B1267" s="24">
        <v>1975.06</v>
      </c>
      <c r="C1267" s="25">
        <v>92.4</v>
      </c>
      <c r="D1267" s="40">
        <f t="shared" si="30"/>
        <v>79.721666666666678</v>
      </c>
      <c r="E1267" s="40">
        <f t="shared" si="31"/>
        <v>77.438749999999999</v>
      </c>
      <c r="F1267" s="12"/>
      <c r="G1267" s="18" t="str">
        <f t="shared" si="32"/>
        <v>Yes</v>
      </c>
      <c r="H1267" s="12"/>
      <c r="I1267" s="39" t="str">
        <f>IF(BuyAllowed="Yes",IF(AND(G1267 = "No", C1267&gt;D1267), "Yes", "No"),"No")</f>
        <v>No</v>
      </c>
      <c r="J1267" s="39" t="str">
        <f>IF(SellAllowed="Yes",IF(AND(G1267 = "Yes", C1267&lt;E1267), "Yes", "No"),"No")</f>
        <v>No</v>
      </c>
      <c r="K1267" s="39">
        <f>IF(I1267 = "Yes", M1266/(C1267+CostBuy), IF(J1267 = "Yes", 0, K1266))</f>
        <v>214181.59609364436</v>
      </c>
      <c r="M1267" s="19">
        <f>IF(I1267 = "Yes", M1266-(C1267+CostBuy)*K1267, IF(J1267="Yes", M1266+(C1267-CostSell)*K1266, M1266+K1267*Rate))</f>
        <v>53545.39902341109</v>
      </c>
    </row>
    <row r="1268" spans="2:13" s="11" customFormat="1" x14ac:dyDescent="0.2">
      <c r="B1268" s="24">
        <v>1975.07</v>
      </c>
      <c r="C1268" s="25">
        <v>92.49</v>
      </c>
      <c r="D1268" s="40">
        <f t="shared" si="30"/>
        <v>83.943333333333328</v>
      </c>
      <c r="E1268" s="40">
        <f t="shared" si="31"/>
        <v>80.308750000000003</v>
      </c>
      <c r="F1268" s="12"/>
      <c r="G1268" s="18" t="str">
        <f t="shared" si="32"/>
        <v>Yes</v>
      </c>
      <c r="H1268" s="12"/>
      <c r="I1268" s="39" t="str">
        <f>IF(BuyAllowed="Yes",IF(AND(G1268 = "No", C1268&gt;D1268), "Yes", "No"),"No")</f>
        <v>No</v>
      </c>
      <c r="J1268" s="39" t="str">
        <f>IF(SellAllowed="Yes",IF(AND(G1268 = "Yes", C1268&lt;E1268), "Yes", "No"),"No")</f>
        <v>No</v>
      </c>
      <c r="K1268" s="39">
        <f>IF(I1268 = "Yes", M1267/(C1268+CostBuy), IF(J1268 = "Yes", 0, K1267))</f>
        <v>214181.59609364436</v>
      </c>
      <c r="M1268" s="19">
        <f>IF(I1268 = "Yes", M1267-(C1268+CostBuy)*K1268, IF(J1268="Yes", M1267+(C1268-CostSell)*K1267, M1267+K1268*Rate))</f>
        <v>64254.478828093306</v>
      </c>
    </row>
    <row r="1269" spans="2:13" s="11" customFormat="1" x14ac:dyDescent="0.2">
      <c r="B1269" s="24">
        <v>1975.08</v>
      </c>
      <c r="C1269" s="25">
        <v>85.71</v>
      </c>
      <c r="D1269" s="40">
        <f t="shared" si="30"/>
        <v>87.265000000000001</v>
      </c>
      <c r="E1269" s="40">
        <f t="shared" si="31"/>
        <v>82.902500000000003</v>
      </c>
      <c r="F1269" s="12"/>
      <c r="G1269" s="18" t="str">
        <f t="shared" si="32"/>
        <v>Yes</v>
      </c>
      <c r="H1269" s="12"/>
      <c r="I1269" s="39" t="str">
        <f>IF(BuyAllowed="Yes",IF(AND(G1269 = "No", C1269&gt;D1269), "Yes", "No"),"No")</f>
        <v>No</v>
      </c>
      <c r="J1269" s="39" t="str">
        <f>IF(SellAllowed="Yes",IF(AND(G1269 = "Yes", C1269&lt;E1269), "Yes", "No"),"No")</f>
        <v>No</v>
      </c>
      <c r="K1269" s="39">
        <f>IF(I1269 = "Yes", M1268/(C1269+CostBuy), IF(J1269 = "Yes", 0, K1268))</f>
        <v>214181.59609364436</v>
      </c>
      <c r="M1269" s="19">
        <f>IF(I1269 = "Yes", M1268-(C1269+CostBuy)*K1269, IF(J1269="Yes", M1268+(C1269-CostSell)*K1268, M1268+K1269*Rate))</f>
        <v>74963.55863277553</v>
      </c>
    </row>
    <row r="1270" spans="2:13" s="11" customFormat="1" x14ac:dyDescent="0.2">
      <c r="B1270" s="24">
        <v>1975.09</v>
      </c>
      <c r="C1270" s="25">
        <v>84.67</v>
      </c>
      <c r="D1270" s="40">
        <f t="shared" si="30"/>
        <v>88.2</v>
      </c>
      <c r="E1270" s="40">
        <f t="shared" si="31"/>
        <v>85.232500000000002</v>
      </c>
      <c r="F1270" s="12"/>
      <c r="G1270" s="18" t="str">
        <f t="shared" si="32"/>
        <v>Yes</v>
      </c>
      <c r="H1270" s="12"/>
      <c r="I1270" s="39" t="str">
        <f>IF(BuyAllowed="Yes",IF(AND(G1270 = "No", C1270&gt;D1270), "Yes", "No"),"No")</f>
        <v>No</v>
      </c>
      <c r="J1270" s="39" t="str">
        <f>IF(SellAllowed="Yes",IF(AND(G1270 = "Yes", C1270&lt;E1270), "Yes", "No"),"No")</f>
        <v>Yes</v>
      </c>
      <c r="K1270" s="39">
        <f>IF(I1270 = "Yes", M1269/(C1270+CostBuy), IF(J1270 = "Yes", 0, K1269))</f>
        <v>0</v>
      </c>
      <c r="M1270" s="19">
        <f>IF(I1270 = "Yes", M1269-(C1270+CostBuy)*K1270, IF(J1270="Yes", M1269+(C1270-CostSell)*K1269, M1269+K1270*Rate))</f>
        <v>18196868.404116027</v>
      </c>
    </row>
    <row r="1271" spans="2:13" s="11" customFormat="1" x14ac:dyDescent="0.2">
      <c r="B1271" s="24">
        <v>1975.1</v>
      </c>
      <c r="C1271" s="25">
        <v>88.57</v>
      </c>
      <c r="D1271" s="40">
        <f t="shared" si="30"/>
        <v>88.348333333333343</v>
      </c>
      <c r="E1271" s="40">
        <f t="shared" si="31"/>
        <v>86.746250000000003</v>
      </c>
      <c r="F1271" s="12"/>
      <c r="G1271" s="18" t="str">
        <f t="shared" si="32"/>
        <v>No</v>
      </c>
      <c r="H1271" s="12"/>
      <c r="I1271" s="39" t="str">
        <f>IF(BuyAllowed="Yes",IF(AND(G1271 = "No", C1271&gt;D1271), "Yes", "No"),"No")</f>
        <v>Yes</v>
      </c>
      <c r="J1271" s="39" t="str">
        <f>IF(SellAllowed="Yes",IF(AND(G1271 = "Yes", C1271&lt;E1271), "Yes", "No"),"No")</f>
        <v>No</v>
      </c>
      <c r="K1271" s="39">
        <f>IF(I1271 = "Yes", M1270/(C1271+CostBuy), IF(J1271 = "Yes", 0, K1270))</f>
        <v>205382.26189747211</v>
      </c>
      <c r="M1271" s="19">
        <f>IF(I1271 = "Yes", M1270-(C1271+CostBuy)*K1271, IF(J1271="Yes", M1270+(C1271-CostSell)*K1270, M1270+K1271*Rate))</f>
        <v>0</v>
      </c>
    </row>
    <row r="1272" spans="2:13" s="11" customFormat="1" x14ac:dyDescent="0.2">
      <c r="B1272" s="24">
        <v>1975.11</v>
      </c>
      <c r="C1272" s="25">
        <v>90.07</v>
      </c>
      <c r="D1272" s="40">
        <f t="shared" si="30"/>
        <v>88.990000000000009</v>
      </c>
      <c r="E1272" s="40">
        <f t="shared" si="31"/>
        <v>87.805000000000007</v>
      </c>
      <c r="F1272" s="12"/>
      <c r="G1272" s="18" t="str">
        <f t="shared" si="32"/>
        <v>Yes</v>
      </c>
      <c r="H1272" s="12"/>
      <c r="I1272" s="39" t="str">
        <f>IF(BuyAllowed="Yes",IF(AND(G1272 = "No", C1272&gt;D1272), "Yes", "No"),"No")</f>
        <v>No</v>
      </c>
      <c r="J1272" s="39" t="str">
        <f>IF(SellAllowed="Yes",IF(AND(G1272 = "Yes", C1272&lt;E1272), "Yes", "No"),"No")</f>
        <v>No</v>
      </c>
      <c r="K1272" s="39">
        <f>IF(I1272 = "Yes", M1271/(C1272+CostBuy), IF(J1272 = "Yes", 0, K1271))</f>
        <v>205382.26189747211</v>
      </c>
      <c r="M1272" s="19">
        <f>IF(I1272 = "Yes", M1271-(C1272+CostBuy)*K1272, IF(J1272="Yes", M1271+(C1272-CostSell)*K1271, M1271+K1272*Rate))</f>
        <v>10269.113094873606</v>
      </c>
    </row>
    <row r="1273" spans="2:13" s="11" customFormat="1" x14ac:dyDescent="0.2">
      <c r="B1273" s="24">
        <v>1975.12</v>
      </c>
      <c r="C1273" s="25">
        <v>88.7</v>
      </c>
      <c r="D1273" s="40">
        <f t="shared" si="30"/>
        <v>88.984999999999999</v>
      </c>
      <c r="E1273" s="40">
        <f t="shared" si="31"/>
        <v>88.591250000000002</v>
      </c>
      <c r="F1273" s="12"/>
      <c r="G1273" s="18" t="str">
        <f t="shared" si="32"/>
        <v>Yes</v>
      </c>
      <c r="H1273" s="12"/>
      <c r="I1273" s="39" t="str">
        <f>IF(BuyAllowed="Yes",IF(AND(G1273 = "No", C1273&gt;D1273), "Yes", "No"),"No")</f>
        <v>No</v>
      </c>
      <c r="J1273" s="39" t="str">
        <f>IF(SellAllowed="Yes",IF(AND(G1273 = "Yes", C1273&lt;E1273), "Yes", "No"),"No")</f>
        <v>No</v>
      </c>
      <c r="K1273" s="39">
        <f>IF(I1273 = "Yes", M1272/(C1273+CostBuy), IF(J1273 = "Yes", 0, K1272))</f>
        <v>205382.26189747211</v>
      </c>
      <c r="M1273" s="19">
        <f>IF(I1273 = "Yes", M1272-(C1273+CostBuy)*K1273, IF(J1273="Yes", M1272+(C1273-CostSell)*K1272, M1272+K1273*Rate))</f>
        <v>20538.226189747213</v>
      </c>
    </row>
    <row r="1274" spans="2:13" s="11" customFormat="1" x14ac:dyDescent="0.2">
      <c r="B1274" s="24">
        <v>1976.01</v>
      </c>
      <c r="C1274" s="25">
        <v>96.86</v>
      </c>
      <c r="D1274" s="40">
        <f t="shared" si="30"/>
        <v>88.368333333333339</v>
      </c>
      <c r="E1274" s="40">
        <f t="shared" si="31"/>
        <v>89.088750000000005</v>
      </c>
      <c r="F1274" s="12"/>
      <c r="G1274" s="18" t="str">
        <f t="shared" si="32"/>
        <v>Yes</v>
      </c>
      <c r="H1274" s="12"/>
      <c r="I1274" s="39" t="str">
        <f>IF(BuyAllowed="Yes",IF(AND(G1274 = "No", C1274&gt;D1274), "Yes", "No"),"No")</f>
        <v>No</v>
      </c>
      <c r="J1274" s="39" t="str">
        <f>IF(SellAllowed="Yes",IF(AND(G1274 = "Yes", C1274&lt;E1274), "Yes", "No"),"No")</f>
        <v>No</v>
      </c>
      <c r="K1274" s="39">
        <f>IF(I1274 = "Yes", M1273/(C1274+CostBuy), IF(J1274 = "Yes", 0, K1273))</f>
        <v>205382.26189747211</v>
      </c>
      <c r="M1274" s="19">
        <f>IF(I1274 = "Yes", M1273-(C1274+CostBuy)*K1274, IF(J1274="Yes", M1273+(C1274-CostSell)*K1273, M1273+K1274*Rate))</f>
        <v>30807.339284620819</v>
      </c>
    </row>
    <row r="1275" spans="2:13" s="11" customFormat="1" x14ac:dyDescent="0.2">
      <c r="B1275" s="24">
        <v>1976.02</v>
      </c>
      <c r="C1275" s="25">
        <v>100.6</v>
      </c>
      <c r="D1275" s="40">
        <f t="shared" si="30"/>
        <v>89.09666666666665</v>
      </c>
      <c r="E1275" s="40">
        <f t="shared" si="31"/>
        <v>89.933750000000003</v>
      </c>
      <c r="F1275" s="12"/>
      <c r="G1275" s="18" t="str">
        <f t="shared" si="32"/>
        <v>Yes</v>
      </c>
      <c r="H1275" s="12"/>
      <c r="I1275" s="39" t="str">
        <f>IF(BuyAllowed="Yes",IF(AND(G1275 = "No", C1275&gt;D1275), "Yes", "No"),"No")</f>
        <v>No</v>
      </c>
      <c r="J1275" s="39" t="str">
        <f>IF(SellAllowed="Yes",IF(AND(G1275 = "Yes", C1275&lt;E1275), "Yes", "No"),"No")</f>
        <v>No</v>
      </c>
      <c r="K1275" s="39">
        <f>IF(I1275 = "Yes", M1274/(C1275+CostBuy), IF(J1275 = "Yes", 0, K1274))</f>
        <v>205382.26189747211</v>
      </c>
      <c r="M1275" s="19">
        <f>IF(I1275 = "Yes", M1274-(C1275+CostBuy)*K1275, IF(J1275="Yes", M1274+(C1275-CostSell)*K1274, M1274+K1275*Rate))</f>
        <v>41076.452379494425</v>
      </c>
    </row>
    <row r="1276" spans="2:13" s="11" customFormat="1" x14ac:dyDescent="0.2">
      <c r="B1276" s="24">
        <v>1976.03</v>
      </c>
      <c r="C1276" s="25">
        <v>101.1</v>
      </c>
      <c r="D1276" s="40">
        <f t="shared" si="30"/>
        <v>91.578333333333333</v>
      </c>
      <c r="E1276" s="40">
        <f t="shared" si="31"/>
        <v>90.958750000000009</v>
      </c>
      <c r="F1276" s="12"/>
      <c r="G1276" s="18" t="str">
        <f t="shared" si="32"/>
        <v>Yes</v>
      </c>
      <c r="H1276" s="12"/>
      <c r="I1276" s="39" t="str">
        <f>IF(BuyAllowed="Yes",IF(AND(G1276 = "No", C1276&gt;D1276), "Yes", "No"),"No")</f>
        <v>No</v>
      </c>
      <c r="J1276" s="39" t="str">
        <f>IF(SellAllowed="Yes",IF(AND(G1276 = "Yes", C1276&lt;E1276), "Yes", "No"),"No")</f>
        <v>No</v>
      </c>
      <c r="K1276" s="39">
        <f>IF(I1276 = "Yes", M1275/(C1276+CostBuy), IF(J1276 = "Yes", 0, K1275))</f>
        <v>205382.26189747211</v>
      </c>
      <c r="M1276" s="19">
        <f>IF(I1276 = "Yes", M1275-(C1276+CostBuy)*K1276, IF(J1276="Yes", M1275+(C1276-CostSell)*K1275, M1275+K1276*Rate))</f>
        <v>51345.565474368035</v>
      </c>
    </row>
    <row r="1277" spans="2:13" s="11" customFormat="1" x14ac:dyDescent="0.2">
      <c r="B1277" s="24">
        <v>1976.04</v>
      </c>
      <c r="C1277" s="25">
        <v>101.9</v>
      </c>
      <c r="D1277" s="40">
        <f t="shared" si="30"/>
        <v>94.316666666666663</v>
      </c>
      <c r="E1277" s="40">
        <f t="shared" si="31"/>
        <v>92.034999999999997</v>
      </c>
      <c r="F1277" s="12"/>
      <c r="G1277" s="18" t="str">
        <f t="shared" si="32"/>
        <v>Yes</v>
      </c>
      <c r="H1277" s="12"/>
      <c r="I1277" s="39" t="str">
        <f>IF(BuyAllowed="Yes",IF(AND(G1277 = "No", C1277&gt;D1277), "Yes", "No"),"No")</f>
        <v>No</v>
      </c>
      <c r="J1277" s="39" t="str">
        <f>IF(SellAllowed="Yes",IF(AND(G1277 = "Yes", C1277&lt;E1277), "Yes", "No"),"No")</f>
        <v>No</v>
      </c>
      <c r="K1277" s="39">
        <f>IF(I1277 = "Yes", M1276/(C1277+CostBuy), IF(J1277 = "Yes", 0, K1276))</f>
        <v>205382.26189747211</v>
      </c>
      <c r="M1277" s="19">
        <f>IF(I1277 = "Yes", M1276-(C1277+CostBuy)*K1277, IF(J1277="Yes", M1276+(C1277-CostSell)*K1276, M1276+K1277*Rate))</f>
        <v>61614.678569241645</v>
      </c>
    </row>
    <row r="1278" spans="2:13" s="11" customFormat="1" x14ac:dyDescent="0.2">
      <c r="B1278" s="24">
        <v>1976.05</v>
      </c>
      <c r="C1278" s="25">
        <v>101.2</v>
      </c>
      <c r="D1278" s="40">
        <f t="shared" si="30"/>
        <v>96.538333333333341</v>
      </c>
      <c r="E1278" s="40">
        <f t="shared" si="31"/>
        <v>94.058750000000003</v>
      </c>
      <c r="F1278" s="12"/>
      <c r="G1278" s="18" t="str">
        <f t="shared" si="32"/>
        <v>Yes</v>
      </c>
      <c r="H1278" s="12"/>
      <c r="I1278" s="39" t="str">
        <f>IF(BuyAllowed="Yes",IF(AND(G1278 = "No", C1278&gt;D1278), "Yes", "No"),"No")</f>
        <v>No</v>
      </c>
      <c r="J1278" s="39" t="str">
        <f>IF(SellAllowed="Yes",IF(AND(G1278 = "Yes", C1278&lt;E1278), "Yes", "No"),"No")</f>
        <v>No</v>
      </c>
      <c r="K1278" s="39">
        <f>IF(I1278 = "Yes", M1277/(C1278+CostBuy), IF(J1278 = "Yes", 0, K1277))</f>
        <v>205382.26189747211</v>
      </c>
      <c r="M1278" s="19">
        <f>IF(I1278 = "Yes", M1277-(C1278+CostBuy)*K1278, IF(J1278="Yes", M1277+(C1278-CostSell)*K1277, M1277+K1278*Rate))</f>
        <v>71883.791664115255</v>
      </c>
    </row>
    <row r="1279" spans="2:13" s="11" customFormat="1" x14ac:dyDescent="0.2">
      <c r="B1279" s="24">
        <v>1976.06</v>
      </c>
      <c r="C1279" s="25">
        <v>101.8</v>
      </c>
      <c r="D1279" s="40">
        <f t="shared" si="30"/>
        <v>98.393333333333331</v>
      </c>
      <c r="E1279" s="40">
        <f t="shared" si="31"/>
        <v>96.125</v>
      </c>
      <c r="F1279" s="12"/>
      <c r="G1279" s="18" t="str">
        <f t="shared" si="32"/>
        <v>Yes</v>
      </c>
      <c r="H1279" s="12"/>
      <c r="I1279" s="39" t="str">
        <f>IF(BuyAllowed="Yes",IF(AND(G1279 = "No", C1279&gt;D1279), "Yes", "No"),"No")</f>
        <v>No</v>
      </c>
      <c r="J1279" s="39" t="str">
        <f>IF(SellAllowed="Yes",IF(AND(G1279 = "Yes", C1279&lt;E1279), "Yes", "No"),"No")</f>
        <v>No</v>
      </c>
      <c r="K1279" s="39">
        <f>IF(I1279 = "Yes", M1278/(C1279+CostBuy), IF(J1279 = "Yes", 0, K1278))</f>
        <v>205382.26189747211</v>
      </c>
      <c r="M1279" s="19">
        <f>IF(I1279 = "Yes", M1278-(C1279+CostBuy)*K1279, IF(J1279="Yes", M1278+(C1279-CostSell)*K1278, M1278+K1279*Rate))</f>
        <v>82152.904758988865</v>
      </c>
    </row>
    <row r="1280" spans="2:13" s="11" customFormat="1" x14ac:dyDescent="0.2">
      <c r="B1280" s="24">
        <v>1976.07</v>
      </c>
      <c r="C1280" s="25">
        <v>104.2</v>
      </c>
      <c r="D1280" s="40">
        <f t="shared" si="30"/>
        <v>100.57666666666665</v>
      </c>
      <c r="E1280" s="40">
        <f t="shared" si="31"/>
        <v>97.778750000000002</v>
      </c>
      <c r="F1280" s="12"/>
      <c r="G1280" s="18" t="str">
        <f t="shared" si="32"/>
        <v>Yes</v>
      </c>
      <c r="H1280" s="12"/>
      <c r="I1280" s="39" t="str">
        <f>IF(BuyAllowed="Yes",IF(AND(G1280 = "No", C1280&gt;D1280), "Yes", "No"),"No")</f>
        <v>No</v>
      </c>
      <c r="J1280" s="39" t="str">
        <f>IF(SellAllowed="Yes",IF(AND(G1280 = "Yes", C1280&lt;E1280), "Yes", "No"),"No")</f>
        <v>No</v>
      </c>
      <c r="K1280" s="39">
        <f>IF(I1280 = "Yes", M1279/(C1280+CostBuy), IF(J1280 = "Yes", 0, K1279))</f>
        <v>205382.26189747211</v>
      </c>
      <c r="M1280" s="19">
        <f>IF(I1280 = "Yes", M1279-(C1280+CostBuy)*K1280, IF(J1280="Yes", M1279+(C1280-CostSell)*K1279, M1279+K1280*Rate))</f>
        <v>92422.017853862475</v>
      </c>
    </row>
    <row r="1281" spans="2:13" s="11" customFormat="1" x14ac:dyDescent="0.2">
      <c r="B1281" s="24">
        <v>1976.08</v>
      </c>
      <c r="C1281" s="25">
        <v>103.3</v>
      </c>
      <c r="D1281" s="40">
        <f t="shared" si="30"/>
        <v>101.80000000000001</v>
      </c>
      <c r="E1281" s="40">
        <f t="shared" si="31"/>
        <v>99.545000000000002</v>
      </c>
      <c r="F1281" s="12"/>
      <c r="G1281" s="18" t="str">
        <f t="shared" si="32"/>
        <v>Yes</v>
      </c>
      <c r="H1281" s="12"/>
      <c r="I1281" s="39" t="str">
        <f>IF(BuyAllowed="Yes",IF(AND(G1281 = "No", C1281&gt;D1281), "Yes", "No"),"No")</f>
        <v>No</v>
      </c>
      <c r="J1281" s="39" t="str">
        <f>IF(SellAllowed="Yes",IF(AND(G1281 = "Yes", C1281&lt;E1281), "Yes", "No"),"No")</f>
        <v>No</v>
      </c>
      <c r="K1281" s="39">
        <f>IF(I1281 = "Yes", M1280/(C1281+CostBuy), IF(J1281 = "Yes", 0, K1280))</f>
        <v>205382.26189747211</v>
      </c>
      <c r="M1281" s="19">
        <f>IF(I1281 = "Yes", M1280-(C1281+CostBuy)*K1281, IF(J1281="Yes", M1280+(C1281-CostSell)*K1280, M1280+K1281*Rate))</f>
        <v>102691.13094873608</v>
      </c>
    </row>
    <row r="1282" spans="2:13" s="11" customFormat="1" x14ac:dyDescent="0.2">
      <c r="B1282" s="24">
        <v>1976.09</v>
      </c>
      <c r="C1282" s="25">
        <v>105.5</v>
      </c>
      <c r="D1282" s="40">
        <f t="shared" si="30"/>
        <v>102.25</v>
      </c>
      <c r="E1282" s="40">
        <f t="shared" si="31"/>
        <v>101.36999999999999</v>
      </c>
      <c r="F1282" s="12"/>
      <c r="G1282" s="18" t="str">
        <f t="shared" si="32"/>
        <v>Yes</v>
      </c>
      <c r="H1282" s="12"/>
      <c r="I1282" s="39" t="str">
        <f>IF(BuyAllowed="Yes",IF(AND(G1282 = "No", C1282&gt;D1282), "Yes", "No"),"No")</f>
        <v>No</v>
      </c>
      <c r="J1282" s="39" t="str">
        <f>IF(SellAllowed="Yes",IF(AND(G1282 = "Yes", C1282&lt;E1282), "Yes", "No"),"No")</f>
        <v>No</v>
      </c>
      <c r="K1282" s="39">
        <f>IF(I1282 = "Yes", M1281/(C1282+CostBuy), IF(J1282 = "Yes", 0, K1281))</f>
        <v>205382.26189747211</v>
      </c>
      <c r="M1282" s="19">
        <f>IF(I1282 = "Yes", M1281-(C1282+CostBuy)*K1282, IF(J1282="Yes", M1281+(C1282-CostSell)*K1281, M1281+K1282*Rate))</f>
        <v>112960.24404360969</v>
      </c>
    </row>
    <row r="1283" spans="2:13" s="11" customFormat="1" x14ac:dyDescent="0.2">
      <c r="B1283" s="24">
        <v>1976.1</v>
      </c>
      <c r="C1283" s="25">
        <v>101.9</v>
      </c>
      <c r="D1283" s="40">
        <f t="shared" si="30"/>
        <v>102.98333333333333</v>
      </c>
      <c r="E1283" s="40">
        <f t="shared" si="31"/>
        <v>102.45</v>
      </c>
      <c r="F1283" s="12"/>
      <c r="G1283" s="18" t="str">
        <f t="shared" si="32"/>
        <v>Yes</v>
      </c>
      <c r="H1283" s="12"/>
      <c r="I1283" s="39" t="str">
        <f>IF(BuyAllowed="Yes",IF(AND(G1283 = "No", C1283&gt;D1283), "Yes", "No"),"No")</f>
        <v>No</v>
      </c>
      <c r="J1283" s="39" t="str">
        <f>IF(SellAllowed="Yes",IF(AND(G1283 = "Yes", C1283&lt;E1283), "Yes", "No"),"No")</f>
        <v>Yes</v>
      </c>
      <c r="K1283" s="39">
        <f>IF(I1283 = "Yes", M1282/(C1283+CostBuy), IF(J1283 = "Yes", 0, K1282))</f>
        <v>0</v>
      </c>
      <c r="M1283" s="19">
        <f>IF(I1283 = "Yes", M1282-(C1283+CostBuy)*K1283, IF(J1283="Yes", M1282+(C1283-CostSell)*K1282, M1282+K1283*Rate))</f>
        <v>21029089.795682173</v>
      </c>
    </row>
    <row r="1284" spans="2:13" s="11" customFormat="1" x14ac:dyDescent="0.2">
      <c r="B1284" s="24">
        <v>1976.11</v>
      </c>
      <c r="C1284" s="25">
        <v>101.2</v>
      </c>
      <c r="D1284" s="40">
        <f t="shared" si="30"/>
        <v>102.98333333333333</v>
      </c>
      <c r="E1284" s="40">
        <f t="shared" si="31"/>
        <v>102.6125</v>
      </c>
      <c r="F1284" s="12"/>
      <c r="G1284" s="18" t="str">
        <f t="shared" si="32"/>
        <v>No</v>
      </c>
      <c r="H1284" s="12"/>
      <c r="I1284" s="39" t="str">
        <f>IF(BuyAllowed="Yes",IF(AND(G1284 = "No", C1284&gt;D1284), "Yes", "No"),"No")</f>
        <v>No</v>
      </c>
      <c r="J1284" s="39" t="str">
        <f>IF(SellAllowed="Yes",IF(AND(G1284 = "Yes", C1284&lt;E1284), "Yes", "No"),"No")</f>
        <v>No</v>
      </c>
      <c r="K1284" s="39">
        <f>IF(I1284 = "Yes", M1283/(C1284+CostBuy), IF(J1284 = "Yes", 0, K1283))</f>
        <v>0</v>
      </c>
      <c r="M1284" s="19">
        <f>IF(I1284 = "Yes", M1283-(C1284+CostBuy)*K1284, IF(J1284="Yes", M1283+(C1284-CostSell)*K1283, M1283+K1284*Rate))</f>
        <v>21029089.795682173</v>
      </c>
    </row>
    <row r="1285" spans="2:13" s="11" customFormat="1" x14ac:dyDescent="0.2">
      <c r="B1285" s="24">
        <v>1976.12</v>
      </c>
      <c r="C1285" s="25">
        <v>104.7</v>
      </c>
      <c r="D1285" s="40">
        <f t="shared" si="30"/>
        <v>102.98333333333335</v>
      </c>
      <c r="E1285" s="40">
        <f t="shared" si="31"/>
        <v>102.625</v>
      </c>
      <c r="F1285" s="12"/>
      <c r="G1285" s="18" t="str">
        <f t="shared" si="32"/>
        <v>No</v>
      </c>
      <c r="H1285" s="12"/>
      <c r="I1285" s="39" t="str">
        <f>IF(BuyAllowed="Yes",IF(AND(G1285 = "No", C1285&gt;D1285), "Yes", "No"),"No")</f>
        <v>Yes</v>
      </c>
      <c r="J1285" s="39" t="str">
        <f>IF(SellAllowed="Yes",IF(AND(G1285 = "Yes", C1285&lt;E1285), "Yes", "No"),"No")</f>
        <v>No</v>
      </c>
      <c r="K1285" s="39">
        <f>IF(I1285 = "Yes", M1284/(C1285+CostBuy), IF(J1285 = "Yes", 0, K1284))</f>
        <v>200793.37148555496</v>
      </c>
      <c r="M1285" s="19">
        <f>IF(I1285 = "Yes", M1284-(C1285+CostBuy)*K1285, IF(J1285="Yes", M1284+(C1285-CostSell)*K1284, M1284+K1285*Rate))</f>
        <v>0</v>
      </c>
    </row>
    <row r="1286" spans="2:13" s="11" customFormat="1" x14ac:dyDescent="0.2">
      <c r="B1286" s="24">
        <v>1977.01</v>
      </c>
      <c r="C1286" s="25">
        <v>103.8</v>
      </c>
      <c r="D1286" s="40">
        <f t="shared" si="30"/>
        <v>103.46666666666668</v>
      </c>
      <c r="E1286" s="40">
        <f t="shared" si="31"/>
        <v>102.97500000000001</v>
      </c>
      <c r="F1286" s="12"/>
      <c r="G1286" s="18" t="str">
        <f t="shared" si="32"/>
        <v>Yes</v>
      </c>
      <c r="H1286" s="12"/>
      <c r="I1286" s="39" t="str">
        <f>IF(BuyAllowed="Yes",IF(AND(G1286 = "No", C1286&gt;D1286), "Yes", "No"),"No")</f>
        <v>No</v>
      </c>
      <c r="J1286" s="39" t="str">
        <f>IF(SellAllowed="Yes",IF(AND(G1286 = "Yes", C1286&lt;E1286), "Yes", "No"),"No")</f>
        <v>No</v>
      </c>
      <c r="K1286" s="39">
        <f>IF(I1286 = "Yes", M1285/(C1286+CostBuy), IF(J1286 = "Yes", 0, K1285))</f>
        <v>200793.37148555496</v>
      </c>
      <c r="M1286" s="19">
        <f>IF(I1286 = "Yes", M1285-(C1286+CostBuy)*K1286, IF(J1286="Yes", M1285+(C1286-CostSell)*K1285, M1285+K1286*Rate))</f>
        <v>10039.668574277748</v>
      </c>
    </row>
    <row r="1287" spans="2:13" s="11" customFormat="1" x14ac:dyDescent="0.2">
      <c r="B1287" s="24">
        <v>1977.02</v>
      </c>
      <c r="C1287" s="25">
        <v>101</v>
      </c>
      <c r="D1287" s="40">
        <f t="shared" si="30"/>
        <v>103.39999999999999</v>
      </c>
      <c r="E1287" s="40">
        <f t="shared" si="31"/>
        <v>103.30000000000001</v>
      </c>
      <c r="F1287" s="12"/>
      <c r="G1287" s="18" t="str">
        <f t="shared" si="32"/>
        <v>Yes</v>
      </c>
      <c r="H1287" s="12"/>
      <c r="I1287" s="39" t="str">
        <f>IF(BuyAllowed="Yes",IF(AND(G1287 = "No", C1287&gt;D1287), "Yes", "No"),"No")</f>
        <v>No</v>
      </c>
      <c r="J1287" s="39" t="str">
        <f>IF(SellAllowed="Yes",IF(AND(G1287 = "Yes", C1287&lt;E1287), "Yes", "No"),"No")</f>
        <v>Yes</v>
      </c>
      <c r="K1287" s="39">
        <f>IF(I1287 = "Yes", M1286/(C1287+CostBuy), IF(J1287 = "Yes", 0, K1286))</f>
        <v>0</v>
      </c>
      <c r="M1287" s="19">
        <f>IF(I1287 = "Yes", M1286-(C1287+CostBuy)*K1287, IF(J1287="Yes", M1286+(C1287-CostSell)*K1286, M1286+K1287*Rate))</f>
        <v>20278122.586326193</v>
      </c>
    </row>
    <row r="1288" spans="2:13" s="11" customFormat="1" x14ac:dyDescent="0.2">
      <c r="B1288" s="24">
        <v>1977.03</v>
      </c>
      <c r="C1288" s="25">
        <v>100.6</v>
      </c>
      <c r="D1288" s="40">
        <f t="shared" si="30"/>
        <v>103.01666666666667</v>
      </c>
      <c r="E1288" s="40">
        <f t="shared" si="31"/>
        <v>103.2</v>
      </c>
      <c r="F1288" s="12"/>
      <c r="G1288" s="18" t="str">
        <f t="shared" si="32"/>
        <v>No</v>
      </c>
      <c r="H1288" s="12"/>
      <c r="I1288" s="39" t="str">
        <f>IF(BuyAllowed="Yes",IF(AND(G1288 = "No", C1288&gt;D1288), "Yes", "No"),"No")</f>
        <v>No</v>
      </c>
      <c r="J1288" s="39" t="str">
        <f>IF(SellAllowed="Yes",IF(AND(G1288 = "Yes", C1288&lt;E1288), "Yes", "No"),"No")</f>
        <v>No</v>
      </c>
      <c r="K1288" s="39">
        <f>IF(I1288 = "Yes", M1287/(C1288+CostBuy), IF(J1288 = "Yes", 0, K1287))</f>
        <v>0</v>
      </c>
      <c r="M1288" s="19">
        <f>IF(I1288 = "Yes", M1287-(C1288+CostBuy)*K1288, IF(J1288="Yes", M1287+(C1288-CostSell)*K1287, M1287+K1288*Rate))</f>
        <v>20278122.586326193</v>
      </c>
    </row>
    <row r="1289" spans="2:13" s="11" customFormat="1" x14ac:dyDescent="0.2">
      <c r="B1289" s="24">
        <v>1977.04</v>
      </c>
      <c r="C1289" s="25">
        <v>99.05</v>
      </c>
      <c r="D1289" s="40">
        <f t="shared" si="30"/>
        <v>102.2</v>
      </c>
      <c r="E1289" s="40">
        <f t="shared" si="31"/>
        <v>102.75</v>
      </c>
      <c r="F1289" s="12"/>
      <c r="G1289" s="18" t="str">
        <f t="shared" si="32"/>
        <v>No</v>
      </c>
      <c r="H1289" s="12"/>
      <c r="I1289" s="39" t="str">
        <f>IF(BuyAllowed="Yes",IF(AND(G1289 = "No", C1289&gt;D1289), "Yes", "No"),"No")</f>
        <v>No</v>
      </c>
      <c r="J1289" s="39" t="str">
        <f>IF(SellAllowed="Yes",IF(AND(G1289 = "Yes", C1289&lt;E1289), "Yes", "No"),"No")</f>
        <v>No</v>
      </c>
      <c r="K1289" s="39">
        <f>IF(I1289 = "Yes", M1288/(C1289+CostBuy), IF(J1289 = "Yes", 0, K1288))</f>
        <v>0</v>
      </c>
      <c r="M1289" s="19">
        <f>IF(I1289 = "Yes", M1288-(C1289+CostBuy)*K1289, IF(J1289="Yes", M1288+(C1289-CostSell)*K1288, M1288+K1289*Rate))</f>
        <v>20278122.586326193</v>
      </c>
    </row>
    <row r="1290" spans="2:13" s="11" customFormat="1" x14ac:dyDescent="0.2">
      <c r="B1290" s="24">
        <v>1977.05</v>
      </c>
      <c r="C1290" s="25">
        <v>98.76</v>
      </c>
      <c r="D1290" s="40">
        <f t="shared" si="30"/>
        <v>101.72499999999998</v>
      </c>
      <c r="E1290" s="40">
        <f t="shared" si="31"/>
        <v>102.21875</v>
      </c>
      <c r="F1290" s="12"/>
      <c r="G1290" s="18" t="str">
        <f t="shared" si="32"/>
        <v>No</v>
      </c>
      <c r="H1290" s="12"/>
      <c r="I1290" s="39" t="str">
        <f>IF(BuyAllowed="Yes",IF(AND(G1290 = "No", C1290&gt;D1290), "Yes", "No"),"No")</f>
        <v>No</v>
      </c>
      <c r="J1290" s="39" t="str">
        <f>IF(SellAllowed="Yes",IF(AND(G1290 = "Yes", C1290&lt;E1290), "Yes", "No"),"No")</f>
        <v>No</v>
      </c>
      <c r="K1290" s="39">
        <f>IF(I1290 = "Yes", M1289/(C1290+CostBuy), IF(J1290 = "Yes", 0, K1289))</f>
        <v>0</v>
      </c>
      <c r="M1290" s="19">
        <f>IF(I1290 = "Yes", M1289-(C1290+CostBuy)*K1290, IF(J1290="Yes", M1289+(C1290-CostSell)*K1289, M1289+K1290*Rate))</f>
        <v>20278122.586326193</v>
      </c>
    </row>
    <row r="1291" spans="2:13" s="11" customFormat="1" x14ac:dyDescent="0.2">
      <c r="B1291" s="24">
        <v>1977.06</v>
      </c>
      <c r="C1291" s="25">
        <v>99.29</v>
      </c>
      <c r="D1291" s="40">
        <f t="shared" si="30"/>
        <v>101.31833333333334</v>
      </c>
      <c r="E1291" s="40">
        <f t="shared" si="31"/>
        <v>101.37625</v>
      </c>
      <c r="F1291" s="12"/>
      <c r="G1291" s="18" t="str">
        <f t="shared" si="32"/>
        <v>No</v>
      </c>
      <c r="H1291" s="12"/>
      <c r="I1291" s="39" t="str">
        <f>IF(BuyAllowed="Yes",IF(AND(G1291 = "No", C1291&gt;D1291), "Yes", "No"),"No")</f>
        <v>No</v>
      </c>
      <c r="J1291" s="39" t="str">
        <f>IF(SellAllowed="Yes",IF(AND(G1291 = "Yes", C1291&lt;E1291), "Yes", "No"),"No")</f>
        <v>No</v>
      </c>
      <c r="K1291" s="39">
        <f>IF(I1291 = "Yes", M1290/(C1291+CostBuy), IF(J1291 = "Yes", 0, K1290))</f>
        <v>0</v>
      </c>
      <c r="M1291" s="19">
        <f>IF(I1291 = "Yes", M1290-(C1291+CostBuy)*K1291, IF(J1291="Yes", M1290+(C1291-CostSell)*K1290, M1290+K1291*Rate))</f>
        <v>20278122.586326193</v>
      </c>
    </row>
    <row r="1292" spans="2:13" s="11" customFormat="1" x14ac:dyDescent="0.2">
      <c r="B1292" s="24">
        <v>1977.07</v>
      </c>
      <c r="C1292" s="25">
        <v>100.2</v>
      </c>
      <c r="D1292" s="40">
        <f t="shared" si="30"/>
        <v>100.41666666666667</v>
      </c>
      <c r="E1292" s="40">
        <f t="shared" si="31"/>
        <v>101.04999999999998</v>
      </c>
      <c r="F1292" s="12"/>
      <c r="G1292" s="18" t="str">
        <f t="shared" si="32"/>
        <v>No</v>
      </c>
      <c r="H1292" s="12"/>
      <c r="I1292" s="39" t="str">
        <f>IF(BuyAllowed="Yes",IF(AND(G1292 = "No", C1292&gt;D1292), "Yes", "No"),"No")</f>
        <v>No</v>
      </c>
      <c r="J1292" s="39" t="str">
        <f>IF(SellAllowed="Yes",IF(AND(G1292 = "Yes", C1292&lt;E1292), "Yes", "No"),"No")</f>
        <v>No</v>
      </c>
      <c r="K1292" s="39">
        <f>IF(I1292 = "Yes", M1291/(C1292+CostBuy), IF(J1292 = "Yes", 0, K1291))</f>
        <v>0</v>
      </c>
      <c r="M1292" s="19">
        <f>IF(I1292 = "Yes", M1291-(C1292+CostBuy)*K1292, IF(J1292="Yes", M1291+(C1292-CostSell)*K1291, M1291+K1292*Rate))</f>
        <v>20278122.586326193</v>
      </c>
    </row>
    <row r="1293" spans="2:13" s="11" customFormat="1" x14ac:dyDescent="0.2">
      <c r="B1293" s="24">
        <v>1977.08</v>
      </c>
      <c r="C1293" s="25">
        <v>97.75</v>
      </c>
      <c r="D1293" s="40">
        <f t="shared" si="30"/>
        <v>99.816666666666663</v>
      </c>
      <c r="E1293" s="40">
        <f t="shared" si="31"/>
        <v>100.92500000000001</v>
      </c>
      <c r="F1293" s="12"/>
      <c r="G1293" s="18" t="str">
        <f t="shared" si="32"/>
        <v>No</v>
      </c>
      <c r="H1293" s="12"/>
      <c r="I1293" s="39" t="str">
        <f>IF(BuyAllowed="Yes",IF(AND(G1293 = "No", C1293&gt;D1293), "Yes", "No"),"No")</f>
        <v>No</v>
      </c>
      <c r="J1293" s="39" t="str">
        <f>IF(SellAllowed="Yes",IF(AND(G1293 = "Yes", C1293&lt;E1293), "Yes", "No"),"No")</f>
        <v>No</v>
      </c>
      <c r="K1293" s="39">
        <f>IF(I1293 = "Yes", M1292/(C1293+CostBuy), IF(J1293 = "Yes", 0, K1292))</f>
        <v>0</v>
      </c>
      <c r="M1293" s="19">
        <f>IF(I1293 = "Yes", M1292-(C1293+CostBuy)*K1293, IF(J1293="Yes", M1292+(C1293-CostSell)*K1292, M1292+K1293*Rate))</f>
        <v>20278122.586326193</v>
      </c>
    </row>
    <row r="1294" spans="2:13" s="11" customFormat="1" x14ac:dyDescent="0.2">
      <c r="B1294" s="24">
        <v>1977.09</v>
      </c>
      <c r="C1294" s="25">
        <v>96.23</v>
      </c>
      <c r="D1294" s="40">
        <f t="shared" si="30"/>
        <v>99.274999999999991</v>
      </c>
      <c r="E1294" s="40">
        <f t="shared" si="31"/>
        <v>100.05625000000001</v>
      </c>
      <c r="F1294" s="12"/>
      <c r="G1294" s="18" t="str">
        <f t="shared" si="32"/>
        <v>No</v>
      </c>
      <c r="H1294" s="12"/>
      <c r="I1294" s="39" t="str">
        <f>IF(BuyAllowed="Yes",IF(AND(G1294 = "No", C1294&gt;D1294), "Yes", "No"),"No")</f>
        <v>No</v>
      </c>
      <c r="J1294" s="39" t="str">
        <f>IF(SellAllowed="Yes",IF(AND(G1294 = "Yes", C1294&lt;E1294), "Yes", "No"),"No")</f>
        <v>No</v>
      </c>
      <c r="K1294" s="39">
        <f>IF(I1294 = "Yes", M1293/(C1294+CostBuy), IF(J1294 = "Yes", 0, K1293))</f>
        <v>0</v>
      </c>
      <c r="M1294" s="19">
        <f>IF(I1294 = "Yes", M1293-(C1294+CostBuy)*K1294, IF(J1294="Yes", M1293+(C1294-CostSell)*K1293, M1293+K1294*Rate))</f>
        <v>20278122.586326193</v>
      </c>
    </row>
    <row r="1295" spans="2:13" s="11" customFormat="1" x14ac:dyDescent="0.2">
      <c r="B1295" s="24">
        <v>1977.1</v>
      </c>
      <c r="C1295" s="25">
        <v>93.74</v>
      </c>
      <c r="D1295" s="40">
        <f t="shared" si="30"/>
        <v>98.546666666666667</v>
      </c>
      <c r="E1295" s="40">
        <f t="shared" si="31"/>
        <v>99.11</v>
      </c>
      <c r="F1295" s="12"/>
      <c r="G1295" s="18" t="str">
        <f t="shared" si="32"/>
        <v>No</v>
      </c>
      <c r="H1295" s="12"/>
      <c r="I1295" s="39" t="str">
        <f>IF(BuyAllowed="Yes",IF(AND(G1295 = "No", C1295&gt;D1295), "Yes", "No"),"No")</f>
        <v>No</v>
      </c>
      <c r="J1295" s="39" t="str">
        <f>IF(SellAllowed="Yes",IF(AND(G1295 = "Yes", C1295&lt;E1295), "Yes", "No"),"No")</f>
        <v>No</v>
      </c>
      <c r="K1295" s="39">
        <f>IF(I1295 = "Yes", M1294/(C1295+CostBuy), IF(J1295 = "Yes", 0, K1294))</f>
        <v>0</v>
      </c>
      <c r="M1295" s="19">
        <f>IF(I1295 = "Yes", M1294-(C1295+CostBuy)*K1295, IF(J1295="Yes", M1294+(C1295-CostSell)*K1294, M1294+K1295*Rate))</f>
        <v>20278122.586326193</v>
      </c>
    </row>
    <row r="1296" spans="2:13" s="11" customFormat="1" x14ac:dyDescent="0.2">
      <c r="B1296" s="24">
        <v>1977.11</v>
      </c>
      <c r="C1296" s="25">
        <v>94.28</v>
      </c>
      <c r="D1296" s="40">
        <f t="shared" si="30"/>
        <v>97.661666666666676</v>
      </c>
      <c r="E1296" s="40">
        <f t="shared" si="31"/>
        <v>98.202500000000001</v>
      </c>
      <c r="F1296" s="12"/>
      <c r="G1296" s="18" t="str">
        <f t="shared" si="32"/>
        <v>No</v>
      </c>
      <c r="H1296" s="12"/>
      <c r="I1296" s="39" t="str">
        <f>IF(BuyAllowed="Yes",IF(AND(G1296 = "No", C1296&gt;D1296), "Yes", "No"),"No")</f>
        <v>No</v>
      </c>
      <c r="J1296" s="39" t="str">
        <f>IF(SellAllowed="Yes",IF(AND(G1296 = "Yes", C1296&lt;E1296), "Yes", "No"),"No")</f>
        <v>No</v>
      </c>
      <c r="K1296" s="39">
        <f>IF(I1296 = "Yes", M1295/(C1296+CostBuy), IF(J1296 = "Yes", 0, K1295))</f>
        <v>0</v>
      </c>
      <c r="M1296" s="19">
        <f>IF(I1296 = "Yes", M1295-(C1296+CostBuy)*K1296, IF(J1296="Yes", M1295+(C1296-CostSell)*K1295, M1295+K1296*Rate))</f>
        <v>20278122.586326193</v>
      </c>
    </row>
    <row r="1297" spans="2:13" s="11" customFormat="1" x14ac:dyDescent="0.2">
      <c r="B1297" s="24">
        <v>1977.12</v>
      </c>
      <c r="C1297" s="25">
        <v>93.82</v>
      </c>
      <c r="D1297" s="40">
        <f t="shared" si="30"/>
        <v>96.915000000000006</v>
      </c>
      <c r="E1297" s="40">
        <f t="shared" si="31"/>
        <v>97.412499999999994</v>
      </c>
      <c r="F1297" s="12"/>
      <c r="G1297" s="18" t="str">
        <f t="shared" si="32"/>
        <v>No</v>
      </c>
      <c r="H1297" s="12"/>
      <c r="I1297" s="39" t="str">
        <f>IF(BuyAllowed="Yes",IF(AND(G1297 = "No", C1297&gt;D1297), "Yes", "No"),"No")</f>
        <v>No</v>
      </c>
      <c r="J1297" s="39" t="str">
        <f>IF(SellAllowed="Yes",IF(AND(G1297 = "Yes", C1297&lt;E1297), "Yes", "No"),"No")</f>
        <v>No</v>
      </c>
      <c r="K1297" s="39">
        <f>IF(I1297 = "Yes", M1296/(C1297+CostBuy), IF(J1297 = "Yes", 0, K1296))</f>
        <v>0</v>
      </c>
      <c r="M1297" s="19">
        <f>IF(I1297 = "Yes", M1296-(C1297+CostBuy)*K1297, IF(J1297="Yes", M1296+(C1297-CostSell)*K1296, M1296+K1297*Rate))</f>
        <v>20278122.586326193</v>
      </c>
    </row>
    <row r="1298" spans="2:13" s="11" customFormat="1" x14ac:dyDescent="0.2">
      <c r="B1298" s="24">
        <v>1978.01</v>
      </c>
      <c r="C1298" s="25">
        <v>90.25</v>
      </c>
      <c r="D1298" s="40">
        <f t="shared" si="30"/>
        <v>96.00333333333333</v>
      </c>
      <c r="E1298" s="40">
        <f t="shared" si="31"/>
        <v>96.758749999999992</v>
      </c>
      <c r="F1298" s="12"/>
      <c r="G1298" s="18" t="str">
        <f t="shared" si="32"/>
        <v>No</v>
      </c>
      <c r="H1298" s="12"/>
      <c r="I1298" s="39" t="str">
        <f>IF(BuyAllowed="Yes",IF(AND(G1298 = "No", C1298&gt;D1298), "Yes", "No"),"No")</f>
        <v>No</v>
      </c>
      <c r="J1298" s="39" t="str">
        <f>IF(SellAllowed="Yes",IF(AND(G1298 = "Yes", C1298&lt;E1298), "Yes", "No"),"No")</f>
        <v>No</v>
      </c>
      <c r="K1298" s="39">
        <f>IF(I1298 = "Yes", M1297/(C1298+CostBuy), IF(J1298 = "Yes", 0, K1297))</f>
        <v>0</v>
      </c>
      <c r="M1298" s="19">
        <f>IF(I1298 = "Yes", M1297-(C1298+CostBuy)*K1298, IF(J1298="Yes", M1297+(C1298-CostSell)*K1297, M1297+K1298*Rate))</f>
        <v>20278122.586326193</v>
      </c>
    </row>
    <row r="1299" spans="2:13" s="11" customFormat="1" x14ac:dyDescent="0.2">
      <c r="B1299" s="24">
        <v>1978.02</v>
      </c>
      <c r="C1299" s="25">
        <v>88.98</v>
      </c>
      <c r="D1299" s="40">
        <f t="shared" si="30"/>
        <v>94.344999999999985</v>
      </c>
      <c r="E1299" s="40">
        <f t="shared" si="31"/>
        <v>95.694999999999993</v>
      </c>
      <c r="F1299" s="12"/>
      <c r="G1299" s="18" t="str">
        <f t="shared" si="32"/>
        <v>No</v>
      </c>
      <c r="H1299" s="12"/>
      <c r="I1299" s="39" t="str">
        <f>IF(BuyAllowed="Yes",IF(AND(G1299 = "No", C1299&gt;D1299), "Yes", "No"),"No")</f>
        <v>No</v>
      </c>
      <c r="J1299" s="39" t="str">
        <f>IF(SellAllowed="Yes",IF(AND(G1299 = "Yes", C1299&lt;E1299), "Yes", "No"),"No")</f>
        <v>No</v>
      </c>
      <c r="K1299" s="39">
        <f>IF(I1299 = "Yes", M1298/(C1299+CostBuy), IF(J1299 = "Yes", 0, K1298))</f>
        <v>0</v>
      </c>
      <c r="M1299" s="19">
        <f>IF(I1299 = "Yes", M1298-(C1299+CostBuy)*K1299, IF(J1299="Yes", M1298+(C1299-CostSell)*K1298, M1298+K1299*Rate))</f>
        <v>20278122.586326193</v>
      </c>
    </row>
    <row r="1300" spans="2:13" s="11" customFormat="1" x14ac:dyDescent="0.2">
      <c r="B1300" s="24">
        <v>1978.03</v>
      </c>
      <c r="C1300" s="25">
        <v>88.82</v>
      </c>
      <c r="D1300" s="40">
        <f t="shared" si="30"/>
        <v>92.883333333333326</v>
      </c>
      <c r="E1300" s="40">
        <f t="shared" si="31"/>
        <v>94.40625</v>
      </c>
      <c r="F1300" s="12"/>
      <c r="G1300" s="18" t="str">
        <f t="shared" si="32"/>
        <v>No</v>
      </c>
      <c r="H1300" s="12"/>
      <c r="I1300" s="39" t="str">
        <f>IF(BuyAllowed="Yes",IF(AND(G1300 = "No", C1300&gt;D1300), "Yes", "No"),"No")</f>
        <v>No</v>
      </c>
      <c r="J1300" s="39" t="str">
        <f>IF(SellAllowed="Yes",IF(AND(G1300 = "Yes", C1300&lt;E1300), "Yes", "No"),"No")</f>
        <v>No</v>
      </c>
      <c r="K1300" s="39">
        <f>IF(I1300 = "Yes", M1299/(C1300+CostBuy), IF(J1300 = "Yes", 0, K1299))</f>
        <v>0</v>
      </c>
      <c r="M1300" s="19">
        <f>IF(I1300 = "Yes", M1299-(C1300+CostBuy)*K1300, IF(J1300="Yes", M1299+(C1300-CostSell)*K1299, M1299+K1300*Rate))</f>
        <v>20278122.586326193</v>
      </c>
    </row>
    <row r="1301" spans="2:13" s="11" customFormat="1" x14ac:dyDescent="0.2">
      <c r="B1301" s="24">
        <v>1978.04</v>
      </c>
      <c r="C1301" s="25">
        <v>92.71</v>
      </c>
      <c r="D1301" s="40">
        <f t="shared" si="30"/>
        <v>91.648333333333326</v>
      </c>
      <c r="E1301" s="40">
        <f t="shared" si="31"/>
        <v>92.983749999999986</v>
      </c>
      <c r="F1301" s="12"/>
      <c r="G1301" s="18" t="str">
        <f t="shared" si="32"/>
        <v>No</v>
      </c>
      <c r="H1301" s="12"/>
      <c r="I1301" s="39" t="str">
        <f>IF(BuyAllowed="Yes",IF(AND(G1301 = "No", C1301&gt;D1301), "Yes", "No"),"No")</f>
        <v>Yes</v>
      </c>
      <c r="J1301" s="39" t="str">
        <f>IF(SellAllowed="Yes",IF(AND(G1301 = "Yes", C1301&lt;E1301), "Yes", "No"),"No")</f>
        <v>No</v>
      </c>
      <c r="K1301" s="39">
        <f>IF(I1301 = "Yes", M1300/(C1301+CostBuy), IF(J1301 = "Yes", 0, K1300))</f>
        <v>218655.6241786305</v>
      </c>
      <c r="M1301" s="19">
        <f>IF(I1301 = "Yes", M1300-(C1301+CostBuy)*K1301, IF(J1301="Yes", M1300+(C1301-CostSell)*K1300, M1300+K1301*Rate))</f>
        <v>0</v>
      </c>
    </row>
    <row r="1302" spans="2:13" s="11" customFormat="1" x14ac:dyDescent="0.2">
      <c r="B1302" s="24">
        <v>1978.05</v>
      </c>
      <c r="C1302" s="25">
        <v>97.41</v>
      </c>
      <c r="D1302" s="40">
        <f t="shared" si="30"/>
        <v>91.476666666666674</v>
      </c>
      <c r="E1302" s="40">
        <f t="shared" si="31"/>
        <v>92.353749999999991</v>
      </c>
      <c r="F1302" s="12"/>
      <c r="G1302" s="18" t="str">
        <f t="shared" si="32"/>
        <v>Yes</v>
      </c>
      <c r="H1302" s="12"/>
      <c r="I1302" s="39" t="str">
        <f>IF(BuyAllowed="Yes",IF(AND(G1302 = "No", C1302&gt;D1302), "Yes", "No"),"No")</f>
        <v>No</v>
      </c>
      <c r="J1302" s="39" t="str">
        <f>IF(SellAllowed="Yes",IF(AND(G1302 = "Yes", C1302&lt;E1302), "Yes", "No"),"No")</f>
        <v>No</v>
      </c>
      <c r="K1302" s="39">
        <f>IF(I1302 = "Yes", M1301/(C1302+CostBuy), IF(J1302 = "Yes", 0, K1301))</f>
        <v>218655.6241786305</v>
      </c>
      <c r="M1302" s="19">
        <f>IF(I1302 = "Yes", M1301-(C1302+CostBuy)*K1302, IF(J1302="Yes", M1301+(C1302-CostSell)*K1301, M1301+K1302*Rate))</f>
        <v>10932.781208931527</v>
      </c>
    </row>
    <row r="1303" spans="2:13" s="11" customFormat="1" x14ac:dyDescent="0.2">
      <c r="B1303" s="24">
        <v>1978.06</v>
      </c>
      <c r="C1303" s="25">
        <v>97.66</v>
      </c>
      <c r="D1303" s="40">
        <f t="shared" si="30"/>
        <v>91.998333333333335</v>
      </c>
      <c r="E1303" s="40">
        <f t="shared" si="31"/>
        <v>92.501249999999999</v>
      </c>
      <c r="F1303" s="12"/>
      <c r="G1303" s="18" t="str">
        <f t="shared" si="32"/>
        <v>Yes</v>
      </c>
      <c r="H1303" s="12"/>
      <c r="I1303" s="39" t="str">
        <f>IF(BuyAllowed="Yes",IF(AND(G1303 = "No", C1303&gt;D1303), "Yes", "No"),"No")</f>
        <v>No</v>
      </c>
      <c r="J1303" s="39" t="str">
        <f>IF(SellAllowed="Yes",IF(AND(G1303 = "Yes", C1303&lt;E1303), "Yes", "No"),"No")</f>
        <v>No</v>
      </c>
      <c r="K1303" s="39">
        <f>IF(I1303 = "Yes", M1302/(C1303+CostBuy), IF(J1303 = "Yes", 0, K1302))</f>
        <v>218655.6241786305</v>
      </c>
      <c r="M1303" s="19">
        <f>IF(I1303 = "Yes", M1302-(C1303+CostBuy)*K1303, IF(J1303="Yes", M1302+(C1303-CostSell)*K1302, M1302+K1303*Rate))</f>
        <v>21865.562417863053</v>
      </c>
    </row>
    <row r="1304" spans="2:13" s="11" customFormat="1" x14ac:dyDescent="0.2">
      <c r="B1304" s="24">
        <v>1978.07</v>
      </c>
      <c r="C1304" s="25">
        <v>97.19</v>
      </c>
      <c r="D1304" s="40">
        <f t="shared" si="30"/>
        <v>92.638333333333321</v>
      </c>
      <c r="E1304" s="40">
        <f t="shared" si="31"/>
        <v>92.991249999999994</v>
      </c>
      <c r="F1304" s="12"/>
      <c r="G1304" s="18" t="str">
        <f t="shared" si="32"/>
        <v>Yes</v>
      </c>
      <c r="H1304" s="12"/>
      <c r="I1304" s="39" t="str">
        <f>IF(BuyAllowed="Yes",IF(AND(G1304 = "No", C1304&gt;D1304), "Yes", "No"),"No")</f>
        <v>No</v>
      </c>
      <c r="J1304" s="39" t="str">
        <f>IF(SellAllowed="Yes",IF(AND(G1304 = "Yes", C1304&lt;E1304), "Yes", "No"),"No")</f>
        <v>No</v>
      </c>
      <c r="K1304" s="39">
        <f>IF(I1304 = "Yes", M1303/(C1304+CostBuy), IF(J1304 = "Yes", 0, K1303))</f>
        <v>218655.6241786305</v>
      </c>
      <c r="M1304" s="19">
        <f>IF(I1304 = "Yes", M1303-(C1304+CostBuy)*K1304, IF(J1304="Yes", M1303+(C1304-CostSell)*K1303, M1303+K1304*Rate))</f>
        <v>32798.34362679458</v>
      </c>
    </row>
    <row r="1305" spans="2:13" s="11" customFormat="1" x14ac:dyDescent="0.2">
      <c r="B1305" s="24">
        <v>1978.08</v>
      </c>
      <c r="C1305" s="25">
        <v>103.9</v>
      </c>
      <c r="D1305" s="40">
        <f t="shared" si="30"/>
        <v>93.795000000000002</v>
      </c>
      <c r="E1305" s="40">
        <f t="shared" si="31"/>
        <v>93.35499999999999</v>
      </c>
      <c r="F1305" s="12"/>
      <c r="G1305" s="18" t="str">
        <f t="shared" si="32"/>
        <v>Yes</v>
      </c>
      <c r="H1305" s="12"/>
      <c r="I1305" s="39" t="str">
        <f>IF(BuyAllowed="Yes",IF(AND(G1305 = "No", C1305&gt;D1305), "Yes", "No"),"No")</f>
        <v>No</v>
      </c>
      <c r="J1305" s="39" t="str">
        <f>IF(SellAllowed="Yes",IF(AND(G1305 = "Yes", C1305&lt;E1305), "Yes", "No"),"No")</f>
        <v>No</v>
      </c>
      <c r="K1305" s="39">
        <f>IF(I1305 = "Yes", M1304/(C1305+CostBuy), IF(J1305 = "Yes", 0, K1304))</f>
        <v>218655.6241786305</v>
      </c>
      <c r="M1305" s="19">
        <f>IF(I1305 = "Yes", M1304-(C1305+CostBuy)*K1305, IF(J1305="Yes", M1304+(C1305-CostSell)*K1304, M1304+K1305*Rate))</f>
        <v>43731.124835726107</v>
      </c>
    </row>
    <row r="1306" spans="2:13" s="11" customFormat="1" x14ac:dyDescent="0.2">
      <c r="B1306" s="24">
        <v>1978.09</v>
      </c>
      <c r="C1306" s="25">
        <v>103.9</v>
      </c>
      <c r="D1306" s="40">
        <f t="shared" si="30"/>
        <v>96.281666666666652</v>
      </c>
      <c r="E1306" s="40">
        <f t="shared" si="31"/>
        <v>94.614999999999995</v>
      </c>
      <c r="F1306" s="12"/>
      <c r="G1306" s="18" t="str">
        <f t="shared" si="32"/>
        <v>Yes</v>
      </c>
      <c r="H1306" s="12"/>
      <c r="I1306" s="39" t="str">
        <f>IF(BuyAllowed="Yes",IF(AND(G1306 = "No", C1306&gt;D1306), "Yes", "No"),"No")</f>
        <v>No</v>
      </c>
      <c r="J1306" s="39" t="str">
        <f>IF(SellAllowed="Yes",IF(AND(G1306 = "Yes", C1306&lt;E1306), "Yes", "No"),"No")</f>
        <v>No</v>
      </c>
      <c r="K1306" s="39">
        <f>IF(I1306 = "Yes", M1305/(C1306+CostBuy), IF(J1306 = "Yes", 0, K1305))</f>
        <v>218655.6241786305</v>
      </c>
      <c r="M1306" s="19">
        <f>IF(I1306 = "Yes", M1305-(C1306+CostBuy)*K1306, IF(J1306="Yes", M1305+(C1306-CostSell)*K1305, M1305+K1306*Rate))</f>
        <v>54663.906044657633</v>
      </c>
    </row>
    <row r="1307" spans="2:13" s="11" customFormat="1" x14ac:dyDescent="0.2">
      <c r="B1307" s="24">
        <v>1978.1</v>
      </c>
      <c r="C1307" s="25">
        <v>100.6</v>
      </c>
      <c r="D1307" s="40">
        <f t="shared" ref="D1307:D1322" si="33">AVERAGE(C1301:C1306)</f>
        <v>98.795000000000002</v>
      </c>
      <c r="E1307" s="40">
        <f t="shared" ref="E1307:E1322" si="34">AVERAGE(C1299:C1306)</f>
        <v>96.321249999999992</v>
      </c>
      <c r="F1307" s="12"/>
      <c r="G1307" s="18" t="str">
        <f t="shared" si="32"/>
        <v>Yes</v>
      </c>
      <c r="H1307" s="12"/>
      <c r="I1307" s="39" t="str">
        <f>IF(BuyAllowed="Yes",IF(AND(G1307 = "No", C1307&gt;D1307), "Yes", "No"),"No")</f>
        <v>No</v>
      </c>
      <c r="J1307" s="39" t="str">
        <f>IF(SellAllowed="Yes",IF(AND(G1307 = "Yes", C1307&lt;E1307), "Yes", "No"),"No")</f>
        <v>No</v>
      </c>
      <c r="K1307" s="39">
        <f>IF(I1307 = "Yes", M1306/(C1307+CostBuy), IF(J1307 = "Yes", 0, K1306))</f>
        <v>218655.6241786305</v>
      </c>
      <c r="M1307" s="19">
        <f>IF(I1307 = "Yes", M1306-(C1307+CostBuy)*K1307, IF(J1307="Yes", M1306+(C1307-CostSell)*K1306, M1306+K1307*Rate))</f>
        <v>65596.68725358916</v>
      </c>
    </row>
    <row r="1308" spans="2:13" s="11" customFormat="1" x14ac:dyDescent="0.2">
      <c r="B1308" s="24">
        <v>1978.11</v>
      </c>
      <c r="C1308" s="25">
        <v>94.71</v>
      </c>
      <c r="D1308" s="40">
        <f t="shared" si="33"/>
        <v>100.11</v>
      </c>
      <c r="E1308" s="40">
        <f t="shared" si="34"/>
        <v>97.773749999999993</v>
      </c>
      <c r="F1308" s="12"/>
      <c r="G1308" s="18" t="str">
        <f t="shared" ref="G1308:G1322" si="35">IF(I1307 = "Yes", "Yes", IF(J1307="Yes", "No", G1307))</f>
        <v>Yes</v>
      </c>
      <c r="H1308" s="12"/>
      <c r="I1308" s="39" t="str">
        <f>IF(BuyAllowed="Yes",IF(AND(G1308 = "No", C1308&gt;D1308), "Yes", "No"),"No")</f>
        <v>No</v>
      </c>
      <c r="J1308" s="39" t="str">
        <f>IF(SellAllowed="Yes",IF(AND(G1308 = "Yes", C1308&lt;E1308), "Yes", "No"),"No")</f>
        <v>Yes</v>
      </c>
      <c r="K1308" s="39">
        <f>IF(I1308 = "Yes", M1307/(C1308+CostBuy), IF(J1308 = "Yes", 0, K1307))</f>
        <v>0</v>
      </c>
      <c r="M1308" s="19">
        <f>IF(I1308 = "Yes", M1307-(C1308+CostBuy)*K1308, IF(J1308="Yes", M1307+(C1308-CostSell)*K1307, M1307+K1308*Rate))</f>
        <v>20761351.515760966</v>
      </c>
    </row>
    <row r="1309" spans="2:13" s="11" customFormat="1" x14ac:dyDescent="0.2">
      <c r="B1309" s="24">
        <v>1978.12</v>
      </c>
      <c r="C1309" s="25">
        <v>96.11</v>
      </c>
      <c r="D1309" s="40">
        <f t="shared" si="33"/>
        <v>99.660000000000011</v>
      </c>
      <c r="E1309" s="40">
        <f t="shared" si="34"/>
        <v>98.51</v>
      </c>
      <c r="F1309" s="12"/>
      <c r="G1309" s="18" t="str">
        <f t="shared" si="35"/>
        <v>No</v>
      </c>
      <c r="H1309" s="12"/>
      <c r="I1309" s="39" t="str">
        <f>IF(BuyAllowed="Yes",IF(AND(G1309 = "No", C1309&gt;D1309), "Yes", "No"),"No")</f>
        <v>No</v>
      </c>
      <c r="J1309" s="39" t="str">
        <f>IF(SellAllowed="Yes",IF(AND(G1309 = "Yes", C1309&lt;E1309), "Yes", "No"),"No")</f>
        <v>No</v>
      </c>
      <c r="K1309" s="39">
        <f>IF(I1309 = "Yes", M1308/(C1309+CostBuy), IF(J1309 = "Yes", 0, K1308))</f>
        <v>0</v>
      </c>
      <c r="M1309" s="19">
        <f>IF(I1309 = "Yes", M1308-(C1309+CostBuy)*K1309, IF(J1309="Yes", M1308+(C1309-CostSell)*K1308, M1308+K1309*Rate))</f>
        <v>20761351.515760966</v>
      </c>
    </row>
    <row r="1310" spans="2:13" s="11" customFormat="1" x14ac:dyDescent="0.2">
      <c r="B1310" s="24">
        <v>1979.01</v>
      </c>
      <c r="C1310" s="25">
        <v>99.71</v>
      </c>
      <c r="D1310" s="40">
        <f t="shared" si="33"/>
        <v>99.401666666666657</v>
      </c>
      <c r="E1310" s="40">
        <f t="shared" si="34"/>
        <v>98.935000000000002</v>
      </c>
      <c r="F1310" s="12"/>
      <c r="G1310" s="18" t="str">
        <f t="shared" si="35"/>
        <v>No</v>
      </c>
      <c r="H1310" s="12"/>
      <c r="I1310" s="39" t="str">
        <f>IF(BuyAllowed="Yes",IF(AND(G1310 = "No", C1310&gt;D1310), "Yes", "No"),"No")</f>
        <v>Yes</v>
      </c>
      <c r="J1310" s="39" t="str">
        <f>IF(SellAllowed="Yes",IF(AND(G1310 = "Yes", C1310&lt;E1310), "Yes", "No"),"No")</f>
        <v>No</v>
      </c>
      <c r="K1310" s="39">
        <f>IF(I1310 = "Yes", M1309/(C1310+CostBuy), IF(J1310 = "Yes", 0, K1309))</f>
        <v>208154.71742290922</v>
      </c>
      <c r="M1310" s="19">
        <f>IF(I1310 = "Yes", M1309-(C1310+CostBuy)*K1310, IF(J1310="Yes", M1309+(C1310-CostSell)*K1309, M1309+K1310*Rate))</f>
        <v>0</v>
      </c>
    </row>
    <row r="1311" spans="2:13" s="11" customFormat="1" x14ac:dyDescent="0.2">
      <c r="B1311" s="24">
        <v>1979.02</v>
      </c>
      <c r="C1311" s="25">
        <v>98.23</v>
      </c>
      <c r="D1311" s="40">
        <f t="shared" si="33"/>
        <v>99.821666666666658</v>
      </c>
      <c r="E1311" s="40">
        <f t="shared" si="34"/>
        <v>99.222500000000011</v>
      </c>
      <c r="F1311" s="12"/>
      <c r="G1311" s="18" t="str">
        <f t="shared" si="35"/>
        <v>Yes</v>
      </c>
      <c r="H1311" s="12"/>
      <c r="I1311" s="39" t="str">
        <f>IF(BuyAllowed="Yes",IF(AND(G1311 = "No", C1311&gt;D1311), "Yes", "No"),"No")</f>
        <v>No</v>
      </c>
      <c r="J1311" s="39" t="str">
        <f>IF(SellAllowed="Yes",IF(AND(G1311 = "Yes", C1311&lt;E1311), "Yes", "No"),"No")</f>
        <v>Yes</v>
      </c>
      <c r="K1311" s="39">
        <f>IF(I1311 = "Yes", M1310/(C1311+CostBuy), IF(J1311 = "Yes", 0, K1310))</f>
        <v>0</v>
      </c>
      <c r="M1311" s="19">
        <f>IF(I1311 = "Yes", M1310-(C1311+CostBuy)*K1311, IF(J1311="Yes", M1310+(C1311-CostSell)*K1310, M1310+K1311*Rate))</f>
        <v>20434548.609407</v>
      </c>
    </row>
    <row r="1312" spans="2:13" s="11" customFormat="1" x14ac:dyDescent="0.2">
      <c r="B1312" s="24">
        <v>1979.03</v>
      </c>
      <c r="C1312" s="25">
        <v>100.1</v>
      </c>
      <c r="D1312" s="40">
        <f t="shared" si="33"/>
        <v>98.876666666666665</v>
      </c>
      <c r="E1312" s="40">
        <f t="shared" si="34"/>
        <v>99.293750000000003</v>
      </c>
      <c r="F1312" s="12"/>
      <c r="G1312" s="18" t="str">
        <f t="shared" si="35"/>
        <v>No</v>
      </c>
      <c r="H1312" s="12"/>
      <c r="I1312" s="39" t="str">
        <f>IF(BuyAllowed="Yes",IF(AND(G1312 = "No", C1312&gt;D1312), "Yes", "No"),"No")</f>
        <v>Yes</v>
      </c>
      <c r="J1312" s="39" t="str">
        <f>IF(SellAllowed="Yes",IF(AND(G1312 = "Yes", C1312&lt;E1312), "Yes", "No"),"No")</f>
        <v>No</v>
      </c>
      <c r="K1312" s="39">
        <f>IF(I1312 = "Yes", M1311/(C1312+CostBuy), IF(J1312 = "Yes", 0, K1311))</f>
        <v>204080.18185765506</v>
      </c>
      <c r="M1312" s="19">
        <f>IF(I1312 = "Yes", M1311-(C1312+CostBuy)*K1312, IF(J1312="Yes", M1311+(C1312-CostSell)*K1311, M1311+K1312*Rate))</f>
        <v>0</v>
      </c>
    </row>
    <row r="1313" spans="2:13" s="11" customFormat="1" x14ac:dyDescent="0.2">
      <c r="B1313" s="24">
        <v>1979.04</v>
      </c>
      <c r="C1313" s="25">
        <v>102.1</v>
      </c>
      <c r="D1313" s="40">
        <f t="shared" si="33"/>
        <v>98.243333333333339</v>
      </c>
      <c r="E1313" s="40">
        <f t="shared" si="34"/>
        <v>99.657499999999999</v>
      </c>
      <c r="F1313" s="12"/>
      <c r="G1313" s="18" t="str">
        <f t="shared" si="35"/>
        <v>Yes</v>
      </c>
      <c r="H1313" s="12"/>
      <c r="I1313" s="39" t="str">
        <f>IF(BuyAllowed="Yes",IF(AND(G1313 = "No", C1313&gt;D1313), "Yes", "No"),"No")</f>
        <v>No</v>
      </c>
      <c r="J1313" s="39" t="str">
        <f>IF(SellAllowed="Yes",IF(AND(G1313 = "Yes", C1313&lt;E1313), "Yes", "No"),"No")</f>
        <v>No</v>
      </c>
      <c r="K1313" s="39">
        <f>IF(I1313 = "Yes", M1312/(C1313+CostBuy), IF(J1313 = "Yes", 0, K1312))</f>
        <v>204080.18185765506</v>
      </c>
      <c r="M1313" s="19">
        <f>IF(I1313 = "Yes", M1312-(C1313+CostBuy)*K1313, IF(J1313="Yes", M1312+(C1313-CostSell)*K1312, M1312+K1313*Rate))</f>
        <v>10204.009092882754</v>
      </c>
    </row>
    <row r="1314" spans="2:13" s="11" customFormat="1" x14ac:dyDescent="0.2">
      <c r="B1314" s="24">
        <v>1979.05</v>
      </c>
      <c r="C1314" s="25">
        <v>99.73</v>
      </c>
      <c r="D1314" s="40">
        <f t="shared" si="33"/>
        <v>98.493333333333339</v>
      </c>
      <c r="E1314" s="40">
        <f t="shared" si="34"/>
        <v>99.432500000000005</v>
      </c>
      <c r="F1314" s="12"/>
      <c r="G1314" s="18" t="str">
        <f t="shared" si="35"/>
        <v>Yes</v>
      </c>
      <c r="H1314" s="12"/>
      <c r="I1314" s="39" t="str">
        <f>IF(BuyAllowed="Yes",IF(AND(G1314 = "No", C1314&gt;D1314), "Yes", "No"),"No")</f>
        <v>No</v>
      </c>
      <c r="J1314" s="39" t="str">
        <f>IF(SellAllowed="Yes",IF(AND(G1314 = "Yes", C1314&lt;E1314), "Yes", "No"),"No")</f>
        <v>No</v>
      </c>
      <c r="K1314" s="39">
        <f>IF(I1314 = "Yes", M1313/(C1314+CostBuy), IF(J1314 = "Yes", 0, K1313))</f>
        <v>204080.18185765506</v>
      </c>
      <c r="M1314" s="19">
        <f>IF(I1314 = "Yes", M1313-(C1314+CostBuy)*K1314, IF(J1314="Yes", M1313+(C1314-CostSell)*K1313, M1313+K1314*Rate))</f>
        <v>20408.018185765508</v>
      </c>
    </row>
    <row r="1315" spans="2:13" s="11" customFormat="1" x14ac:dyDescent="0.2">
      <c r="B1315" s="24">
        <v>1979.06</v>
      </c>
      <c r="C1315" s="25">
        <v>101.7</v>
      </c>
      <c r="D1315" s="40">
        <f t="shared" si="33"/>
        <v>99.33</v>
      </c>
      <c r="E1315" s="40">
        <f t="shared" si="34"/>
        <v>98.91125000000001</v>
      </c>
      <c r="F1315" s="12"/>
      <c r="G1315" s="18" t="str">
        <f t="shared" si="35"/>
        <v>Yes</v>
      </c>
      <c r="H1315" s="12"/>
      <c r="I1315" s="39" t="str">
        <f>IF(BuyAllowed="Yes",IF(AND(G1315 = "No", C1315&gt;D1315), "Yes", "No"),"No")</f>
        <v>No</v>
      </c>
      <c r="J1315" s="39" t="str">
        <f>IF(SellAllowed="Yes",IF(AND(G1315 = "Yes", C1315&lt;E1315), "Yes", "No"),"No")</f>
        <v>No</v>
      </c>
      <c r="K1315" s="39">
        <f>IF(I1315 = "Yes", M1314/(C1315+CostBuy), IF(J1315 = "Yes", 0, K1314))</f>
        <v>204080.18185765506</v>
      </c>
      <c r="M1315" s="19">
        <f>IF(I1315 = "Yes", M1314-(C1315+CostBuy)*K1315, IF(J1315="Yes", M1314+(C1315-CostSell)*K1314, M1314+K1315*Rate))</f>
        <v>30612.02727864826</v>
      </c>
    </row>
    <row r="1316" spans="2:13" s="11" customFormat="1" x14ac:dyDescent="0.2">
      <c r="B1316" s="24">
        <v>1979.07</v>
      </c>
      <c r="C1316" s="25">
        <v>102.7</v>
      </c>
      <c r="D1316" s="40">
        <f t="shared" si="33"/>
        <v>100.26166666666667</v>
      </c>
      <c r="E1316" s="40">
        <f t="shared" si="34"/>
        <v>99.048750000000013</v>
      </c>
      <c r="F1316" s="12"/>
      <c r="G1316" s="18" t="str">
        <f t="shared" si="35"/>
        <v>Yes</v>
      </c>
      <c r="H1316" s="12"/>
      <c r="I1316" s="39" t="str">
        <f>IF(BuyAllowed="Yes",IF(AND(G1316 = "No", C1316&gt;D1316), "Yes", "No"),"No")</f>
        <v>No</v>
      </c>
      <c r="J1316" s="39" t="str">
        <f>IF(SellAllowed="Yes",IF(AND(G1316 = "Yes", C1316&lt;E1316), "Yes", "No"),"No")</f>
        <v>No</v>
      </c>
      <c r="K1316" s="39">
        <f>IF(I1316 = "Yes", M1315/(C1316+CostBuy), IF(J1316 = "Yes", 0, K1315))</f>
        <v>204080.18185765506</v>
      </c>
      <c r="M1316" s="19">
        <f>IF(I1316 = "Yes", M1315-(C1316+CostBuy)*K1316, IF(J1316="Yes", M1315+(C1316-CostSell)*K1315, M1315+K1316*Rate))</f>
        <v>40816.036371531016</v>
      </c>
    </row>
    <row r="1317" spans="2:13" s="11" customFormat="1" x14ac:dyDescent="0.2">
      <c r="B1317" s="24">
        <v>1979.08</v>
      </c>
      <c r="C1317" s="25">
        <v>107.4</v>
      </c>
      <c r="D1317" s="40">
        <f t="shared" si="33"/>
        <v>100.75999999999999</v>
      </c>
      <c r="E1317" s="40">
        <f t="shared" si="34"/>
        <v>100.04750000000001</v>
      </c>
      <c r="F1317" s="12"/>
      <c r="G1317" s="18" t="str">
        <f t="shared" si="35"/>
        <v>Yes</v>
      </c>
      <c r="H1317" s="12"/>
      <c r="I1317" s="39" t="str">
        <f>IF(BuyAllowed="Yes",IF(AND(G1317 = "No", C1317&gt;D1317), "Yes", "No"),"No")</f>
        <v>No</v>
      </c>
      <c r="J1317" s="39" t="str">
        <f>IF(SellAllowed="Yes",IF(AND(G1317 = "Yes", C1317&lt;E1317), "Yes", "No"),"No")</f>
        <v>No</v>
      </c>
      <c r="K1317" s="39">
        <f>IF(I1317 = "Yes", M1316/(C1317+CostBuy), IF(J1317 = "Yes", 0, K1316))</f>
        <v>204080.18185765506</v>
      </c>
      <c r="M1317" s="19">
        <f>IF(I1317 = "Yes", M1316-(C1317+CostBuy)*K1317, IF(J1317="Yes", M1316+(C1317-CostSell)*K1316, M1316+K1317*Rate))</f>
        <v>51020.045464413772</v>
      </c>
    </row>
    <row r="1318" spans="2:13" s="11" customFormat="1" x14ac:dyDescent="0.2">
      <c r="B1318" s="24">
        <v>1979.09</v>
      </c>
      <c r="C1318" s="25">
        <v>108.6</v>
      </c>
      <c r="D1318" s="40">
        <f t="shared" si="33"/>
        <v>102.28833333333334</v>
      </c>
      <c r="E1318" s="40">
        <f t="shared" si="34"/>
        <v>101.45875000000001</v>
      </c>
      <c r="F1318" s="12"/>
      <c r="G1318" s="18" t="str">
        <f t="shared" si="35"/>
        <v>Yes</v>
      </c>
      <c r="H1318" s="12"/>
      <c r="I1318" s="39" t="str">
        <f>IF(BuyAllowed="Yes",IF(AND(G1318 = "No", C1318&gt;D1318), "Yes", "No"),"No")</f>
        <v>No</v>
      </c>
      <c r="J1318" s="39" t="str">
        <f>IF(SellAllowed="Yes",IF(AND(G1318 = "Yes", C1318&lt;E1318), "Yes", "No"),"No")</f>
        <v>No</v>
      </c>
      <c r="K1318" s="39">
        <f>IF(I1318 = "Yes", M1317/(C1318+CostBuy), IF(J1318 = "Yes", 0, K1317))</f>
        <v>204080.18185765506</v>
      </c>
      <c r="M1318" s="19">
        <f>IF(I1318 = "Yes", M1317-(C1318+CostBuy)*K1318, IF(J1318="Yes", M1317+(C1318-CostSell)*K1317, M1317+K1318*Rate))</f>
        <v>61224.054557296527</v>
      </c>
    </row>
    <row r="1319" spans="2:13" s="11" customFormat="1" x14ac:dyDescent="0.2">
      <c r="B1319" s="24">
        <v>1979.1</v>
      </c>
      <c r="C1319" s="25">
        <v>104.5</v>
      </c>
      <c r="D1319" s="40">
        <f t="shared" si="33"/>
        <v>103.705</v>
      </c>
      <c r="E1319" s="40">
        <f t="shared" si="34"/>
        <v>102.57</v>
      </c>
      <c r="F1319" s="12"/>
      <c r="G1319" s="18" t="str">
        <f t="shared" si="35"/>
        <v>Yes</v>
      </c>
      <c r="H1319" s="12"/>
      <c r="I1319" s="39" t="str">
        <f>IF(BuyAllowed="Yes",IF(AND(G1319 = "No", C1319&gt;D1319), "Yes", "No"),"No")</f>
        <v>No</v>
      </c>
      <c r="J1319" s="39" t="str">
        <f>IF(SellAllowed="Yes",IF(AND(G1319 = "Yes", C1319&lt;E1319), "Yes", "No"),"No")</f>
        <v>No</v>
      </c>
      <c r="K1319" s="39">
        <f>IF(I1319 = "Yes", M1318/(C1319+CostBuy), IF(J1319 = "Yes", 0, K1318))</f>
        <v>204080.18185765506</v>
      </c>
      <c r="M1319" s="19">
        <f>IF(I1319 = "Yes", M1318-(C1319+CostBuy)*K1319, IF(J1319="Yes", M1318+(C1319-CostSell)*K1318, M1318+K1319*Rate))</f>
        <v>71428.063650179276</v>
      </c>
    </row>
    <row r="1320" spans="2:13" s="11" customFormat="1" x14ac:dyDescent="0.2">
      <c r="B1320" s="24">
        <v>1979.11</v>
      </c>
      <c r="C1320" s="25">
        <v>103.7</v>
      </c>
      <c r="D1320" s="40">
        <f t="shared" si="33"/>
        <v>104.105</v>
      </c>
      <c r="E1320" s="40">
        <f t="shared" si="34"/>
        <v>103.35375000000001</v>
      </c>
      <c r="F1320" s="12"/>
      <c r="G1320" s="18" t="str">
        <f t="shared" si="35"/>
        <v>Yes</v>
      </c>
      <c r="H1320" s="12"/>
      <c r="I1320" s="39" t="str">
        <f>IF(BuyAllowed="Yes",IF(AND(G1320 = "No", C1320&gt;D1320), "Yes", "No"),"No")</f>
        <v>No</v>
      </c>
      <c r="J1320" s="39" t="str">
        <f>IF(SellAllowed="Yes",IF(AND(G1320 = "Yes", C1320&lt;E1320), "Yes", "No"),"No")</f>
        <v>No</v>
      </c>
      <c r="K1320" s="39">
        <f>IF(I1320 = "Yes", M1319/(C1320+CostBuy), IF(J1320 = "Yes", 0, K1319))</f>
        <v>204080.18185765506</v>
      </c>
      <c r="M1320" s="19">
        <f>IF(I1320 = "Yes", M1319-(C1320+CostBuy)*K1320, IF(J1320="Yes", M1319+(C1320-CostSell)*K1319, M1319+K1320*Rate))</f>
        <v>81632.072743062032</v>
      </c>
    </row>
    <row r="1321" spans="2:13" s="11" customFormat="1" x14ac:dyDescent="0.2">
      <c r="B1321" s="24">
        <v>1979.12</v>
      </c>
      <c r="C1321" s="25">
        <v>107.8</v>
      </c>
      <c r="D1321" s="40">
        <f t="shared" si="33"/>
        <v>104.76666666666667</v>
      </c>
      <c r="E1321" s="40">
        <f t="shared" si="34"/>
        <v>103.80375000000001</v>
      </c>
      <c r="F1321" s="12"/>
      <c r="G1321" s="18" t="str">
        <f t="shared" si="35"/>
        <v>Yes</v>
      </c>
      <c r="H1321" s="12"/>
      <c r="I1321" s="39" t="str">
        <f>IF(BuyAllowed="Yes",IF(AND(G1321 = "No", C1321&gt;D1321), "Yes", "No"),"No")</f>
        <v>No</v>
      </c>
      <c r="J1321" s="39" t="str">
        <f>IF(SellAllowed="Yes",IF(AND(G1321 = "Yes", C1321&lt;E1321), "Yes", "No"),"No")</f>
        <v>No</v>
      </c>
      <c r="K1321" s="39">
        <f>IF(I1321 = "Yes", M1320/(C1321+CostBuy), IF(J1321 = "Yes", 0, K1320))</f>
        <v>204080.18185765506</v>
      </c>
      <c r="M1321" s="19">
        <f>IF(I1321 = "Yes", M1320-(C1321+CostBuy)*K1321, IF(J1321="Yes", M1320+(C1321-CostSell)*K1320, M1320+K1321*Rate))</f>
        <v>91836.081835944788</v>
      </c>
    </row>
    <row r="1322" spans="2:13" s="11" customFormat="1" x14ac:dyDescent="0.2">
      <c r="B1322" s="24">
        <v>1980.01</v>
      </c>
      <c r="C1322" s="25">
        <v>110.9</v>
      </c>
      <c r="D1322" s="40">
        <f t="shared" si="33"/>
        <v>105.78333333333335</v>
      </c>
      <c r="E1322" s="40">
        <f t="shared" si="34"/>
        <v>104.51625</v>
      </c>
      <c r="F1322" s="12"/>
      <c r="G1322" s="18" t="str">
        <f t="shared" si="35"/>
        <v>Yes</v>
      </c>
      <c r="H1322" s="12"/>
      <c r="I1322" s="39" t="str">
        <f>IF(BuyAllowed="Yes",IF(AND(G1322 = "No", C1322&gt;D1322), "Yes", "No"),"No")</f>
        <v>No</v>
      </c>
      <c r="J1322" s="39" t="str">
        <f>IF(SellAllowed="Yes",IF(AND(G1322 = "Yes", C1322&lt;E1322), "Yes", "No"),"No")</f>
        <v>No</v>
      </c>
      <c r="K1322" s="39">
        <f>IF(I1322 = "Yes", M1321/(C1322+CostBuy), IF(J1322 = "Yes", 0, K1321))</f>
        <v>204080.18185765506</v>
      </c>
      <c r="M1322" s="19">
        <f>IF(I1322 = "Yes", M1321-(C1322+CostBuy)*K1322, IF(J1322="Yes", M1321+(C1322-CostSell)*K1321, M1321+K1322*Rate))</f>
        <v>102040.09092882754</v>
      </c>
    </row>
    <row r="1323" spans="2:13" s="11" customFormat="1" x14ac:dyDescent="0.2">
      <c r="B1323" s="24">
        <v>1980.02</v>
      </c>
      <c r="C1323" s="25">
        <v>115.3</v>
      </c>
      <c r="D1323" s="40"/>
      <c r="E1323" s="40"/>
      <c r="F1323" s="12"/>
      <c r="G1323" s="18"/>
      <c r="H1323" s="12"/>
      <c r="I1323" s="39"/>
      <c r="J1323" s="39"/>
      <c r="K1323" s="39"/>
      <c r="M1323" s="19"/>
    </row>
    <row r="1324" spans="2:13" s="11" customFormat="1" x14ac:dyDescent="0.2">
      <c r="B1324" s="24">
        <v>1980.03</v>
      </c>
      <c r="C1324" s="25">
        <v>104.7</v>
      </c>
      <c r="D1324" s="40"/>
      <c r="E1324" s="40"/>
      <c r="F1324" s="12"/>
      <c r="G1324" s="18"/>
      <c r="H1324" s="12"/>
      <c r="I1324" s="39"/>
      <c r="J1324" s="39"/>
      <c r="K1324" s="39"/>
      <c r="M1324" s="19"/>
    </row>
    <row r="1325" spans="2:13" s="11" customFormat="1" x14ac:dyDescent="0.2">
      <c r="B1325" s="24">
        <v>1980.04</v>
      </c>
      <c r="C1325" s="25">
        <v>103</v>
      </c>
      <c r="D1325" s="40"/>
      <c r="E1325" s="40"/>
      <c r="F1325" s="12"/>
      <c r="G1325" s="18"/>
      <c r="H1325" s="12"/>
      <c r="I1325" s="39"/>
      <c r="J1325" s="39"/>
      <c r="K1325" s="39"/>
      <c r="M1325" s="19"/>
    </row>
    <row r="1326" spans="2:13" s="11" customFormat="1" x14ac:dyDescent="0.2">
      <c r="B1326" s="24">
        <v>1980.05</v>
      </c>
      <c r="C1326" s="25">
        <v>107.7</v>
      </c>
      <c r="D1326" s="40"/>
      <c r="E1326" s="40"/>
      <c r="F1326" s="12"/>
      <c r="G1326" s="18"/>
      <c r="H1326" s="12"/>
      <c r="I1326" s="39"/>
      <c r="J1326" s="39"/>
      <c r="K1326" s="39"/>
      <c r="M1326" s="19"/>
    </row>
    <row r="1327" spans="2:13" s="11" customFormat="1" x14ac:dyDescent="0.2">
      <c r="B1327" s="24">
        <v>1980.06</v>
      </c>
      <c r="C1327" s="25">
        <v>114.6</v>
      </c>
      <c r="D1327" s="40"/>
      <c r="E1327" s="40"/>
      <c r="F1327" s="12"/>
      <c r="G1327" s="18"/>
      <c r="H1327" s="12"/>
      <c r="I1327" s="39"/>
      <c r="J1327" s="39"/>
      <c r="K1327" s="39"/>
      <c r="M1327" s="19"/>
    </row>
    <row r="1328" spans="2:13" s="11" customFormat="1" x14ac:dyDescent="0.2">
      <c r="B1328" s="24">
        <v>1980.07</v>
      </c>
      <c r="C1328" s="25">
        <v>119.8</v>
      </c>
      <c r="D1328" s="40"/>
      <c r="E1328" s="40"/>
      <c r="F1328" s="12"/>
      <c r="G1328" s="18"/>
      <c r="H1328" s="12"/>
      <c r="I1328" s="39"/>
      <c r="J1328" s="39"/>
      <c r="K1328" s="39"/>
      <c r="M1328" s="19"/>
    </row>
    <row r="1329" spans="2:13" s="11" customFormat="1" x14ac:dyDescent="0.2">
      <c r="B1329" s="24">
        <v>1980.08</v>
      </c>
      <c r="C1329" s="25">
        <v>123.5</v>
      </c>
      <c r="D1329" s="40"/>
      <c r="E1329" s="40"/>
      <c r="F1329" s="12"/>
      <c r="G1329" s="18"/>
      <c r="H1329" s="12"/>
      <c r="I1329" s="39"/>
      <c r="J1329" s="39"/>
      <c r="K1329" s="39"/>
      <c r="M1329" s="19"/>
    </row>
    <row r="1330" spans="2:13" s="11" customFormat="1" x14ac:dyDescent="0.2">
      <c r="B1330" s="24">
        <v>1980.09</v>
      </c>
      <c r="C1330" s="25">
        <v>126.5</v>
      </c>
      <c r="D1330" s="40"/>
      <c r="E1330" s="40"/>
      <c r="F1330" s="12"/>
      <c r="G1330" s="18"/>
      <c r="H1330" s="12"/>
      <c r="I1330" s="39"/>
      <c r="J1330" s="39"/>
      <c r="K1330" s="39"/>
      <c r="M1330" s="19"/>
    </row>
    <row r="1331" spans="2:13" s="11" customFormat="1" x14ac:dyDescent="0.2">
      <c r="B1331" s="24">
        <v>1980.1</v>
      </c>
      <c r="C1331" s="25">
        <v>130.19999999999999</v>
      </c>
      <c r="D1331" s="40"/>
      <c r="E1331" s="40"/>
      <c r="F1331" s="12"/>
      <c r="G1331" s="18"/>
      <c r="H1331" s="12"/>
      <c r="I1331" s="39"/>
      <c r="J1331" s="39"/>
      <c r="K1331" s="39"/>
      <c r="M1331" s="19"/>
    </row>
    <row r="1332" spans="2:13" s="11" customFormat="1" x14ac:dyDescent="0.2">
      <c r="B1332" s="24">
        <v>1980.11</v>
      </c>
      <c r="C1332" s="25">
        <v>135.69999999999999</v>
      </c>
      <c r="D1332" s="40"/>
      <c r="E1332" s="40"/>
      <c r="F1332" s="12"/>
      <c r="G1332" s="18"/>
      <c r="H1332" s="12"/>
      <c r="I1332" s="39"/>
      <c r="J1332" s="39"/>
      <c r="K1332" s="39"/>
      <c r="M1332" s="19"/>
    </row>
    <row r="1333" spans="2:13" s="11" customFormat="1" x14ac:dyDescent="0.2">
      <c r="B1333" s="24">
        <v>1980.12</v>
      </c>
      <c r="C1333" s="25">
        <v>133.5</v>
      </c>
      <c r="D1333" s="40"/>
      <c r="E1333" s="40"/>
      <c r="F1333" s="12"/>
      <c r="G1333" s="18"/>
      <c r="H1333" s="12"/>
      <c r="I1333" s="39"/>
      <c r="J1333" s="39"/>
      <c r="K1333" s="39"/>
      <c r="M1333" s="19"/>
    </row>
    <row r="1334" spans="2:13" s="11" customFormat="1" x14ac:dyDescent="0.2">
      <c r="B1334" s="24">
        <v>1981.01</v>
      </c>
      <c r="C1334" s="25">
        <v>133</v>
      </c>
      <c r="D1334" s="40"/>
      <c r="E1334" s="40"/>
      <c r="F1334" s="12"/>
      <c r="G1334" s="18"/>
      <c r="H1334" s="12"/>
      <c r="I1334" s="39"/>
      <c r="J1334" s="39"/>
      <c r="K1334" s="39"/>
      <c r="M1334" s="19"/>
    </row>
    <row r="1335" spans="2:13" s="11" customFormat="1" x14ac:dyDescent="0.2">
      <c r="B1335" s="24">
        <v>1981.02</v>
      </c>
      <c r="C1335" s="25">
        <v>128.4</v>
      </c>
      <c r="D1335" s="40"/>
      <c r="E1335" s="40"/>
      <c r="F1335" s="12"/>
      <c r="G1335" s="18"/>
      <c r="H1335" s="12"/>
      <c r="I1335" s="39"/>
      <c r="J1335" s="39"/>
      <c r="K1335" s="39"/>
      <c r="M1335" s="19"/>
    </row>
    <row r="1336" spans="2:13" s="11" customFormat="1" x14ac:dyDescent="0.2">
      <c r="B1336" s="24">
        <v>1981.03</v>
      </c>
      <c r="C1336" s="25">
        <v>133.19999999999999</v>
      </c>
      <c r="D1336" s="40"/>
      <c r="E1336" s="40"/>
      <c r="F1336" s="12"/>
      <c r="G1336" s="18"/>
      <c r="H1336" s="12"/>
      <c r="I1336" s="39"/>
      <c r="J1336" s="39"/>
      <c r="K1336" s="39"/>
      <c r="M1336" s="19"/>
    </row>
    <row r="1337" spans="2:13" s="11" customFormat="1" x14ac:dyDescent="0.2">
      <c r="B1337" s="24">
        <v>1981.04</v>
      </c>
      <c r="C1337" s="25">
        <v>134.4</v>
      </c>
      <c r="D1337" s="40"/>
      <c r="E1337" s="40"/>
      <c r="F1337" s="12"/>
      <c r="G1337" s="18"/>
      <c r="H1337" s="12"/>
      <c r="I1337" s="39"/>
      <c r="J1337" s="39"/>
      <c r="K1337" s="39"/>
      <c r="M1337" s="19"/>
    </row>
    <row r="1338" spans="2:13" s="11" customFormat="1" x14ac:dyDescent="0.2">
      <c r="B1338" s="24">
        <v>1981.05</v>
      </c>
      <c r="C1338" s="25">
        <v>131.69999999999999</v>
      </c>
      <c r="D1338" s="40"/>
      <c r="E1338" s="40"/>
      <c r="F1338" s="12"/>
      <c r="G1338" s="18"/>
      <c r="H1338" s="12"/>
      <c r="I1338" s="39"/>
      <c r="J1338" s="39"/>
      <c r="K1338" s="39"/>
      <c r="M1338" s="19"/>
    </row>
    <row r="1339" spans="2:13" s="11" customFormat="1" x14ac:dyDescent="0.2">
      <c r="B1339" s="24">
        <v>1981.06</v>
      </c>
      <c r="C1339" s="25">
        <v>132.30000000000001</v>
      </c>
      <c r="D1339" s="40"/>
      <c r="E1339" s="40"/>
      <c r="F1339" s="12"/>
      <c r="G1339" s="18"/>
      <c r="H1339" s="12"/>
      <c r="I1339" s="39"/>
      <c r="J1339" s="39"/>
      <c r="K1339" s="39"/>
      <c r="M1339" s="19"/>
    </row>
    <row r="1340" spans="2:13" s="11" customFormat="1" x14ac:dyDescent="0.2">
      <c r="B1340" s="24">
        <v>1981.07</v>
      </c>
      <c r="C1340" s="25">
        <v>129.1</v>
      </c>
      <c r="D1340" s="40"/>
      <c r="E1340" s="40"/>
      <c r="F1340" s="12"/>
      <c r="G1340" s="18"/>
      <c r="H1340" s="12"/>
      <c r="I1340" s="39"/>
      <c r="J1340" s="39"/>
      <c r="K1340" s="39"/>
      <c r="M1340" s="19"/>
    </row>
    <row r="1341" spans="2:13" s="11" customFormat="1" x14ac:dyDescent="0.2">
      <c r="B1341" s="24">
        <v>1981.08</v>
      </c>
      <c r="C1341" s="25">
        <v>129.6</v>
      </c>
      <c r="D1341" s="40"/>
      <c r="E1341" s="40"/>
      <c r="F1341" s="12"/>
      <c r="G1341" s="18"/>
      <c r="H1341" s="12"/>
      <c r="I1341" s="39"/>
      <c r="J1341" s="39"/>
      <c r="K1341" s="39"/>
      <c r="M1341" s="19"/>
    </row>
    <row r="1342" spans="2:13" s="11" customFormat="1" x14ac:dyDescent="0.2">
      <c r="B1342" s="24">
        <v>1981.09</v>
      </c>
      <c r="C1342" s="25">
        <v>118.3</v>
      </c>
      <c r="D1342" s="40"/>
      <c r="E1342" s="40"/>
      <c r="F1342" s="12"/>
      <c r="G1342" s="18"/>
      <c r="H1342" s="12"/>
      <c r="I1342" s="39"/>
      <c r="J1342" s="39"/>
      <c r="K1342" s="39"/>
      <c r="M1342" s="19"/>
    </row>
    <row r="1343" spans="2:13" s="11" customFormat="1" x14ac:dyDescent="0.2">
      <c r="B1343" s="24">
        <v>1981.1</v>
      </c>
      <c r="C1343" s="25">
        <v>119.8</v>
      </c>
      <c r="D1343" s="40"/>
      <c r="E1343" s="40"/>
      <c r="F1343" s="12"/>
      <c r="G1343" s="18"/>
      <c r="H1343" s="12"/>
      <c r="I1343" s="39"/>
      <c r="J1343" s="39"/>
      <c r="K1343" s="39"/>
      <c r="M1343" s="19"/>
    </row>
    <row r="1344" spans="2:13" s="11" customFormat="1" x14ac:dyDescent="0.2">
      <c r="B1344" s="24">
        <v>1981.11</v>
      </c>
      <c r="C1344" s="25">
        <v>122.9</v>
      </c>
      <c r="D1344" s="40"/>
      <c r="E1344" s="40"/>
      <c r="F1344" s="12"/>
      <c r="G1344" s="18"/>
      <c r="H1344" s="12"/>
      <c r="I1344" s="39"/>
      <c r="J1344" s="39"/>
      <c r="K1344" s="39"/>
      <c r="M1344" s="19"/>
    </row>
    <row r="1345" spans="2:13" s="11" customFormat="1" x14ac:dyDescent="0.2">
      <c r="B1345" s="24">
        <v>1981.12</v>
      </c>
      <c r="C1345" s="25">
        <v>123.8</v>
      </c>
      <c r="D1345" s="40"/>
      <c r="E1345" s="40"/>
      <c r="F1345" s="12"/>
      <c r="G1345" s="18"/>
      <c r="H1345" s="12"/>
      <c r="I1345" s="39"/>
      <c r="J1345" s="39"/>
      <c r="K1345" s="39"/>
      <c r="M1345" s="19"/>
    </row>
    <row r="1346" spans="2:13" s="11" customFormat="1" x14ac:dyDescent="0.2">
      <c r="B1346" s="24">
        <v>1982.01</v>
      </c>
      <c r="C1346" s="25">
        <v>117.3</v>
      </c>
      <c r="D1346" s="40"/>
      <c r="E1346" s="40"/>
      <c r="F1346" s="12"/>
      <c r="G1346" s="18"/>
      <c r="H1346" s="12"/>
      <c r="I1346" s="39"/>
      <c r="J1346" s="39"/>
      <c r="K1346" s="39"/>
      <c r="M1346" s="19"/>
    </row>
    <row r="1347" spans="2:13" s="11" customFormat="1" x14ac:dyDescent="0.2">
      <c r="B1347" s="24">
        <v>1982.02</v>
      </c>
      <c r="C1347" s="25">
        <v>114.5</v>
      </c>
      <c r="D1347" s="40"/>
      <c r="E1347" s="40"/>
      <c r="F1347" s="12"/>
      <c r="G1347" s="18"/>
      <c r="H1347" s="12"/>
      <c r="I1347" s="39"/>
      <c r="J1347" s="39"/>
      <c r="K1347" s="39"/>
      <c r="M1347" s="19"/>
    </row>
    <row r="1348" spans="2:13" s="11" customFormat="1" x14ac:dyDescent="0.2">
      <c r="B1348" s="24">
        <v>1982.03</v>
      </c>
      <c r="C1348" s="25">
        <v>110.8</v>
      </c>
      <c r="D1348" s="40"/>
      <c r="E1348" s="40"/>
      <c r="F1348" s="12"/>
      <c r="G1348" s="18"/>
      <c r="H1348" s="12"/>
      <c r="I1348" s="39"/>
      <c r="J1348" s="39"/>
      <c r="K1348" s="39"/>
      <c r="M1348" s="19"/>
    </row>
    <row r="1349" spans="2:13" s="11" customFormat="1" x14ac:dyDescent="0.2">
      <c r="B1349" s="24">
        <v>1982.04</v>
      </c>
      <c r="C1349" s="25">
        <v>116.3</v>
      </c>
      <c r="D1349" s="40"/>
      <c r="E1349" s="40"/>
      <c r="F1349" s="12"/>
      <c r="G1349" s="18"/>
      <c r="H1349" s="12"/>
      <c r="I1349" s="39"/>
      <c r="J1349" s="39"/>
      <c r="K1349" s="39"/>
      <c r="M1349" s="19"/>
    </row>
    <row r="1350" spans="2:13" s="11" customFormat="1" x14ac:dyDescent="0.2">
      <c r="B1350" s="24">
        <v>1982.05</v>
      </c>
      <c r="C1350" s="25">
        <v>116.4</v>
      </c>
      <c r="D1350" s="40"/>
      <c r="E1350" s="40"/>
      <c r="F1350" s="12"/>
      <c r="G1350" s="18"/>
      <c r="H1350" s="12"/>
      <c r="I1350" s="39"/>
      <c r="J1350" s="39"/>
      <c r="K1350" s="39"/>
      <c r="M1350" s="19"/>
    </row>
    <row r="1351" spans="2:13" s="11" customFormat="1" x14ac:dyDescent="0.2">
      <c r="B1351" s="24">
        <v>1982.06</v>
      </c>
      <c r="C1351" s="25">
        <v>109.7</v>
      </c>
      <c r="D1351" s="40"/>
      <c r="E1351" s="40"/>
      <c r="F1351" s="12"/>
      <c r="G1351" s="18"/>
      <c r="H1351" s="12"/>
      <c r="I1351" s="39"/>
      <c r="J1351" s="39"/>
      <c r="K1351" s="39"/>
      <c r="M1351" s="19"/>
    </row>
    <row r="1352" spans="2:13" s="11" customFormat="1" x14ac:dyDescent="0.2">
      <c r="B1352" s="24">
        <v>1982.07</v>
      </c>
      <c r="C1352" s="25">
        <v>109.4</v>
      </c>
      <c r="D1352" s="40"/>
      <c r="E1352" s="40"/>
      <c r="F1352" s="12"/>
      <c r="G1352" s="18"/>
      <c r="H1352" s="12"/>
      <c r="I1352" s="39"/>
      <c r="J1352" s="39"/>
      <c r="K1352" s="39"/>
      <c r="M1352" s="19"/>
    </row>
    <row r="1353" spans="2:13" s="11" customFormat="1" x14ac:dyDescent="0.2">
      <c r="B1353" s="24">
        <v>1982.08</v>
      </c>
      <c r="C1353" s="25">
        <v>109.7</v>
      </c>
      <c r="D1353" s="40"/>
      <c r="E1353" s="40"/>
      <c r="F1353" s="12"/>
      <c r="G1353" s="18"/>
      <c r="H1353" s="12"/>
      <c r="I1353" s="39"/>
      <c r="J1353" s="39"/>
      <c r="K1353" s="39"/>
      <c r="M1353" s="19"/>
    </row>
    <row r="1354" spans="2:13" s="11" customFormat="1" x14ac:dyDescent="0.2">
      <c r="B1354" s="24">
        <v>1982.09</v>
      </c>
      <c r="C1354" s="25">
        <v>122.4</v>
      </c>
      <c r="D1354" s="40"/>
      <c r="E1354" s="40"/>
      <c r="F1354" s="12"/>
      <c r="G1354" s="18"/>
      <c r="H1354" s="12"/>
      <c r="I1354" s="39"/>
      <c r="J1354" s="39"/>
      <c r="K1354" s="39"/>
      <c r="M1354" s="19"/>
    </row>
    <row r="1355" spans="2:13" s="11" customFormat="1" x14ac:dyDescent="0.2">
      <c r="B1355" s="24">
        <v>1982.1</v>
      </c>
      <c r="C1355" s="25">
        <v>132.69999999999999</v>
      </c>
      <c r="D1355" s="40"/>
      <c r="E1355" s="40"/>
      <c r="F1355" s="12"/>
      <c r="G1355" s="18"/>
      <c r="H1355" s="12"/>
      <c r="I1355" s="39"/>
      <c r="J1355" s="39"/>
      <c r="K1355" s="39"/>
      <c r="M1355" s="19"/>
    </row>
    <row r="1356" spans="2:13" s="11" customFormat="1" x14ac:dyDescent="0.2">
      <c r="B1356" s="24">
        <v>1982.11</v>
      </c>
      <c r="C1356" s="25">
        <v>138.1</v>
      </c>
      <c r="D1356" s="40"/>
      <c r="E1356" s="40"/>
      <c r="F1356" s="12"/>
      <c r="G1356" s="18"/>
      <c r="H1356" s="12"/>
      <c r="I1356" s="39"/>
      <c r="J1356" s="39"/>
      <c r="K1356" s="39"/>
      <c r="M1356" s="19"/>
    </row>
    <row r="1357" spans="2:13" s="11" customFormat="1" x14ac:dyDescent="0.2">
      <c r="B1357" s="24">
        <v>1982.12</v>
      </c>
      <c r="C1357" s="25">
        <v>139.4</v>
      </c>
      <c r="D1357" s="40"/>
      <c r="E1357" s="40"/>
      <c r="F1357" s="12"/>
      <c r="G1357" s="18"/>
      <c r="H1357" s="12"/>
      <c r="I1357" s="39"/>
      <c r="J1357" s="39"/>
      <c r="K1357" s="39"/>
      <c r="M1357" s="19"/>
    </row>
    <row r="1358" spans="2:13" s="11" customFormat="1" x14ac:dyDescent="0.2">
      <c r="B1358" s="24">
        <v>1983.01</v>
      </c>
      <c r="C1358" s="25">
        <v>144.30000000000001</v>
      </c>
      <c r="D1358" s="40"/>
      <c r="E1358" s="40"/>
      <c r="F1358" s="12"/>
      <c r="G1358" s="18"/>
      <c r="H1358" s="12"/>
      <c r="I1358" s="39"/>
      <c r="J1358" s="39"/>
      <c r="K1358" s="39"/>
      <c r="M1358" s="19"/>
    </row>
    <row r="1359" spans="2:13" s="11" customFormat="1" x14ac:dyDescent="0.2">
      <c r="B1359" s="24">
        <v>1983.02</v>
      </c>
      <c r="C1359" s="25">
        <v>146.80000000000001</v>
      </c>
      <c r="D1359" s="40"/>
      <c r="E1359" s="40"/>
      <c r="F1359" s="12"/>
      <c r="G1359" s="18"/>
      <c r="H1359" s="12"/>
      <c r="I1359" s="39"/>
      <c r="J1359" s="39"/>
      <c r="K1359" s="39"/>
      <c r="M1359" s="19"/>
    </row>
    <row r="1360" spans="2:13" s="11" customFormat="1" x14ac:dyDescent="0.2">
      <c r="B1360" s="24">
        <v>1983.03</v>
      </c>
      <c r="C1360" s="25">
        <v>151.9</v>
      </c>
      <c r="D1360" s="40"/>
      <c r="E1360" s="40"/>
      <c r="F1360" s="12"/>
      <c r="G1360" s="18"/>
      <c r="H1360" s="12"/>
      <c r="I1360" s="39"/>
      <c r="J1360" s="39"/>
      <c r="K1360" s="39"/>
      <c r="M1360" s="19"/>
    </row>
    <row r="1361" spans="2:13" s="11" customFormat="1" x14ac:dyDescent="0.2">
      <c r="B1361" s="24">
        <v>1983.04</v>
      </c>
      <c r="C1361" s="25">
        <v>157.69999999999999</v>
      </c>
      <c r="D1361" s="40"/>
      <c r="E1361" s="40"/>
      <c r="F1361" s="12"/>
      <c r="G1361" s="18"/>
      <c r="H1361" s="12"/>
      <c r="I1361" s="39"/>
      <c r="J1361" s="39"/>
      <c r="K1361" s="39"/>
      <c r="M1361" s="19"/>
    </row>
    <row r="1362" spans="2:13" s="11" customFormat="1" x14ac:dyDescent="0.2">
      <c r="B1362" s="24">
        <v>1983.05</v>
      </c>
      <c r="C1362" s="25">
        <v>164.1</v>
      </c>
      <c r="D1362" s="40"/>
      <c r="E1362" s="40"/>
      <c r="F1362" s="12"/>
      <c r="G1362" s="18"/>
      <c r="H1362" s="12"/>
      <c r="I1362" s="39"/>
      <c r="J1362" s="39"/>
      <c r="K1362" s="39"/>
      <c r="M1362" s="19"/>
    </row>
    <row r="1363" spans="2:13" s="11" customFormat="1" x14ac:dyDescent="0.2">
      <c r="B1363" s="24">
        <v>1983.06</v>
      </c>
      <c r="C1363" s="25">
        <v>166.4</v>
      </c>
      <c r="D1363" s="40"/>
      <c r="E1363" s="40"/>
      <c r="F1363" s="12"/>
      <c r="G1363" s="18"/>
      <c r="H1363" s="12"/>
      <c r="I1363" s="39"/>
      <c r="J1363" s="39"/>
      <c r="K1363" s="39"/>
      <c r="M1363" s="19"/>
    </row>
    <row r="1364" spans="2:13" s="11" customFormat="1" x14ac:dyDescent="0.2">
      <c r="B1364" s="24">
        <v>1983.07</v>
      </c>
      <c r="C1364" s="25">
        <v>167</v>
      </c>
      <c r="D1364" s="40"/>
      <c r="E1364" s="40"/>
      <c r="F1364" s="12"/>
      <c r="G1364" s="18"/>
      <c r="H1364" s="12"/>
      <c r="I1364" s="39"/>
      <c r="J1364" s="39"/>
      <c r="K1364" s="39"/>
      <c r="M1364" s="19"/>
    </row>
    <row r="1365" spans="2:13" s="11" customFormat="1" x14ac:dyDescent="0.2">
      <c r="B1365" s="24">
        <v>1983.08</v>
      </c>
      <c r="C1365" s="25">
        <v>162.4</v>
      </c>
      <c r="D1365" s="40"/>
      <c r="E1365" s="40"/>
      <c r="F1365" s="12"/>
      <c r="G1365" s="18"/>
      <c r="H1365" s="12"/>
      <c r="I1365" s="39"/>
      <c r="J1365" s="39"/>
      <c r="K1365" s="39"/>
      <c r="M1365" s="19"/>
    </row>
    <row r="1366" spans="2:13" s="11" customFormat="1" x14ac:dyDescent="0.2">
      <c r="B1366" s="24">
        <v>1983.09</v>
      </c>
      <c r="C1366" s="25">
        <v>167.2</v>
      </c>
      <c r="D1366" s="40"/>
      <c r="E1366" s="40"/>
      <c r="F1366" s="12"/>
      <c r="G1366" s="18"/>
      <c r="H1366" s="12"/>
      <c r="I1366" s="39"/>
      <c r="J1366" s="39"/>
      <c r="K1366" s="39"/>
      <c r="M1366" s="19"/>
    </row>
    <row r="1367" spans="2:13" s="11" customFormat="1" x14ac:dyDescent="0.2">
      <c r="B1367" s="24">
        <v>1983.1</v>
      </c>
      <c r="C1367" s="25">
        <v>167.7</v>
      </c>
      <c r="D1367" s="40"/>
      <c r="E1367" s="40"/>
      <c r="F1367" s="12"/>
      <c r="G1367" s="18"/>
      <c r="H1367" s="12"/>
      <c r="I1367" s="39"/>
      <c r="J1367" s="39"/>
      <c r="K1367" s="39"/>
      <c r="M1367" s="19"/>
    </row>
    <row r="1368" spans="2:13" s="11" customFormat="1" x14ac:dyDescent="0.2">
      <c r="B1368" s="24">
        <v>1983.11</v>
      </c>
      <c r="C1368" s="25">
        <v>165.2</v>
      </c>
      <c r="D1368" s="40"/>
      <c r="E1368" s="40"/>
      <c r="F1368" s="12"/>
      <c r="G1368" s="18"/>
      <c r="H1368" s="12"/>
      <c r="I1368" s="39"/>
      <c r="J1368" s="39"/>
      <c r="K1368" s="39"/>
      <c r="M1368" s="19"/>
    </row>
    <row r="1369" spans="2:13" s="11" customFormat="1" x14ac:dyDescent="0.2">
      <c r="B1369" s="24">
        <v>1983.12</v>
      </c>
      <c r="C1369" s="25">
        <v>164.4</v>
      </c>
      <c r="D1369" s="40"/>
      <c r="E1369" s="40"/>
      <c r="F1369" s="12"/>
      <c r="G1369" s="18"/>
      <c r="H1369" s="12"/>
      <c r="I1369" s="39"/>
      <c r="J1369" s="39"/>
      <c r="K1369" s="39"/>
      <c r="M1369" s="19"/>
    </row>
    <row r="1370" spans="2:13" s="11" customFormat="1" x14ac:dyDescent="0.2">
      <c r="B1370" s="24">
        <v>1984.01</v>
      </c>
      <c r="C1370" s="25">
        <v>166.4</v>
      </c>
      <c r="D1370" s="40"/>
      <c r="E1370" s="40"/>
      <c r="F1370" s="12"/>
      <c r="G1370" s="18"/>
      <c r="H1370" s="12"/>
      <c r="I1370" s="39"/>
      <c r="J1370" s="39"/>
      <c r="K1370" s="39"/>
      <c r="M1370" s="19"/>
    </row>
    <row r="1371" spans="2:13" s="11" customFormat="1" x14ac:dyDescent="0.2">
      <c r="B1371" s="24">
        <v>1984.02</v>
      </c>
      <c r="C1371" s="25">
        <v>157.30000000000001</v>
      </c>
      <c r="D1371" s="40"/>
      <c r="E1371" s="40"/>
      <c r="F1371" s="12"/>
      <c r="G1371" s="18"/>
      <c r="H1371" s="12"/>
      <c r="I1371" s="39"/>
      <c r="J1371" s="39"/>
      <c r="K1371" s="39"/>
      <c r="M1371" s="19"/>
    </row>
    <row r="1372" spans="2:13" s="11" customFormat="1" x14ac:dyDescent="0.2">
      <c r="B1372" s="24">
        <v>1984.03</v>
      </c>
      <c r="C1372" s="25">
        <v>157.4</v>
      </c>
      <c r="D1372" s="40"/>
      <c r="E1372" s="40"/>
      <c r="F1372" s="12"/>
      <c r="G1372" s="18"/>
      <c r="H1372" s="12"/>
      <c r="I1372" s="39"/>
      <c r="J1372" s="39"/>
      <c r="K1372" s="39"/>
      <c r="M1372" s="19"/>
    </row>
    <row r="1373" spans="2:13" s="11" customFormat="1" x14ac:dyDescent="0.2">
      <c r="B1373" s="24">
        <v>1984.04</v>
      </c>
      <c r="C1373" s="25">
        <v>157.6</v>
      </c>
      <c r="D1373" s="40"/>
      <c r="E1373" s="40"/>
      <c r="F1373" s="12"/>
      <c r="G1373" s="18"/>
      <c r="H1373" s="12"/>
      <c r="I1373" s="39"/>
      <c r="J1373" s="39"/>
      <c r="K1373" s="39"/>
      <c r="M1373" s="19"/>
    </row>
    <row r="1374" spans="2:13" s="11" customFormat="1" x14ac:dyDescent="0.2">
      <c r="B1374" s="24">
        <v>1984.05</v>
      </c>
      <c r="C1374" s="25">
        <v>156.6</v>
      </c>
      <c r="D1374" s="40"/>
      <c r="E1374" s="40"/>
      <c r="F1374" s="12"/>
      <c r="G1374" s="18"/>
      <c r="H1374" s="12"/>
      <c r="I1374" s="39"/>
      <c r="J1374" s="39"/>
      <c r="K1374" s="39"/>
      <c r="M1374" s="19"/>
    </row>
    <row r="1375" spans="2:13" s="11" customFormat="1" x14ac:dyDescent="0.2">
      <c r="B1375" s="24">
        <v>1984.06</v>
      </c>
      <c r="C1375" s="25">
        <v>153.1</v>
      </c>
      <c r="D1375" s="40"/>
      <c r="E1375" s="40"/>
      <c r="F1375" s="12"/>
      <c r="G1375" s="18"/>
      <c r="H1375" s="12"/>
      <c r="I1375" s="39"/>
      <c r="J1375" s="39"/>
      <c r="K1375" s="39"/>
      <c r="M1375" s="19"/>
    </row>
    <row r="1376" spans="2:13" s="11" customFormat="1" x14ac:dyDescent="0.2">
      <c r="B1376" s="24">
        <v>1984.07</v>
      </c>
      <c r="C1376" s="25">
        <v>151.1</v>
      </c>
      <c r="D1376" s="40"/>
      <c r="E1376" s="40"/>
      <c r="F1376" s="12"/>
      <c r="G1376" s="18"/>
      <c r="H1376" s="12"/>
      <c r="I1376" s="39"/>
      <c r="J1376" s="39"/>
      <c r="K1376" s="39"/>
      <c r="M1376" s="19"/>
    </row>
    <row r="1377" spans="2:13" s="11" customFormat="1" x14ac:dyDescent="0.2">
      <c r="B1377" s="24">
        <v>1984.08</v>
      </c>
      <c r="C1377" s="25">
        <v>164.4</v>
      </c>
      <c r="D1377" s="40"/>
      <c r="E1377" s="40"/>
      <c r="F1377" s="12"/>
      <c r="G1377" s="18"/>
      <c r="H1377" s="12"/>
      <c r="I1377" s="39"/>
      <c r="J1377" s="39"/>
      <c r="K1377" s="39"/>
      <c r="M1377" s="19"/>
    </row>
    <row r="1378" spans="2:13" s="11" customFormat="1" x14ac:dyDescent="0.2">
      <c r="B1378" s="24">
        <v>1984.09</v>
      </c>
      <c r="C1378" s="25">
        <v>166.1</v>
      </c>
      <c r="D1378" s="40"/>
      <c r="E1378" s="40"/>
      <c r="F1378" s="12"/>
      <c r="G1378" s="18"/>
      <c r="H1378" s="12"/>
      <c r="I1378" s="39"/>
      <c r="J1378" s="39"/>
      <c r="K1378" s="39"/>
      <c r="M1378" s="19"/>
    </row>
    <row r="1379" spans="2:13" s="11" customFormat="1" x14ac:dyDescent="0.2">
      <c r="B1379" s="24">
        <v>1984.1</v>
      </c>
      <c r="C1379" s="25">
        <v>164.8</v>
      </c>
      <c r="D1379" s="40"/>
      <c r="E1379" s="40"/>
      <c r="F1379" s="12"/>
      <c r="G1379" s="18"/>
      <c r="H1379" s="12"/>
      <c r="I1379" s="39"/>
      <c r="J1379" s="39"/>
      <c r="K1379" s="39"/>
      <c r="M1379" s="19"/>
    </row>
    <row r="1380" spans="2:13" s="11" customFormat="1" x14ac:dyDescent="0.2">
      <c r="B1380" s="24">
        <v>1984.11</v>
      </c>
      <c r="C1380" s="25">
        <v>166.3</v>
      </c>
      <c r="D1380" s="40"/>
      <c r="E1380" s="40"/>
      <c r="F1380" s="12"/>
      <c r="G1380" s="18"/>
      <c r="H1380" s="12"/>
      <c r="I1380" s="39"/>
      <c r="J1380" s="39"/>
      <c r="K1380" s="39"/>
      <c r="M1380" s="19"/>
    </row>
    <row r="1381" spans="2:13" s="11" customFormat="1" x14ac:dyDescent="0.2">
      <c r="B1381" s="24">
        <v>1984.12</v>
      </c>
      <c r="C1381" s="25">
        <v>164.5</v>
      </c>
      <c r="D1381" s="40"/>
      <c r="E1381" s="40"/>
      <c r="F1381" s="12"/>
      <c r="G1381" s="18"/>
      <c r="H1381" s="12"/>
      <c r="I1381" s="39"/>
      <c r="J1381" s="39"/>
      <c r="K1381" s="39"/>
      <c r="M1381" s="19"/>
    </row>
    <row r="1382" spans="2:13" s="11" customFormat="1" x14ac:dyDescent="0.2">
      <c r="B1382" s="24">
        <v>1985.01</v>
      </c>
      <c r="C1382" s="25">
        <v>171.6</v>
      </c>
      <c r="D1382" s="40"/>
      <c r="E1382" s="40"/>
      <c r="F1382" s="12"/>
      <c r="G1382" s="18"/>
      <c r="H1382" s="12"/>
      <c r="I1382" s="39"/>
      <c r="J1382" s="39"/>
      <c r="K1382" s="39"/>
      <c r="M1382" s="19"/>
    </row>
    <row r="1383" spans="2:13" s="11" customFormat="1" x14ac:dyDescent="0.2">
      <c r="B1383" s="24">
        <v>1985.02</v>
      </c>
      <c r="C1383" s="25">
        <v>180.9</v>
      </c>
      <c r="D1383" s="40"/>
      <c r="E1383" s="40"/>
      <c r="F1383" s="12"/>
      <c r="G1383" s="18"/>
      <c r="H1383" s="12"/>
      <c r="I1383" s="39"/>
      <c r="J1383" s="39"/>
      <c r="K1383" s="39"/>
      <c r="M1383" s="19"/>
    </row>
    <row r="1384" spans="2:13" s="11" customFormat="1" x14ac:dyDescent="0.2">
      <c r="B1384" s="24">
        <v>1985.03</v>
      </c>
      <c r="C1384" s="25">
        <v>179.4</v>
      </c>
      <c r="D1384" s="40"/>
      <c r="E1384" s="40"/>
      <c r="F1384" s="12"/>
      <c r="G1384" s="18"/>
      <c r="H1384" s="12"/>
      <c r="I1384" s="39"/>
      <c r="J1384" s="39"/>
      <c r="K1384" s="39"/>
      <c r="M1384" s="19"/>
    </row>
    <row r="1385" spans="2:13" s="11" customFormat="1" x14ac:dyDescent="0.2">
      <c r="B1385" s="24">
        <v>1985.04</v>
      </c>
      <c r="C1385" s="25">
        <v>180.6</v>
      </c>
      <c r="D1385" s="40"/>
      <c r="E1385" s="40"/>
      <c r="F1385" s="12"/>
      <c r="G1385" s="18"/>
      <c r="H1385" s="12"/>
      <c r="I1385" s="39"/>
      <c r="J1385" s="39"/>
      <c r="K1385" s="39"/>
      <c r="M1385" s="19"/>
    </row>
    <row r="1386" spans="2:13" s="11" customFormat="1" x14ac:dyDescent="0.2">
      <c r="B1386" s="24">
        <v>1985.05</v>
      </c>
      <c r="C1386" s="25">
        <v>184.9</v>
      </c>
      <c r="D1386" s="40"/>
      <c r="E1386" s="40"/>
      <c r="F1386" s="12"/>
      <c r="G1386" s="18"/>
      <c r="H1386" s="12"/>
      <c r="I1386" s="39"/>
      <c r="J1386" s="39"/>
      <c r="K1386" s="39"/>
      <c r="M1386" s="19"/>
    </row>
    <row r="1387" spans="2:13" s="11" customFormat="1" x14ac:dyDescent="0.2">
      <c r="B1387" s="24">
        <v>1985.06</v>
      </c>
      <c r="C1387" s="25">
        <v>188.9</v>
      </c>
      <c r="D1387" s="40"/>
      <c r="E1387" s="40"/>
      <c r="F1387" s="12"/>
      <c r="G1387" s="18"/>
      <c r="H1387" s="12"/>
      <c r="I1387" s="39"/>
      <c r="J1387" s="39"/>
      <c r="K1387" s="39"/>
      <c r="M1387" s="19"/>
    </row>
    <row r="1388" spans="2:13" s="11" customFormat="1" x14ac:dyDescent="0.2">
      <c r="B1388" s="24">
        <v>1985.07</v>
      </c>
      <c r="C1388" s="25">
        <v>192.5</v>
      </c>
      <c r="D1388" s="40"/>
      <c r="E1388" s="40"/>
      <c r="F1388" s="12"/>
      <c r="G1388" s="18"/>
      <c r="H1388" s="12"/>
      <c r="I1388" s="39"/>
      <c r="J1388" s="39"/>
      <c r="K1388" s="39"/>
      <c r="M1388" s="19"/>
    </row>
    <row r="1389" spans="2:13" s="11" customFormat="1" x14ac:dyDescent="0.2">
      <c r="B1389" s="24">
        <v>1985.08</v>
      </c>
      <c r="C1389" s="25">
        <v>188.3</v>
      </c>
      <c r="D1389" s="40"/>
      <c r="E1389" s="40"/>
      <c r="F1389" s="12"/>
      <c r="G1389" s="18"/>
      <c r="H1389" s="12"/>
      <c r="I1389" s="39"/>
      <c r="J1389" s="39"/>
      <c r="K1389" s="39"/>
      <c r="M1389" s="19"/>
    </row>
    <row r="1390" spans="2:13" s="11" customFormat="1" x14ac:dyDescent="0.2">
      <c r="B1390" s="24">
        <v>1985.09</v>
      </c>
      <c r="C1390" s="25">
        <v>184.1</v>
      </c>
      <c r="D1390" s="40"/>
      <c r="E1390" s="40"/>
      <c r="F1390" s="12"/>
      <c r="G1390" s="18"/>
      <c r="H1390" s="12"/>
      <c r="I1390" s="39"/>
      <c r="J1390" s="39"/>
      <c r="K1390" s="39"/>
      <c r="M1390" s="19"/>
    </row>
    <row r="1391" spans="2:13" s="11" customFormat="1" x14ac:dyDescent="0.2">
      <c r="B1391" s="24">
        <v>1985.1</v>
      </c>
      <c r="C1391" s="25">
        <v>186.2</v>
      </c>
      <c r="D1391" s="40"/>
      <c r="E1391" s="40"/>
      <c r="F1391" s="12"/>
      <c r="G1391" s="18"/>
      <c r="H1391" s="12"/>
      <c r="I1391" s="39"/>
      <c r="J1391" s="39"/>
      <c r="K1391" s="39"/>
      <c r="M1391" s="19"/>
    </row>
    <row r="1392" spans="2:13" s="11" customFormat="1" x14ac:dyDescent="0.2">
      <c r="B1392" s="24">
        <v>1985.11</v>
      </c>
      <c r="C1392" s="25">
        <v>197.5</v>
      </c>
      <c r="D1392" s="40"/>
      <c r="E1392" s="40"/>
      <c r="F1392" s="12"/>
      <c r="G1392" s="18"/>
      <c r="H1392" s="12"/>
      <c r="I1392" s="39"/>
      <c r="J1392" s="39"/>
      <c r="K1392" s="39"/>
      <c r="M1392" s="19"/>
    </row>
    <row r="1393" spans="2:13" s="11" customFormat="1" x14ac:dyDescent="0.2">
      <c r="B1393" s="24">
        <v>1985.12</v>
      </c>
      <c r="C1393" s="25">
        <v>207.3</v>
      </c>
      <c r="D1393" s="40"/>
      <c r="E1393" s="40"/>
      <c r="F1393" s="12"/>
      <c r="G1393" s="18"/>
      <c r="H1393" s="12"/>
      <c r="I1393" s="39"/>
      <c r="J1393" s="39"/>
      <c r="K1393" s="39"/>
      <c r="M1393" s="19"/>
    </row>
    <row r="1394" spans="2:13" s="11" customFormat="1" x14ac:dyDescent="0.2">
      <c r="B1394" s="24">
        <v>1986.01</v>
      </c>
      <c r="C1394" s="25">
        <v>208.2</v>
      </c>
      <c r="D1394" s="40"/>
      <c r="E1394" s="40"/>
      <c r="F1394" s="12"/>
      <c r="G1394" s="18"/>
      <c r="H1394" s="12"/>
      <c r="I1394" s="39"/>
      <c r="J1394" s="39"/>
      <c r="K1394" s="39"/>
      <c r="M1394" s="19"/>
    </row>
    <row r="1395" spans="2:13" s="11" customFormat="1" x14ac:dyDescent="0.2">
      <c r="B1395" s="24">
        <v>1986.02</v>
      </c>
      <c r="C1395" s="25">
        <v>219.4</v>
      </c>
      <c r="D1395" s="40"/>
      <c r="E1395" s="40"/>
      <c r="F1395" s="12"/>
      <c r="G1395" s="18"/>
      <c r="H1395" s="12"/>
      <c r="I1395" s="39"/>
      <c r="J1395" s="39"/>
      <c r="K1395" s="39"/>
      <c r="M1395" s="19"/>
    </row>
    <row r="1396" spans="2:13" s="11" customFormat="1" x14ac:dyDescent="0.2">
      <c r="B1396" s="24">
        <v>1986.03</v>
      </c>
      <c r="C1396" s="25">
        <v>232.3</v>
      </c>
      <c r="D1396" s="40"/>
      <c r="E1396" s="40"/>
      <c r="F1396" s="12"/>
      <c r="G1396" s="18"/>
      <c r="H1396" s="12"/>
      <c r="I1396" s="39"/>
      <c r="J1396" s="39"/>
      <c r="K1396" s="39"/>
      <c r="M1396" s="19"/>
    </row>
    <row r="1397" spans="2:13" s="11" customFormat="1" x14ac:dyDescent="0.2">
      <c r="B1397" s="24">
        <v>1986.04</v>
      </c>
      <c r="C1397" s="25">
        <v>238</v>
      </c>
      <c r="D1397" s="40"/>
      <c r="E1397" s="40"/>
      <c r="F1397" s="12"/>
      <c r="G1397" s="18"/>
      <c r="H1397" s="12"/>
      <c r="I1397" s="39"/>
      <c r="J1397" s="39"/>
      <c r="K1397" s="39"/>
      <c r="M1397" s="19"/>
    </row>
    <row r="1398" spans="2:13" s="11" customFormat="1" x14ac:dyDescent="0.2">
      <c r="B1398" s="24">
        <v>1986.05</v>
      </c>
      <c r="C1398" s="25">
        <v>238.5</v>
      </c>
      <c r="D1398" s="40"/>
      <c r="E1398" s="40"/>
      <c r="F1398" s="12"/>
      <c r="G1398" s="18"/>
      <c r="H1398" s="12"/>
      <c r="I1398" s="39"/>
      <c r="J1398" s="39"/>
      <c r="K1398" s="39"/>
      <c r="M1398" s="19"/>
    </row>
    <row r="1399" spans="2:13" s="11" customFormat="1" x14ac:dyDescent="0.2">
      <c r="B1399" s="24">
        <v>1986.06</v>
      </c>
      <c r="C1399" s="25">
        <v>245.3</v>
      </c>
      <c r="D1399" s="40"/>
      <c r="E1399" s="40"/>
      <c r="F1399" s="12"/>
      <c r="G1399" s="18"/>
      <c r="H1399" s="12"/>
      <c r="I1399" s="39"/>
      <c r="J1399" s="39"/>
      <c r="K1399" s="39"/>
      <c r="M1399" s="19"/>
    </row>
    <row r="1400" spans="2:13" s="11" customFormat="1" x14ac:dyDescent="0.2">
      <c r="B1400" s="24">
        <v>1986.07</v>
      </c>
      <c r="C1400" s="25">
        <v>240.2</v>
      </c>
      <c r="D1400" s="40"/>
      <c r="E1400" s="40"/>
      <c r="F1400" s="12"/>
      <c r="G1400" s="18"/>
      <c r="H1400" s="12"/>
      <c r="I1400" s="39"/>
      <c r="J1400" s="39"/>
      <c r="K1400" s="39"/>
      <c r="M1400" s="19"/>
    </row>
    <row r="1401" spans="2:13" s="11" customFormat="1" x14ac:dyDescent="0.2">
      <c r="B1401" s="24">
        <v>1986.08</v>
      </c>
      <c r="C1401" s="25">
        <v>245</v>
      </c>
      <c r="D1401" s="40"/>
      <c r="E1401" s="40"/>
      <c r="F1401" s="12"/>
      <c r="G1401" s="18"/>
      <c r="H1401" s="12"/>
      <c r="I1401" s="39"/>
      <c r="J1401" s="39"/>
      <c r="K1401" s="39"/>
      <c r="M1401" s="19"/>
    </row>
    <row r="1402" spans="2:13" s="11" customFormat="1" x14ac:dyDescent="0.2">
      <c r="B1402" s="24">
        <v>1986.09</v>
      </c>
      <c r="C1402" s="25">
        <v>238.3</v>
      </c>
      <c r="D1402" s="40"/>
      <c r="E1402" s="40"/>
      <c r="F1402" s="12"/>
      <c r="G1402" s="18"/>
      <c r="H1402" s="12"/>
      <c r="I1402" s="39"/>
      <c r="J1402" s="39"/>
      <c r="K1402" s="39"/>
      <c r="M1402" s="19"/>
    </row>
    <row r="1403" spans="2:13" s="11" customFormat="1" x14ac:dyDescent="0.2">
      <c r="B1403" s="24">
        <v>1986.1</v>
      </c>
      <c r="C1403" s="25">
        <v>237.4</v>
      </c>
      <c r="D1403" s="40"/>
      <c r="E1403" s="40"/>
      <c r="F1403" s="12"/>
      <c r="G1403" s="18"/>
      <c r="H1403" s="12"/>
      <c r="I1403" s="39"/>
      <c r="J1403" s="39"/>
      <c r="K1403" s="39"/>
      <c r="M1403" s="19"/>
    </row>
    <row r="1404" spans="2:13" s="11" customFormat="1" x14ac:dyDescent="0.2">
      <c r="B1404" s="24">
        <v>1986.11</v>
      </c>
      <c r="C1404" s="25">
        <v>245.1</v>
      </c>
      <c r="D1404" s="40"/>
      <c r="E1404" s="40"/>
      <c r="F1404" s="12"/>
      <c r="G1404" s="18"/>
      <c r="H1404" s="12"/>
      <c r="I1404" s="39"/>
      <c r="J1404" s="39"/>
      <c r="K1404" s="39"/>
      <c r="M1404" s="19"/>
    </row>
    <row r="1405" spans="2:13" s="11" customFormat="1" x14ac:dyDescent="0.2">
      <c r="B1405" s="24">
        <v>1986.12</v>
      </c>
      <c r="C1405" s="25">
        <v>248.6</v>
      </c>
      <c r="D1405" s="40"/>
      <c r="E1405" s="40"/>
      <c r="F1405" s="12"/>
      <c r="G1405" s="18"/>
      <c r="H1405" s="12"/>
      <c r="I1405" s="39"/>
      <c r="J1405" s="39"/>
      <c r="K1405" s="39"/>
      <c r="M1405" s="19"/>
    </row>
    <row r="1406" spans="2:13" s="11" customFormat="1" x14ac:dyDescent="0.2">
      <c r="B1406" s="24">
        <v>1987.01</v>
      </c>
      <c r="C1406" s="25">
        <v>264.5</v>
      </c>
      <c r="D1406" s="40"/>
      <c r="E1406" s="40"/>
      <c r="F1406" s="12"/>
      <c r="G1406" s="18"/>
      <c r="H1406" s="12"/>
      <c r="I1406" s="39"/>
      <c r="J1406" s="39"/>
      <c r="K1406" s="39"/>
      <c r="M1406" s="19"/>
    </row>
    <row r="1407" spans="2:13" s="11" customFormat="1" x14ac:dyDescent="0.2">
      <c r="B1407" s="24">
        <v>1987.02</v>
      </c>
      <c r="C1407" s="25">
        <v>280.89999999999998</v>
      </c>
      <c r="D1407" s="40"/>
      <c r="E1407" s="40"/>
      <c r="F1407" s="12"/>
      <c r="G1407" s="18"/>
      <c r="H1407" s="12"/>
      <c r="I1407" s="39"/>
      <c r="J1407" s="39"/>
      <c r="K1407" s="39"/>
      <c r="M1407" s="19"/>
    </row>
    <row r="1408" spans="2:13" s="11" customFormat="1" x14ac:dyDescent="0.2">
      <c r="B1408" s="24">
        <v>1987.03</v>
      </c>
      <c r="C1408" s="25">
        <v>292.5</v>
      </c>
      <c r="D1408" s="40"/>
      <c r="E1408" s="40"/>
      <c r="F1408" s="12"/>
      <c r="G1408" s="18"/>
      <c r="H1408" s="12"/>
      <c r="I1408" s="39"/>
      <c r="J1408" s="39"/>
      <c r="K1408" s="39"/>
      <c r="M1408" s="19"/>
    </row>
    <row r="1409" spans="2:13" s="11" customFormat="1" x14ac:dyDescent="0.2">
      <c r="B1409" s="24">
        <v>1987.04</v>
      </c>
      <c r="C1409" s="25">
        <v>289.3</v>
      </c>
      <c r="D1409" s="40"/>
      <c r="E1409" s="40"/>
      <c r="F1409" s="12"/>
      <c r="G1409" s="18"/>
      <c r="H1409" s="12"/>
      <c r="I1409" s="39"/>
      <c r="J1409" s="39"/>
      <c r="K1409" s="39"/>
      <c r="M1409" s="19"/>
    </row>
    <row r="1410" spans="2:13" s="11" customFormat="1" x14ac:dyDescent="0.2">
      <c r="B1410" s="24">
        <v>1987.05</v>
      </c>
      <c r="C1410" s="25">
        <v>289.10000000000002</v>
      </c>
      <c r="D1410" s="40"/>
      <c r="E1410" s="40"/>
      <c r="F1410" s="12"/>
      <c r="G1410" s="18"/>
      <c r="H1410" s="12"/>
      <c r="I1410" s="39"/>
      <c r="J1410" s="39"/>
      <c r="K1410" s="39"/>
      <c r="M1410" s="19"/>
    </row>
    <row r="1411" spans="2:13" s="11" customFormat="1" x14ac:dyDescent="0.2">
      <c r="B1411" s="24">
        <v>1987.06</v>
      </c>
      <c r="C1411" s="25">
        <v>301.39999999999998</v>
      </c>
      <c r="D1411" s="40"/>
      <c r="E1411" s="40"/>
      <c r="F1411" s="12"/>
      <c r="G1411" s="18"/>
      <c r="H1411" s="12"/>
      <c r="I1411" s="39"/>
      <c r="J1411" s="39"/>
      <c r="K1411" s="39"/>
      <c r="M1411" s="19"/>
    </row>
    <row r="1412" spans="2:13" s="11" customFormat="1" x14ac:dyDescent="0.2">
      <c r="B1412" s="24">
        <v>1987.07</v>
      </c>
      <c r="C1412" s="25">
        <v>310.10000000000002</v>
      </c>
      <c r="D1412" s="40"/>
      <c r="E1412" s="40"/>
      <c r="F1412" s="12"/>
      <c r="G1412" s="18"/>
      <c r="H1412" s="12"/>
      <c r="I1412" s="39"/>
      <c r="J1412" s="39"/>
      <c r="K1412" s="39"/>
      <c r="M1412" s="19"/>
    </row>
    <row r="1413" spans="2:13" s="11" customFormat="1" x14ac:dyDescent="0.2">
      <c r="B1413" s="24">
        <v>1987.08</v>
      </c>
      <c r="C1413" s="25">
        <v>329.4</v>
      </c>
      <c r="D1413" s="40"/>
      <c r="E1413" s="40"/>
      <c r="F1413" s="12"/>
      <c r="G1413" s="18"/>
      <c r="H1413" s="12"/>
      <c r="I1413" s="39"/>
      <c r="J1413" s="39"/>
      <c r="K1413" s="39"/>
      <c r="M1413" s="19"/>
    </row>
    <row r="1414" spans="2:13" s="11" customFormat="1" x14ac:dyDescent="0.2">
      <c r="B1414" s="24">
        <v>1987.09</v>
      </c>
      <c r="C1414" s="25">
        <v>318.7</v>
      </c>
      <c r="D1414" s="40"/>
      <c r="E1414" s="40"/>
      <c r="F1414" s="12"/>
      <c r="G1414" s="18"/>
      <c r="H1414" s="12"/>
      <c r="I1414" s="39"/>
      <c r="J1414" s="39"/>
      <c r="K1414" s="39"/>
      <c r="M1414" s="19"/>
    </row>
    <row r="1415" spans="2:13" s="11" customFormat="1" x14ac:dyDescent="0.2">
      <c r="B1415" s="24">
        <v>1987.1</v>
      </c>
      <c r="C1415" s="25">
        <v>280.2</v>
      </c>
      <c r="D1415" s="40"/>
      <c r="E1415" s="40"/>
      <c r="F1415" s="12"/>
      <c r="G1415" s="18"/>
      <c r="H1415" s="12"/>
      <c r="I1415" s="39"/>
      <c r="J1415" s="39"/>
      <c r="K1415" s="39"/>
      <c r="M1415" s="19"/>
    </row>
    <row r="1416" spans="2:13" s="11" customFormat="1" x14ac:dyDescent="0.2">
      <c r="B1416" s="24">
        <v>1987.11</v>
      </c>
      <c r="C1416" s="25">
        <v>245</v>
      </c>
      <c r="D1416" s="40"/>
      <c r="E1416" s="40"/>
      <c r="F1416" s="12"/>
      <c r="G1416" s="18"/>
      <c r="H1416" s="12"/>
      <c r="I1416" s="39"/>
      <c r="J1416" s="39"/>
      <c r="K1416" s="39"/>
      <c r="M1416" s="19"/>
    </row>
    <row r="1417" spans="2:13" s="11" customFormat="1" x14ac:dyDescent="0.2">
      <c r="B1417" s="24">
        <v>1987.12</v>
      </c>
      <c r="C1417" s="25">
        <v>241</v>
      </c>
      <c r="D1417" s="40"/>
      <c r="E1417" s="40"/>
      <c r="F1417" s="12"/>
      <c r="G1417" s="18"/>
      <c r="H1417" s="12"/>
      <c r="I1417" s="39"/>
      <c r="J1417" s="39"/>
      <c r="K1417" s="39"/>
      <c r="M1417" s="19"/>
    </row>
    <row r="1418" spans="2:13" s="11" customFormat="1" x14ac:dyDescent="0.2">
      <c r="B1418" s="24">
        <v>1988.01</v>
      </c>
      <c r="C1418" s="25">
        <v>250.5</v>
      </c>
      <c r="D1418" s="40"/>
      <c r="E1418" s="40"/>
      <c r="F1418" s="12"/>
      <c r="G1418" s="18"/>
      <c r="H1418" s="12"/>
      <c r="I1418" s="39"/>
      <c r="J1418" s="39"/>
      <c r="K1418" s="39"/>
      <c r="M1418" s="19"/>
    </row>
    <row r="1419" spans="2:13" s="11" customFormat="1" x14ac:dyDescent="0.2">
      <c r="B1419" s="24">
        <v>1988.02</v>
      </c>
      <c r="C1419" s="25">
        <v>258.10000000000002</v>
      </c>
      <c r="D1419" s="40"/>
      <c r="E1419" s="40"/>
      <c r="F1419" s="12"/>
      <c r="G1419" s="18"/>
      <c r="H1419" s="12"/>
      <c r="I1419" s="39"/>
      <c r="J1419" s="39"/>
      <c r="K1419" s="39"/>
      <c r="M1419" s="19"/>
    </row>
    <row r="1420" spans="2:13" s="11" customFormat="1" x14ac:dyDescent="0.2">
      <c r="B1420" s="24">
        <v>1988.03</v>
      </c>
      <c r="C1420" s="25">
        <v>265.7</v>
      </c>
      <c r="D1420" s="40"/>
      <c r="E1420" s="40"/>
      <c r="F1420" s="12"/>
      <c r="G1420" s="18"/>
      <c r="H1420" s="12"/>
      <c r="I1420" s="39"/>
      <c r="J1420" s="39"/>
      <c r="K1420" s="39"/>
      <c r="M1420" s="19"/>
    </row>
    <row r="1421" spans="2:13" s="11" customFormat="1" x14ac:dyDescent="0.2">
      <c r="B1421" s="24">
        <v>1988.04</v>
      </c>
      <c r="C1421" s="25">
        <v>262.60000000000002</v>
      </c>
      <c r="D1421" s="40"/>
      <c r="E1421" s="40"/>
      <c r="F1421" s="12"/>
      <c r="G1421" s="18"/>
      <c r="H1421" s="12"/>
      <c r="I1421" s="39"/>
      <c r="J1421" s="39"/>
      <c r="K1421" s="39"/>
      <c r="M1421" s="19"/>
    </row>
    <row r="1422" spans="2:13" s="11" customFormat="1" x14ac:dyDescent="0.2">
      <c r="B1422" s="24">
        <v>1988.05</v>
      </c>
      <c r="C1422" s="25">
        <v>256.10000000000002</v>
      </c>
      <c r="D1422" s="40"/>
      <c r="E1422" s="40"/>
      <c r="F1422" s="12"/>
      <c r="G1422" s="18"/>
      <c r="H1422" s="12"/>
      <c r="I1422" s="39"/>
      <c r="J1422" s="39"/>
      <c r="K1422" s="39"/>
      <c r="M1422" s="19"/>
    </row>
    <row r="1423" spans="2:13" s="11" customFormat="1" x14ac:dyDescent="0.2">
      <c r="B1423" s="24">
        <v>1988.06</v>
      </c>
      <c r="C1423" s="25">
        <v>270.7</v>
      </c>
      <c r="D1423" s="40"/>
      <c r="E1423" s="40"/>
      <c r="F1423" s="12"/>
      <c r="G1423" s="18"/>
      <c r="H1423" s="12"/>
      <c r="I1423" s="39"/>
      <c r="J1423" s="39"/>
      <c r="K1423" s="39"/>
      <c r="M1423" s="19"/>
    </row>
    <row r="1424" spans="2:13" s="11" customFormat="1" x14ac:dyDescent="0.2">
      <c r="B1424" s="24">
        <v>1988.07</v>
      </c>
      <c r="C1424" s="25">
        <v>269.10000000000002</v>
      </c>
      <c r="D1424" s="40"/>
      <c r="E1424" s="40"/>
      <c r="F1424" s="12"/>
      <c r="G1424" s="18"/>
      <c r="H1424" s="12"/>
      <c r="I1424" s="39"/>
      <c r="J1424" s="39"/>
      <c r="K1424" s="39"/>
      <c r="M1424" s="19"/>
    </row>
    <row r="1425" spans="2:13" s="11" customFormat="1" x14ac:dyDescent="0.2">
      <c r="B1425" s="24">
        <v>1988.08</v>
      </c>
      <c r="C1425" s="25">
        <v>263.7</v>
      </c>
      <c r="D1425" s="40"/>
      <c r="E1425" s="40"/>
      <c r="F1425" s="12"/>
      <c r="G1425" s="18"/>
      <c r="H1425" s="12"/>
      <c r="I1425" s="39"/>
      <c r="J1425" s="39"/>
      <c r="K1425" s="39"/>
      <c r="M1425" s="19"/>
    </row>
    <row r="1426" spans="2:13" s="11" customFormat="1" x14ac:dyDescent="0.2">
      <c r="B1426" s="24">
        <v>1988.09</v>
      </c>
      <c r="C1426" s="25">
        <v>268</v>
      </c>
      <c r="D1426" s="40"/>
      <c r="E1426" s="40"/>
      <c r="F1426" s="12"/>
      <c r="G1426" s="18"/>
      <c r="H1426" s="12"/>
      <c r="I1426" s="39"/>
      <c r="J1426" s="39"/>
      <c r="K1426" s="39"/>
      <c r="M1426" s="19"/>
    </row>
    <row r="1427" spans="2:13" s="11" customFormat="1" x14ac:dyDescent="0.2">
      <c r="B1427" s="24">
        <v>1988.1</v>
      </c>
      <c r="C1427" s="25">
        <v>277.39999999999998</v>
      </c>
      <c r="D1427" s="40"/>
      <c r="E1427" s="40"/>
      <c r="F1427" s="12"/>
      <c r="G1427" s="18"/>
      <c r="H1427" s="12"/>
      <c r="I1427" s="39"/>
      <c r="J1427" s="39"/>
      <c r="K1427" s="39"/>
      <c r="M1427" s="19"/>
    </row>
    <row r="1428" spans="2:13" s="11" customFormat="1" x14ac:dyDescent="0.2">
      <c r="B1428" s="24">
        <v>1988.11</v>
      </c>
      <c r="C1428" s="25">
        <v>271</v>
      </c>
      <c r="D1428" s="40"/>
      <c r="E1428" s="40"/>
      <c r="F1428" s="12"/>
      <c r="G1428" s="18"/>
      <c r="H1428" s="12"/>
      <c r="I1428" s="39"/>
      <c r="J1428" s="39"/>
      <c r="K1428" s="39"/>
      <c r="M1428" s="19"/>
    </row>
    <row r="1429" spans="2:13" s="11" customFormat="1" x14ac:dyDescent="0.2">
      <c r="B1429" s="24">
        <v>1988.12</v>
      </c>
      <c r="C1429" s="25">
        <v>276.5</v>
      </c>
      <c r="D1429" s="40"/>
      <c r="E1429" s="40"/>
      <c r="F1429" s="12"/>
      <c r="G1429" s="18"/>
      <c r="H1429" s="12"/>
      <c r="I1429" s="39"/>
      <c r="J1429" s="39"/>
      <c r="K1429" s="39"/>
      <c r="M1429" s="19"/>
    </row>
    <row r="1430" spans="2:13" s="11" customFormat="1" x14ac:dyDescent="0.2">
      <c r="B1430" s="24">
        <v>1989.01</v>
      </c>
      <c r="C1430" s="25">
        <v>285.39999999999998</v>
      </c>
      <c r="D1430" s="40"/>
      <c r="E1430" s="40"/>
      <c r="F1430" s="12"/>
      <c r="G1430" s="18"/>
      <c r="H1430" s="12"/>
      <c r="I1430" s="39"/>
      <c r="J1430" s="39"/>
      <c r="K1430" s="39"/>
      <c r="M1430" s="19"/>
    </row>
    <row r="1431" spans="2:13" s="11" customFormat="1" x14ac:dyDescent="0.2">
      <c r="B1431" s="24">
        <v>1989.02</v>
      </c>
      <c r="C1431" s="25">
        <v>294</v>
      </c>
      <c r="D1431" s="40"/>
      <c r="E1431" s="40"/>
      <c r="F1431" s="12"/>
      <c r="G1431" s="18"/>
      <c r="H1431" s="12"/>
      <c r="I1431" s="39"/>
      <c r="J1431" s="39"/>
      <c r="K1431" s="39"/>
      <c r="M1431" s="19"/>
    </row>
    <row r="1432" spans="2:13" s="11" customFormat="1" x14ac:dyDescent="0.2">
      <c r="B1432" s="24">
        <v>1989.03</v>
      </c>
      <c r="C1432" s="25">
        <v>292.7</v>
      </c>
      <c r="D1432" s="40"/>
      <c r="E1432" s="40"/>
      <c r="F1432" s="12"/>
      <c r="G1432" s="18"/>
      <c r="H1432" s="12"/>
      <c r="I1432" s="39"/>
      <c r="J1432" s="39"/>
      <c r="K1432" s="39"/>
      <c r="M1432" s="19"/>
    </row>
    <row r="1433" spans="2:13" s="11" customFormat="1" x14ac:dyDescent="0.2">
      <c r="B1433" s="24">
        <v>1989.04</v>
      </c>
      <c r="C1433" s="25">
        <v>302.3</v>
      </c>
      <c r="D1433" s="40"/>
      <c r="E1433" s="40"/>
      <c r="F1433" s="12"/>
      <c r="G1433" s="18"/>
      <c r="H1433" s="12"/>
      <c r="I1433" s="39"/>
      <c r="J1433" s="39"/>
      <c r="K1433" s="39"/>
      <c r="M1433" s="19"/>
    </row>
    <row r="1434" spans="2:13" s="11" customFormat="1" x14ac:dyDescent="0.2">
      <c r="B1434" s="24">
        <v>1989.05</v>
      </c>
      <c r="C1434" s="25">
        <v>313.89999999999998</v>
      </c>
      <c r="D1434" s="40"/>
      <c r="E1434" s="40"/>
      <c r="F1434" s="12"/>
      <c r="G1434" s="18"/>
      <c r="H1434" s="12"/>
      <c r="I1434" s="39"/>
      <c r="J1434" s="39"/>
      <c r="K1434" s="39"/>
      <c r="M1434" s="19"/>
    </row>
    <row r="1435" spans="2:13" s="11" customFormat="1" x14ac:dyDescent="0.2">
      <c r="B1435" s="24">
        <v>1989.06</v>
      </c>
      <c r="C1435" s="25">
        <v>323.7</v>
      </c>
      <c r="D1435" s="40"/>
      <c r="E1435" s="40"/>
      <c r="F1435" s="12"/>
      <c r="G1435" s="18"/>
      <c r="H1435" s="12"/>
      <c r="I1435" s="39"/>
      <c r="J1435" s="39"/>
      <c r="K1435" s="39"/>
      <c r="M1435" s="19"/>
    </row>
    <row r="1436" spans="2:13" s="11" customFormat="1" x14ac:dyDescent="0.2">
      <c r="B1436" s="24">
        <v>1989.07</v>
      </c>
      <c r="C1436" s="25">
        <v>331.9</v>
      </c>
      <c r="D1436" s="40"/>
      <c r="E1436" s="40"/>
      <c r="F1436" s="12"/>
      <c r="G1436" s="18"/>
      <c r="H1436" s="12"/>
      <c r="I1436" s="39"/>
      <c r="J1436" s="39"/>
      <c r="K1436" s="39"/>
      <c r="M1436" s="19"/>
    </row>
    <row r="1437" spans="2:13" s="11" customFormat="1" x14ac:dyDescent="0.2">
      <c r="B1437" s="24">
        <v>1989.08</v>
      </c>
      <c r="C1437" s="25">
        <v>346.6</v>
      </c>
      <c r="D1437" s="40"/>
      <c r="E1437" s="40"/>
      <c r="F1437" s="12"/>
      <c r="G1437" s="18"/>
      <c r="H1437" s="12"/>
      <c r="I1437" s="39"/>
      <c r="J1437" s="39"/>
      <c r="K1437" s="39"/>
      <c r="M1437" s="19"/>
    </row>
    <row r="1438" spans="2:13" s="11" customFormat="1" x14ac:dyDescent="0.2">
      <c r="B1438" s="24">
        <v>1989.09</v>
      </c>
      <c r="C1438" s="25">
        <v>347.3</v>
      </c>
      <c r="D1438" s="40"/>
      <c r="E1438" s="40"/>
      <c r="F1438" s="12"/>
      <c r="G1438" s="18"/>
      <c r="H1438" s="12"/>
      <c r="I1438" s="39"/>
      <c r="J1438" s="39"/>
      <c r="K1438" s="39"/>
      <c r="M1438" s="19"/>
    </row>
    <row r="1439" spans="2:13" s="11" customFormat="1" x14ac:dyDescent="0.2">
      <c r="B1439" s="24">
        <v>1989.1</v>
      </c>
      <c r="C1439" s="25">
        <v>347.4</v>
      </c>
      <c r="D1439" s="40"/>
      <c r="E1439" s="40"/>
      <c r="F1439" s="12"/>
      <c r="G1439" s="18"/>
      <c r="H1439" s="12"/>
      <c r="I1439" s="39"/>
      <c r="J1439" s="39"/>
      <c r="K1439" s="39"/>
      <c r="M1439" s="19"/>
    </row>
    <row r="1440" spans="2:13" s="11" customFormat="1" x14ac:dyDescent="0.2">
      <c r="B1440" s="24">
        <v>1989.11</v>
      </c>
      <c r="C1440" s="25">
        <v>340.2</v>
      </c>
      <c r="D1440" s="40"/>
      <c r="E1440" s="40"/>
      <c r="F1440" s="12"/>
      <c r="G1440" s="18"/>
      <c r="H1440" s="12"/>
      <c r="I1440" s="39"/>
      <c r="J1440" s="39"/>
      <c r="K1440" s="39"/>
      <c r="M1440" s="19"/>
    </row>
    <row r="1441" spans="2:13" s="11" customFormat="1" x14ac:dyDescent="0.2">
      <c r="B1441" s="24">
        <v>1989.12</v>
      </c>
      <c r="C1441" s="25">
        <v>348.6</v>
      </c>
      <c r="D1441" s="40"/>
      <c r="E1441" s="40"/>
      <c r="F1441" s="12"/>
      <c r="G1441" s="18"/>
      <c r="H1441" s="12"/>
      <c r="I1441" s="39"/>
      <c r="J1441" s="39"/>
      <c r="K1441" s="39"/>
      <c r="M1441" s="19"/>
    </row>
    <row r="1442" spans="2:13" s="11" customFormat="1" x14ac:dyDescent="0.2">
      <c r="B1442" s="24">
        <v>1990.01</v>
      </c>
      <c r="C1442" s="25">
        <v>339.97</v>
      </c>
      <c r="D1442" s="40"/>
      <c r="E1442" s="40"/>
      <c r="F1442" s="12"/>
      <c r="G1442" s="18"/>
      <c r="H1442" s="12"/>
      <c r="I1442" s="39"/>
      <c r="J1442" s="39"/>
      <c r="K1442" s="39"/>
      <c r="M1442" s="19"/>
    </row>
    <row r="1443" spans="2:13" s="11" customFormat="1" x14ac:dyDescent="0.2">
      <c r="B1443" s="24">
        <v>1990.02</v>
      </c>
      <c r="C1443" s="25">
        <v>330.45</v>
      </c>
      <c r="D1443" s="40"/>
      <c r="E1443" s="40"/>
      <c r="F1443" s="12"/>
      <c r="G1443" s="18"/>
      <c r="H1443" s="12"/>
      <c r="I1443" s="39"/>
      <c r="J1443" s="39"/>
      <c r="K1443" s="39"/>
      <c r="M1443" s="19"/>
    </row>
    <row r="1444" spans="2:13" s="11" customFormat="1" x14ac:dyDescent="0.2">
      <c r="B1444" s="24">
        <v>1990.03</v>
      </c>
      <c r="C1444" s="25">
        <v>338.46</v>
      </c>
      <c r="D1444" s="40"/>
      <c r="E1444" s="40"/>
      <c r="F1444" s="12"/>
      <c r="G1444" s="18"/>
      <c r="H1444" s="12"/>
      <c r="I1444" s="39"/>
      <c r="J1444" s="39"/>
      <c r="K1444" s="39"/>
      <c r="M1444" s="19"/>
    </row>
    <row r="1445" spans="2:13" s="11" customFormat="1" x14ac:dyDescent="0.2">
      <c r="B1445" s="24">
        <v>1990.04</v>
      </c>
      <c r="C1445" s="25">
        <v>338.18</v>
      </c>
      <c r="D1445" s="40"/>
      <c r="E1445" s="40"/>
      <c r="F1445" s="12"/>
      <c r="G1445" s="18"/>
      <c r="H1445" s="12"/>
      <c r="I1445" s="39"/>
      <c r="J1445" s="39"/>
      <c r="K1445" s="39"/>
      <c r="M1445" s="19"/>
    </row>
    <row r="1446" spans="2:13" s="11" customFormat="1" x14ac:dyDescent="0.2">
      <c r="B1446" s="24">
        <v>1990.05</v>
      </c>
      <c r="C1446" s="25">
        <v>350.25</v>
      </c>
      <c r="D1446" s="40"/>
      <c r="E1446" s="40"/>
      <c r="F1446" s="12"/>
      <c r="G1446" s="18"/>
      <c r="H1446" s="12"/>
      <c r="I1446" s="39"/>
      <c r="J1446" s="39"/>
      <c r="K1446" s="39"/>
      <c r="M1446" s="19"/>
    </row>
    <row r="1447" spans="2:13" s="11" customFormat="1" x14ac:dyDescent="0.2">
      <c r="B1447" s="24">
        <v>1990.06</v>
      </c>
      <c r="C1447" s="25">
        <v>360.39</v>
      </c>
      <c r="D1447" s="40"/>
      <c r="E1447" s="40"/>
      <c r="F1447" s="12"/>
      <c r="G1447" s="18"/>
      <c r="H1447" s="12"/>
      <c r="I1447" s="39"/>
      <c r="J1447" s="39"/>
      <c r="K1447" s="39"/>
      <c r="M1447" s="19"/>
    </row>
    <row r="1448" spans="2:13" s="11" customFormat="1" x14ac:dyDescent="0.2">
      <c r="B1448" s="24">
        <v>1990.07</v>
      </c>
      <c r="C1448" s="25">
        <v>360.03</v>
      </c>
      <c r="D1448" s="40"/>
      <c r="E1448" s="40"/>
      <c r="F1448" s="12"/>
      <c r="G1448" s="18"/>
      <c r="H1448" s="12"/>
      <c r="I1448" s="39"/>
      <c r="J1448" s="39"/>
      <c r="K1448" s="39"/>
      <c r="M1448" s="19"/>
    </row>
    <row r="1449" spans="2:13" s="11" customFormat="1" x14ac:dyDescent="0.2">
      <c r="B1449" s="24">
        <v>1990.08</v>
      </c>
      <c r="C1449" s="25">
        <v>330.75</v>
      </c>
      <c r="D1449" s="40"/>
      <c r="E1449" s="40"/>
      <c r="F1449" s="12"/>
      <c r="G1449" s="18"/>
      <c r="H1449" s="12"/>
      <c r="I1449" s="39"/>
      <c r="J1449" s="39"/>
      <c r="K1449" s="39"/>
      <c r="M1449" s="19"/>
    </row>
    <row r="1450" spans="2:13" s="11" customFormat="1" x14ac:dyDescent="0.2">
      <c r="B1450" s="24">
        <v>1990.09</v>
      </c>
      <c r="C1450" s="25">
        <v>315.41000000000003</v>
      </c>
      <c r="D1450" s="40"/>
      <c r="E1450" s="40"/>
      <c r="F1450" s="12"/>
      <c r="G1450" s="18"/>
      <c r="H1450" s="12"/>
      <c r="I1450" s="39"/>
      <c r="J1450" s="39"/>
      <c r="K1450" s="39"/>
      <c r="M1450" s="19"/>
    </row>
    <row r="1451" spans="2:13" s="11" customFormat="1" x14ac:dyDescent="0.2">
      <c r="B1451" s="24">
        <v>1990.1</v>
      </c>
      <c r="C1451" s="25">
        <v>307.12</v>
      </c>
      <c r="D1451" s="40"/>
      <c r="E1451" s="40"/>
      <c r="F1451" s="12"/>
      <c r="G1451" s="18"/>
      <c r="H1451" s="12"/>
      <c r="I1451" s="39"/>
      <c r="J1451" s="39"/>
      <c r="K1451" s="39"/>
      <c r="M1451" s="19"/>
    </row>
    <row r="1452" spans="2:13" s="11" customFormat="1" x14ac:dyDescent="0.2">
      <c r="B1452" s="24">
        <v>1990.11</v>
      </c>
      <c r="C1452" s="25">
        <v>315.29000000000002</v>
      </c>
      <c r="D1452" s="40"/>
      <c r="E1452" s="40"/>
      <c r="F1452" s="12"/>
      <c r="G1452" s="18"/>
      <c r="H1452" s="12"/>
      <c r="I1452" s="39"/>
      <c r="J1452" s="39"/>
      <c r="K1452" s="39"/>
      <c r="M1452" s="19"/>
    </row>
    <row r="1453" spans="2:13" s="11" customFormat="1" x14ac:dyDescent="0.2">
      <c r="B1453" s="24">
        <v>1990.12</v>
      </c>
      <c r="C1453" s="25">
        <v>328.75</v>
      </c>
      <c r="D1453" s="40"/>
      <c r="E1453" s="40"/>
      <c r="F1453" s="12"/>
      <c r="G1453" s="18"/>
      <c r="H1453" s="12"/>
      <c r="I1453" s="39"/>
      <c r="J1453" s="39"/>
      <c r="K1453" s="39"/>
      <c r="M1453" s="19"/>
    </row>
    <row r="1454" spans="2:13" s="11" customFormat="1" x14ac:dyDescent="0.2">
      <c r="B1454" s="24">
        <v>1991.01</v>
      </c>
      <c r="C1454" s="25">
        <v>325.49</v>
      </c>
      <c r="D1454" s="40"/>
      <c r="E1454" s="40"/>
      <c r="F1454" s="12"/>
      <c r="G1454" s="18"/>
      <c r="H1454" s="12"/>
      <c r="I1454" s="39"/>
      <c r="J1454" s="39"/>
      <c r="K1454" s="39"/>
      <c r="M1454" s="19"/>
    </row>
    <row r="1455" spans="2:13" s="11" customFormat="1" x14ac:dyDescent="0.2">
      <c r="B1455" s="24">
        <v>1991.02</v>
      </c>
      <c r="C1455" s="25">
        <v>362.26</v>
      </c>
      <c r="D1455" s="40"/>
      <c r="E1455" s="40"/>
      <c r="F1455" s="12"/>
      <c r="G1455" s="18"/>
      <c r="H1455" s="12"/>
      <c r="I1455" s="39"/>
      <c r="J1455" s="39"/>
      <c r="K1455" s="39"/>
      <c r="M1455" s="19"/>
    </row>
    <row r="1456" spans="2:13" s="11" customFormat="1" x14ac:dyDescent="0.2">
      <c r="B1456" s="24">
        <v>1991.03</v>
      </c>
      <c r="C1456" s="25">
        <v>372.28</v>
      </c>
      <c r="D1456" s="40"/>
      <c r="E1456" s="40"/>
      <c r="F1456" s="12"/>
      <c r="G1456" s="18"/>
      <c r="H1456" s="12"/>
      <c r="I1456" s="39"/>
      <c r="J1456" s="39"/>
      <c r="K1456" s="39"/>
      <c r="M1456" s="19"/>
    </row>
    <row r="1457" spans="2:13" s="11" customFormat="1" x14ac:dyDescent="0.2">
      <c r="B1457" s="24">
        <v>1991.04</v>
      </c>
      <c r="C1457" s="25">
        <v>379.68</v>
      </c>
      <c r="D1457" s="40"/>
      <c r="E1457" s="40"/>
      <c r="F1457" s="12"/>
      <c r="G1457" s="18"/>
      <c r="H1457" s="12"/>
      <c r="I1457" s="39"/>
      <c r="J1457" s="39"/>
      <c r="K1457" s="39"/>
      <c r="M1457" s="19"/>
    </row>
    <row r="1458" spans="2:13" s="11" customFormat="1" x14ac:dyDescent="0.2">
      <c r="B1458" s="24">
        <v>1991.05</v>
      </c>
      <c r="C1458" s="25">
        <v>377.99</v>
      </c>
      <c r="D1458" s="40"/>
      <c r="E1458" s="40"/>
      <c r="F1458" s="12"/>
      <c r="G1458" s="18"/>
      <c r="H1458" s="12"/>
      <c r="I1458" s="39"/>
      <c r="J1458" s="39"/>
      <c r="K1458" s="39"/>
      <c r="M1458" s="19"/>
    </row>
    <row r="1459" spans="2:13" s="11" customFormat="1" x14ac:dyDescent="0.2">
      <c r="B1459" s="24">
        <v>1991.06</v>
      </c>
      <c r="C1459" s="25">
        <v>378.29</v>
      </c>
      <c r="D1459" s="40"/>
      <c r="E1459" s="40"/>
      <c r="F1459" s="12"/>
      <c r="G1459" s="18"/>
      <c r="H1459" s="12"/>
      <c r="I1459" s="39"/>
      <c r="J1459" s="39"/>
      <c r="K1459" s="39"/>
      <c r="M1459" s="19"/>
    </row>
    <row r="1460" spans="2:13" s="11" customFormat="1" x14ac:dyDescent="0.2">
      <c r="B1460" s="24">
        <v>1991.07</v>
      </c>
      <c r="C1460" s="25">
        <v>380.23</v>
      </c>
      <c r="D1460" s="40"/>
      <c r="E1460" s="40"/>
      <c r="F1460" s="12"/>
      <c r="G1460" s="18"/>
      <c r="H1460" s="12"/>
      <c r="I1460" s="39"/>
      <c r="J1460" s="39"/>
      <c r="K1460" s="39"/>
      <c r="M1460" s="19"/>
    </row>
    <row r="1461" spans="2:13" s="11" customFormat="1" x14ac:dyDescent="0.2">
      <c r="B1461" s="24">
        <v>1991.08</v>
      </c>
      <c r="C1461" s="25">
        <v>389.4</v>
      </c>
      <c r="D1461" s="40"/>
      <c r="E1461" s="40"/>
      <c r="F1461" s="12"/>
      <c r="G1461" s="18"/>
      <c r="H1461" s="12"/>
      <c r="I1461" s="39"/>
      <c r="J1461" s="39"/>
      <c r="K1461" s="39"/>
      <c r="M1461" s="19"/>
    </row>
    <row r="1462" spans="2:13" s="11" customFormat="1" x14ac:dyDescent="0.2">
      <c r="B1462" s="24">
        <v>1991.09</v>
      </c>
      <c r="C1462" s="25">
        <v>387.2</v>
      </c>
      <c r="D1462" s="40"/>
      <c r="E1462" s="40"/>
      <c r="F1462" s="12"/>
      <c r="G1462" s="18"/>
      <c r="H1462" s="12"/>
      <c r="I1462" s="39"/>
      <c r="J1462" s="39"/>
      <c r="K1462" s="39"/>
      <c r="M1462" s="19"/>
    </row>
    <row r="1463" spans="2:13" s="11" customFormat="1" x14ac:dyDescent="0.2">
      <c r="B1463" s="24">
        <v>1991.1</v>
      </c>
      <c r="C1463" s="25">
        <v>386.88</v>
      </c>
      <c r="D1463" s="40"/>
      <c r="E1463" s="40"/>
      <c r="F1463" s="12"/>
      <c r="G1463" s="18"/>
      <c r="H1463" s="12"/>
      <c r="I1463" s="39"/>
      <c r="J1463" s="39"/>
      <c r="K1463" s="39"/>
      <c r="M1463" s="19"/>
    </row>
    <row r="1464" spans="2:13" s="11" customFormat="1" x14ac:dyDescent="0.2">
      <c r="B1464" s="24">
        <v>1991.11</v>
      </c>
      <c r="C1464" s="25">
        <v>385.92</v>
      </c>
      <c r="D1464" s="40"/>
      <c r="E1464" s="40"/>
      <c r="F1464" s="12"/>
      <c r="G1464" s="18"/>
      <c r="H1464" s="12"/>
      <c r="I1464" s="39"/>
      <c r="J1464" s="39"/>
      <c r="K1464" s="39"/>
      <c r="M1464" s="19"/>
    </row>
    <row r="1465" spans="2:13" s="11" customFormat="1" x14ac:dyDescent="0.2">
      <c r="B1465" s="24">
        <v>1991.12</v>
      </c>
      <c r="C1465" s="25">
        <v>388.51</v>
      </c>
      <c r="D1465" s="40"/>
      <c r="E1465" s="40"/>
      <c r="F1465" s="12"/>
      <c r="G1465" s="18"/>
      <c r="H1465" s="12"/>
      <c r="I1465" s="39"/>
      <c r="J1465" s="39"/>
      <c r="K1465" s="39"/>
      <c r="M1465" s="19"/>
    </row>
    <row r="1466" spans="2:13" s="11" customFormat="1" x14ac:dyDescent="0.2">
      <c r="B1466" s="24">
        <v>1992.01</v>
      </c>
      <c r="C1466" s="25">
        <v>416.08</v>
      </c>
      <c r="D1466" s="40"/>
      <c r="E1466" s="40"/>
      <c r="F1466" s="12"/>
      <c r="G1466" s="18"/>
      <c r="H1466" s="12"/>
      <c r="I1466" s="39"/>
      <c r="J1466" s="39"/>
      <c r="K1466" s="39"/>
      <c r="M1466" s="19"/>
    </row>
    <row r="1467" spans="2:13" s="11" customFormat="1" x14ac:dyDescent="0.2">
      <c r="B1467" s="24">
        <v>1992.02</v>
      </c>
      <c r="C1467" s="25">
        <v>412.56</v>
      </c>
      <c r="D1467" s="40"/>
      <c r="E1467" s="40"/>
      <c r="F1467" s="12"/>
      <c r="G1467" s="18"/>
      <c r="H1467" s="12"/>
      <c r="I1467" s="39"/>
      <c r="J1467" s="39"/>
      <c r="K1467" s="39"/>
      <c r="M1467" s="19"/>
    </row>
    <row r="1468" spans="2:13" s="11" customFormat="1" x14ac:dyDescent="0.2">
      <c r="B1468" s="24">
        <v>1992.03</v>
      </c>
      <c r="C1468" s="25">
        <v>407.36</v>
      </c>
      <c r="D1468" s="40"/>
      <c r="E1468" s="40"/>
      <c r="F1468" s="12"/>
      <c r="G1468" s="18"/>
      <c r="H1468" s="12"/>
      <c r="I1468" s="39"/>
      <c r="J1468" s="39"/>
      <c r="K1468" s="39"/>
      <c r="M1468" s="19"/>
    </row>
    <row r="1469" spans="2:13" s="11" customFormat="1" x14ac:dyDescent="0.2">
      <c r="B1469" s="24">
        <v>1992.04</v>
      </c>
      <c r="C1469" s="25">
        <v>407.41</v>
      </c>
      <c r="D1469" s="40"/>
      <c r="E1469" s="40"/>
      <c r="F1469" s="12"/>
      <c r="G1469" s="18"/>
      <c r="H1469" s="12"/>
      <c r="I1469" s="39"/>
      <c r="J1469" s="39"/>
      <c r="K1469" s="39"/>
      <c r="M1469" s="19"/>
    </row>
    <row r="1470" spans="2:13" s="11" customFormat="1" x14ac:dyDescent="0.2">
      <c r="B1470" s="24">
        <v>1992.05</v>
      </c>
      <c r="C1470" s="25">
        <v>414.81</v>
      </c>
      <c r="D1470" s="40"/>
      <c r="E1470" s="40"/>
      <c r="F1470" s="12"/>
      <c r="G1470" s="18"/>
      <c r="H1470" s="12"/>
      <c r="I1470" s="39"/>
      <c r="J1470" s="39"/>
      <c r="K1470" s="39"/>
      <c r="M1470" s="19"/>
    </row>
    <row r="1471" spans="2:13" s="11" customFormat="1" x14ac:dyDescent="0.2">
      <c r="B1471" s="24">
        <v>1992.06</v>
      </c>
      <c r="C1471" s="25">
        <v>408.27</v>
      </c>
      <c r="D1471" s="40"/>
      <c r="E1471" s="40"/>
      <c r="F1471" s="12"/>
      <c r="G1471" s="18"/>
      <c r="H1471" s="12"/>
      <c r="I1471" s="39"/>
      <c r="J1471" s="39"/>
      <c r="K1471" s="39"/>
      <c r="M1471" s="19"/>
    </row>
    <row r="1472" spans="2:13" s="11" customFormat="1" x14ac:dyDescent="0.2">
      <c r="B1472" s="24">
        <v>1992.07</v>
      </c>
      <c r="C1472" s="25">
        <v>415.05</v>
      </c>
      <c r="D1472" s="40"/>
      <c r="E1472" s="40"/>
      <c r="F1472" s="12"/>
      <c r="G1472" s="18"/>
      <c r="H1472" s="12"/>
      <c r="I1472" s="39"/>
      <c r="J1472" s="39"/>
      <c r="K1472" s="39"/>
      <c r="M1472" s="19"/>
    </row>
    <row r="1473" spans="2:13" s="11" customFormat="1" x14ac:dyDescent="0.2">
      <c r="B1473" s="24">
        <v>1992.08</v>
      </c>
      <c r="C1473" s="25">
        <v>417.93</v>
      </c>
      <c r="D1473" s="40"/>
      <c r="E1473" s="40"/>
      <c r="F1473" s="12"/>
      <c r="G1473" s="18"/>
      <c r="H1473" s="12"/>
      <c r="I1473" s="39"/>
      <c r="J1473" s="39"/>
      <c r="K1473" s="39"/>
      <c r="M1473" s="19"/>
    </row>
    <row r="1474" spans="2:13" s="11" customFormat="1" x14ac:dyDescent="0.2">
      <c r="B1474" s="24">
        <v>1992.09</v>
      </c>
      <c r="C1474" s="25">
        <v>418.48</v>
      </c>
      <c r="D1474" s="40"/>
      <c r="E1474" s="40"/>
      <c r="F1474" s="12"/>
      <c r="G1474" s="18"/>
      <c r="H1474" s="12"/>
      <c r="I1474" s="39"/>
      <c r="J1474" s="39"/>
      <c r="K1474" s="39"/>
      <c r="M1474" s="19"/>
    </row>
    <row r="1475" spans="2:13" s="11" customFormat="1" x14ac:dyDescent="0.2">
      <c r="B1475" s="24">
        <v>1992.1</v>
      </c>
      <c r="C1475" s="25">
        <v>412.5</v>
      </c>
      <c r="D1475" s="40"/>
      <c r="E1475" s="40"/>
      <c r="F1475" s="12"/>
      <c r="G1475" s="18"/>
      <c r="H1475" s="12"/>
      <c r="I1475" s="39"/>
      <c r="J1475" s="39"/>
      <c r="K1475" s="39"/>
      <c r="M1475" s="19"/>
    </row>
    <row r="1476" spans="2:13" s="11" customFormat="1" x14ac:dyDescent="0.2">
      <c r="B1476" s="24">
        <v>1992.11</v>
      </c>
      <c r="C1476" s="25">
        <v>422.84</v>
      </c>
      <c r="D1476" s="40"/>
      <c r="E1476" s="40"/>
      <c r="F1476" s="12"/>
      <c r="G1476" s="18"/>
      <c r="H1476" s="12"/>
      <c r="I1476" s="39"/>
      <c r="J1476" s="39"/>
      <c r="K1476" s="39"/>
      <c r="M1476" s="19"/>
    </row>
    <row r="1477" spans="2:13" s="11" customFormat="1" x14ac:dyDescent="0.2">
      <c r="B1477" s="24">
        <v>1992.12</v>
      </c>
      <c r="C1477" s="25">
        <v>435.64</v>
      </c>
      <c r="D1477" s="40"/>
      <c r="E1477" s="40"/>
      <c r="F1477" s="12"/>
      <c r="G1477" s="18"/>
      <c r="H1477" s="12"/>
      <c r="I1477" s="39"/>
      <c r="J1477" s="39"/>
      <c r="K1477" s="39"/>
      <c r="M1477" s="19"/>
    </row>
    <row r="1478" spans="2:13" s="11" customFormat="1" x14ac:dyDescent="0.2">
      <c r="B1478" s="24">
        <v>1993.01</v>
      </c>
      <c r="C1478" s="25">
        <v>435.23</v>
      </c>
      <c r="D1478" s="40"/>
      <c r="E1478" s="40"/>
      <c r="F1478" s="12"/>
      <c r="G1478" s="18"/>
      <c r="H1478" s="12"/>
      <c r="I1478" s="39"/>
      <c r="J1478" s="39"/>
      <c r="K1478" s="39"/>
      <c r="M1478" s="19"/>
    </row>
    <row r="1479" spans="2:13" s="11" customFormat="1" x14ac:dyDescent="0.2">
      <c r="B1479" s="24">
        <v>1993.02</v>
      </c>
      <c r="C1479" s="25">
        <v>441.7</v>
      </c>
      <c r="D1479" s="40"/>
      <c r="E1479" s="40"/>
      <c r="F1479" s="12"/>
      <c r="G1479" s="18"/>
      <c r="H1479" s="12"/>
      <c r="I1479" s="39"/>
      <c r="J1479" s="39"/>
      <c r="K1479" s="39"/>
      <c r="M1479" s="19"/>
    </row>
    <row r="1480" spans="2:13" s="11" customFormat="1" x14ac:dyDescent="0.2">
      <c r="B1480" s="24">
        <v>1993.03</v>
      </c>
      <c r="C1480" s="25">
        <v>450.16</v>
      </c>
      <c r="D1480" s="40"/>
      <c r="E1480" s="40"/>
      <c r="F1480" s="12"/>
      <c r="G1480" s="18"/>
      <c r="H1480" s="12"/>
      <c r="I1480" s="39"/>
      <c r="J1480" s="39"/>
      <c r="K1480" s="39"/>
      <c r="M1480" s="19"/>
    </row>
    <row r="1481" spans="2:13" s="11" customFormat="1" x14ac:dyDescent="0.2">
      <c r="B1481" s="24">
        <v>1993.04</v>
      </c>
      <c r="C1481" s="25">
        <v>443.08</v>
      </c>
      <c r="D1481" s="40"/>
      <c r="E1481" s="40"/>
      <c r="F1481" s="12"/>
      <c r="G1481" s="18"/>
      <c r="H1481" s="12"/>
      <c r="I1481" s="39"/>
      <c r="J1481" s="39"/>
      <c r="K1481" s="39"/>
      <c r="M1481" s="19"/>
    </row>
    <row r="1482" spans="2:13" s="11" customFormat="1" x14ac:dyDescent="0.2">
      <c r="B1482" s="24">
        <v>1993.05</v>
      </c>
      <c r="C1482" s="25">
        <v>445.25</v>
      </c>
      <c r="D1482" s="40"/>
      <c r="E1482" s="40"/>
      <c r="F1482" s="12"/>
      <c r="G1482" s="18"/>
      <c r="H1482" s="12"/>
      <c r="I1482" s="39"/>
      <c r="J1482" s="39"/>
      <c r="K1482" s="39"/>
      <c r="M1482" s="19"/>
    </row>
    <row r="1483" spans="2:13" s="11" customFormat="1" x14ac:dyDescent="0.2">
      <c r="B1483" s="24">
        <v>1993.06</v>
      </c>
      <c r="C1483" s="25">
        <v>448.06</v>
      </c>
      <c r="D1483" s="40"/>
      <c r="E1483" s="40"/>
      <c r="F1483" s="12"/>
      <c r="G1483" s="18"/>
      <c r="H1483" s="12"/>
      <c r="I1483" s="39"/>
      <c r="J1483" s="39"/>
      <c r="K1483" s="39"/>
      <c r="M1483" s="19"/>
    </row>
    <row r="1484" spans="2:13" s="11" customFormat="1" x14ac:dyDescent="0.2">
      <c r="B1484" s="24">
        <v>1993.07</v>
      </c>
      <c r="C1484" s="25">
        <v>447.29</v>
      </c>
      <c r="D1484" s="40"/>
      <c r="E1484" s="40"/>
      <c r="F1484" s="12"/>
      <c r="G1484" s="18"/>
      <c r="H1484" s="12"/>
      <c r="I1484" s="39"/>
      <c r="J1484" s="39"/>
      <c r="K1484" s="39"/>
      <c r="M1484" s="19"/>
    </row>
    <row r="1485" spans="2:13" s="11" customFormat="1" x14ac:dyDescent="0.2">
      <c r="B1485" s="24">
        <v>1993.08</v>
      </c>
      <c r="C1485" s="25">
        <v>454.13</v>
      </c>
      <c r="D1485" s="40"/>
      <c r="E1485" s="40"/>
      <c r="F1485" s="12"/>
      <c r="G1485" s="18"/>
      <c r="H1485" s="12"/>
      <c r="I1485" s="39"/>
      <c r="J1485" s="39"/>
      <c r="K1485" s="39"/>
      <c r="M1485" s="19"/>
    </row>
    <row r="1486" spans="2:13" s="11" customFormat="1" x14ac:dyDescent="0.2">
      <c r="B1486" s="24">
        <v>1993.09</v>
      </c>
      <c r="C1486" s="25">
        <v>459.24</v>
      </c>
      <c r="D1486" s="40"/>
      <c r="E1486" s="40"/>
      <c r="F1486" s="12"/>
      <c r="G1486" s="18"/>
      <c r="H1486" s="12"/>
      <c r="I1486" s="39"/>
      <c r="J1486" s="39"/>
      <c r="K1486" s="39"/>
      <c r="M1486" s="19"/>
    </row>
    <row r="1487" spans="2:13" s="11" customFormat="1" x14ac:dyDescent="0.2">
      <c r="B1487" s="24">
        <v>1993.1</v>
      </c>
      <c r="C1487" s="25">
        <v>463.9</v>
      </c>
      <c r="D1487" s="40"/>
      <c r="E1487" s="40"/>
      <c r="F1487" s="12"/>
      <c r="G1487" s="18"/>
      <c r="H1487" s="12"/>
      <c r="I1487" s="39"/>
      <c r="J1487" s="39"/>
      <c r="K1487" s="39"/>
      <c r="M1487" s="19"/>
    </row>
    <row r="1488" spans="2:13" s="11" customFormat="1" x14ac:dyDescent="0.2">
      <c r="B1488" s="24">
        <v>1993.11</v>
      </c>
      <c r="C1488" s="25">
        <v>462.89</v>
      </c>
      <c r="D1488" s="40"/>
      <c r="E1488" s="40"/>
      <c r="F1488" s="12"/>
      <c r="G1488" s="18"/>
      <c r="H1488" s="12"/>
      <c r="I1488" s="39"/>
      <c r="J1488" s="39"/>
      <c r="K1488" s="39"/>
      <c r="M1488" s="19"/>
    </row>
    <row r="1489" spans="2:13" s="11" customFormat="1" x14ac:dyDescent="0.2">
      <c r="B1489" s="24">
        <v>1993.12</v>
      </c>
      <c r="C1489" s="25">
        <v>465.95</v>
      </c>
      <c r="D1489" s="40"/>
      <c r="E1489" s="40"/>
      <c r="F1489" s="12"/>
      <c r="G1489" s="18"/>
      <c r="H1489" s="12"/>
      <c r="I1489" s="39"/>
      <c r="J1489" s="39"/>
      <c r="K1489" s="39"/>
      <c r="M1489" s="19"/>
    </row>
    <row r="1490" spans="2:13" s="11" customFormat="1" x14ac:dyDescent="0.2">
      <c r="B1490" s="24">
        <v>1994.01</v>
      </c>
      <c r="C1490" s="25">
        <v>472.99</v>
      </c>
      <c r="D1490" s="40"/>
      <c r="E1490" s="40"/>
      <c r="F1490" s="12"/>
      <c r="G1490" s="18"/>
      <c r="H1490" s="12"/>
      <c r="I1490" s="39"/>
      <c r="J1490" s="39"/>
      <c r="K1490" s="39"/>
      <c r="M1490" s="19"/>
    </row>
    <row r="1491" spans="2:13" s="11" customFormat="1" x14ac:dyDescent="0.2">
      <c r="B1491" s="24">
        <v>1994.02</v>
      </c>
      <c r="C1491" s="25">
        <v>471.58</v>
      </c>
      <c r="D1491" s="40"/>
      <c r="E1491" s="40"/>
      <c r="F1491" s="12"/>
      <c r="G1491" s="18"/>
      <c r="H1491" s="12"/>
      <c r="I1491" s="39"/>
      <c r="J1491" s="39"/>
      <c r="K1491" s="39"/>
      <c r="M1491" s="19"/>
    </row>
    <row r="1492" spans="2:13" s="11" customFormat="1" x14ac:dyDescent="0.2">
      <c r="B1492" s="24">
        <v>1994.03</v>
      </c>
      <c r="C1492" s="25">
        <v>463.81</v>
      </c>
      <c r="D1492" s="40"/>
      <c r="E1492" s="40"/>
      <c r="F1492" s="12"/>
      <c r="G1492" s="18"/>
      <c r="H1492" s="12"/>
      <c r="I1492" s="39"/>
      <c r="J1492" s="39"/>
      <c r="K1492" s="39"/>
      <c r="M1492" s="19"/>
    </row>
    <row r="1493" spans="2:13" s="11" customFormat="1" x14ac:dyDescent="0.2">
      <c r="B1493" s="24">
        <v>1994.04</v>
      </c>
      <c r="C1493" s="25">
        <v>447.23</v>
      </c>
      <c r="D1493" s="40"/>
      <c r="E1493" s="40"/>
      <c r="F1493" s="12"/>
      <c r="G1493" s="18"/>
      <c r="H1493" s="12"/>
      <c r="I1493" s="39"/>
      <c r="J1493" s="39"/>
      <c r="K1493" s="39"/>
      <c r="M1493" s="19"/>
    </row>
    <row r="1494" spans="2:13" s="11" customFormat="1" x14ac:dyDescent="0.2">
      <c r="B1494" s="24">
        <v>1994.05</v>
      </c>
      <c r="C1494" s="25">
        <v>450.9</v>
      </c>
      <c r="D1494" s="40"/>
      <c r="E1494" s="40"/>
      <c r="F1494" s="12"/>
      <c r="G1494" s="18"/>
      <c r="H1494" s="12"/>
      <c r="I1494" s="39"/>
      <c r="J1494" s="39"/>
      <c r="K1494" s="39"/>
      <c r="M1494" s="19"/>
    </row>
    <row r="1495" spans="2:13" s="11" customFormat="1" x14ac:dyDescent="0.2">
      <c r="B1495" s="24">
        <v>1994.06</v>
      </c>
      <c r="C1495" s="25">
        <v>454.83</v>
      </c>
      <c r="D1495" s="40"/>
      <c r="E1495" s="40"/>
      <c r="F1495" s="12"/>
      <c r="G1495" s="18"/>
      <c r="H1495" s="12"/>
      <c r="I1495" s="39"/>
      <c r="J1495" s="39"/>
      <c r="K1495" s="39"/>
      <c r="M1495" s="19"/>
    </row>
    <row r="1496" spans="2:13" s="11" customFormat="1" x14ac:dyDescent="0.2">
      <c r="B1496" s="24">
        <v>1994.07</v>
      </c>
      <c r="C1496" s="25">
        <v>451.4</v>
      </c>
      <c r="D1496" s="40"/>
      <c r="E1496" s="40"/>
      <c r="F1496" s="12"/>
      <c r="G1496" s="18"/>
      <c r="H1496" s="12"/>
      <c r="I1496" s="39"/>
      <c r="J1496" s="39"/>
      <c r="K1496" s="39"/>
      <c r="M1496" s="19"/>
    </row>
    <row r="1497" spans="2:13" s="11" customFormat="1" x14ac:dyDescent="0.2">
      <c r="B1497" s="24">
        <v>1994.08</v>
      </c>
      <c r="C1497" s="25">
        <v>464.24</v>
      </c>
      <c r="D1497" s="40"/>
      <c r="E1497" s="40"/>
      <c r="F1497" s="12"/>
      <c r="G1497" s="18"/>
      <c r="H1497" s="12"/>
      <c r="I1497" s="39"/>
      <c r="J1497" s="39"/>
      <c r="K1497" s="39"/>
      <c r="M1497" s="19"/>
    </row>
    <row r="1498" spans="2:13" s="11" customFormat="1" x14ac:dyDescent="0.2">
      <c r="B1498" s="24">
        <v>1994.09</v>
      </c>
      <c r="C1498" s="25">
        <v>466.96</v>
      </c>
      <c r="D1498" s="40"/>
      <c r="E1498" s="40"/>
      <c r="F1498" s="12"/>
      <c r="G1498" s="18"/>
      <c r="H1498" s="12"/>
      <c r="I1498" s="39"/>
      <c r="J1498" s="39"/>
      <c r="K1498" s="39"/>
      <c r="M1498" s="19"/>
    </row>
    <row r="1499" spans="2:13" s="11" customFormat="1" x14ac:dyDescent="0.2">
      <c r="B1499" s="24">
        <v>1994.1</v>
      </c>
      <c r="C1499" s="25">
        <v>463.81</v>
      </c>
      <c r="D1499" s="40"/>
      <c r="E1499" s="40"/>
      <c r="F1499" s="12"/>
      <c r="G1499" s="18"/>
      <c r="H1499" s="12"/>
      <c r="I1499" s="39"/>
      <c r="J1499" s="39"/>
      <c r="K1499" s="39"/>
      <c r="M1499" s="19"/>
    </row>
    <row r="1500" spans="2:13" s="11" customFormat="1" x14ac:dyDescent="0.2">
      <c r="B1500" s="24">
        <v>1994.11</v>
      </c>
      <c r="C1500" s="25">
        <v>461.01</v>
      </c>
      <c r="D1500" s="40"/>
      <c r="E1500" s="40"/>
      <c r="F1500" s="12"/>
      <c r="G1500" s="18"/>
      <c r="H1500" s="12"/>
      <c r="I1500" s="39"/>
      <c r="J1500" s="39"/>
      <c r="K1500" s="39"/>
      <c r="M1500" s="19"/>
    </row>
    <row r="1501" spans="2:13" s="11" customFormat="1" x14ac:dyDescent="0.2">
      <c r="B1501" s="24">
        <v>1994.12</v>
      </c>
      <c r="C1501" s="25">
        <v>455.19</v>
      </c>
      <c r="D1501" s="40"/>
      <c r="E1501" s="40"/>
      <c r="F1501" s="12"/>
      <c r="G1501" s="18"/>
      <c r="H1501" s="12"/>
      <c r="I1501" s="39"/>
      <c r="J1501" s="39"/>
      <c r="K1501" s="39"/>
      <c r="M1501" s="19"/>
    </row>
    <row r="1502" spans="2:13" s="11" customFormat="1" x14ac:dyDescent="0.2">
      <c r="B1502" s="24">
        <v>1995.01</v>
      </c>
      <c r="C1502" s="25">
        <v>465.25</v>
      </c>
      <c r="D1502" s="40"/>
      <c r="E1502" s="40"/>
      <c r="F1502" s="12"/>
      <c r="G1502" s="18"/>
      <c r="H1502" s="12"/>
      <c r="I1502" s="39"/>
      <c r="J1502" s="39"/>
      <c r="K1502" s="39"/>
      <c r="M1502" s="19"/>
    </row>
    <row r="1503" spans="2:13" s="11" customFormat="1" x14ac:dyDescent="0.2">
      <c r="B1503" s="24">
        <v>1995.02</v>
      </c>
      <c r="C1503" s="25">
        <v>481.92</v>
      </c>
      <c r="D1503" s="40"/>
      <c r="E1503" s="40"/>
      <c r="F1503" s="12"/>
      <c r="G1503" s="18"/>
      <c r="H1503" s="12"/>
      <c r="I1503" s="39"/>
      <c r="J1503" s="39"/>
      <c r="K1503" s="39"/>
      <c r="M1503" s="19"/>
    </row>
    <row r="1504" spans="2:13" s="11" customFormat="1" x14ac:dyDescent="0.2">
      <c r="B1504" s="24">
        <v>1995.03</v>
      </c>
      <c r="C1504" s="25">
        <v>493.15</v>
      </c>
      <c r="D1504" s="40"/>
      <c r="E1504" s="40"/>
      <c r="F1504" s="12"/>
      <c r="G1504" s="18"/>
      <c r="H1504" s="12"/>
      <c r="I1504" s="39"/>
      <c r="J1504" s="39"/>
      <c r="K1504" s="39"/>
      <c r="M1504" s="19"/>
    </row>
    <row r="1505" spans="2:13" s="11" customFormat="1" x14ac:dyDescent="0.2">
      <c r="B1505" s="24">
        <v>1995.04</v>
      </c>
      <c r="C1505" s="25">
        <v>507.91</v>
      </c>
      <c r="D1505" s="40"/>
      <c r="E1505" s="40"/>
      <c r="F1505" s="12"/>
      <c r="G1505" s="18"/>
      <c r="H1505" s="12"/>
      <c r="I1505" s="39"/>
      <c r="J1505" s="39"/>
      <c r="K1505" s="39"/>
      <c r="M1505" s="19"/>
    </row>
    <row r="1506" spans="2:13" s="11" customFormat="1" x14ac:dyDescent="0.2">
      <c r="B1506" s="24">
        <v>1995.05</v>
      </c>
      <c r="C1506" s="25">
        <v>523.80999999999995</v>
      </c>
      <c r="D1506" s="40"/>
      <c r="E1506" s="40"/>
      <c r="F1506" s="12"/>
      <c r="G1506" s="18"/>
      <c r="H1506" s="12"/>
      <c r="I1506" s="39"/>
      <c r="J1506" s="39"/>
      <c r="K1506" s="39"/>
      <c r="M1506" s="19"/>
    </row>
    <row r="1507" spans="2:13" s="11" customFormat="1" x14ac:dyDescent="0.2">
      <c r="B1507" s="24">
        <v>1995.06</v>
      </c>
      <c r="C1507" s="25">
        <v>539.35</v>
      </c>
      <c r="D1507" s="40"/>
      <c r="E1507" s="40"/>
      <c r="F1507" s="12"/>
      <c r="G1507" s="18"/>
      <c r="H1507" s="12"/>
      <c r="I1507" s="39"/>
      <c r="J1507" s="39"/>
      <c r="K1507" s="39"/>
      <c r="M1507" s="19"/>
    </row>
    <row r="1508" spans="2:13" s="11" customFormat="1" x14ac:dyDescent="0.2">
      <c r="B1508" s="24">
        <v>1995.07</v>
      </c>
      <c r="C1508" s="25">
        <v>557.37</v>
      </c>
      <c r="D1508" s="40"/>
      <c r="E1508" s="40"/>
      <c r="F1508" s="12"/>
      <c r="G1508" s="18"/>
      <c r="H1508" s="12"/>
      <c r="I1508" s="39"/>
      <c r="J1508" s="39"/>
      <c r="K1508" s="39"/>
      <c r="M1508" s="19"/>
    </row>
    <row r="1509" spans="2:13" s="11" customFormat="1" x14ac:dyDescent="0.2">
      <c r="B1509" s="24">
        <v>1995.08</v>
      </c>
      <c r="C1509" s="25">
        <v>559.11</v>
      </c>
      <c r="D1509" s="40"/>
      <c r="E1509" s="40"/>
      <c r="F1509" s="12"/>
      <c r="G1509" s="18"/>
      <c r="H1509" s="12"/>
      <c r="I1509" s="39"/>
      <c r="J1509" s="39"/>
      <c r="K1509" s="39"/>
      <c r="M1509" s="19"/>
    </row>
    <row r="1510" spans="2:13" s="11" customFormat="1" x14ac:dyDescent="0.2">
      <c r="B1510" s="24">
        <v>1995.09</v>
      </c>
      <c r="C1510" s="25">
        <v>578.77</v>
      </c>
      <c r="D1510" s="40"/>
      <c r="E1510" s="40"/>
      <c r="F1510" s="12"/>
      <c r="G1510" s="18"/>
      <c r="H1510" s="12"/>
      <c r="I1510" s="39"/>
      <c r="J1510" s="39"/>
      <c r="K1510" s="39"/>
      <c r="M1510" s="19"/>
    </row>
    <row r="1511" spans="2:13" s="11" customFormat="1" x14ac:dyDescent="0.2">
      <c r="B1511" s="24">
        <v>1995.1</v>
      </c>
      <c r="C1511" s="25">
        <v>582.91999999999996</v>
      </c>
      <c r="D1511" s="40"/>
      <c r="E1511" s="40"/>
      <c r="F1511" s="12"/>
      <c r="G1511" s="18"/>
      <c r="H1511" s="12"/>
      <c r="I1511" s="39"/>
      <c r="J1511" s="39"/>
      <c r="K1511" s="39"/>
      <c r="M1511" s="19"/>
    </row>
    <row r="1512" spans="2:13" s="11" customFormat="1" x14ac:dyDescent="0.2">
      <c r="B1512" s="24">
        <v>1995.11</v>
      </c>
      <c r="C1512" s="25">
        <v>595.53</v>
      </c>
      <c r="D1512" s="40"/>
      <c r="E1512" s="40"/>
      <c r="F1512" s="12"/>
      <c r="G1512" s="18"/>
      <c r="H1512" s="12"/>
      <c r="I1512" s="39"/>
      <c r="J1512" s="39"/>
      <c r="K1512" s="39"/>
      <c r="M1512" s="19"/>
    </row>
    <row r="1513" spans="2:13" s="11" customFormat="1" x14ac:dyDescent="0.2">
      <c r="B1513" s="24">
        <v>1995.12</v>
      </c>
      <c r="C1513" s="25">
        <v>614.57000000000005</v>
      </c>
      <c r="D1513" s="40"/>
      <c r="E1513" s="40"/>
      <c r="F1513" s="12"/>
      <c r="G1513" s="18"/>
      <c r="H1513" s="12"/>
      <c r="I1513" s="39"/>
      <c r="J1513" s="39"/>
      <c r="K1513" s="39"/>
      <c r="M1513" s="19"/>
    </row>
    <row r="1514" spans="2:13" s="11" customFormat="1" x14ac:dyDescent="0.2">
      <c r="B1514" s="24">
        <v>1996.01</v>
      </c>
      <c r="C1514" s="25">
        <v>614.41999999999996</v>
      </c>
      <c r="D1514" s="40"/>
      <c r="E1514" s="40"/>
      <c r="F1514" s="12"/>
      <c r="G1514" s="18"/>
      <c r="H1514" s="12"/>
      <c r="I1514" s="39"/>
      <c r="J1514" s="39"/>
      <c r="K1514" s="39"/>
      <c r="M1514" s="19"/>
    </row>
    <row r="1515" spans="2:13" s="11" customFormat="1" x14ac:dyDescent="0.2">
      <c r="B1515" s="24">
        <v>1996.02</v>
      </c>
      <c r="C1515" s="25">
        <v>649.54</v>
      </c>
      <c r="D1515" s="40"/>
      <c r="E1515" s="40"/>
      <c r="F1515" s="12"/>
      <c r="G1515" s="18"/>
      <c r="H1515" s="12"/>
      <c r="I1515" s="39"/>
      <c r="J1515" s="39"/>
      <c r="K1515" s="39"/>
      <c r="M1515" s="19"/>
    </row>
    <row r="1516" spans="2:13" s="11" customFormat="1" x14ac:dyDescent="0.2">
      <c r="B1516" s="24">
        <v>1996.03</v>
      </c>
      <c r="C1516" s="25">
        <v>647.07000000000005</v>
      </c>
      <c r="D1516" s="40"/>
      <c r="E1516" s="40"/>
      <c r="F1516" s="12"/>
      <c r="G1516" s="18"/>
      <c r="H1516" s="12"/>
      <c r="I1516" s="39"/>
      <c r="J1516" s="39"/>
      <c r="K1516" s="39"/>
      <c r="M1516" s="19"/>
    </row>
    <row r="1517" spans="2:13" s="11" customFormat="1" x14ac:dyDescent="0.2">
      <c r="B1517" s="24">
        <v>1996.04</v>
      </c>
      <c r="C1517" s="25">
        <v>647.16999999999996</v>
      </c>
      <c r="D1517" s="40"/>
      <c r="E1517" s="40"/>
      <c r="F1517" s="12"/>
      <c r="G1517" s="18"/>
      <c r="H1517" s="12"/>
      <c r="I1517" s="39"/>
      <c r="J1517" s="39"/>
      <c r="K1517" s="39"/>
      <c r="M1517" s="19"/>
    </row>
    <row r="1518" spans="2:13" s="11" customFormat="1" x14ac:dyDescent="0.2">
      <c r="B1518" s="24">
        <v>1996.05</v>
      </c>
      <c r="C1518" s="25">
        <v>661.23</v>
      </c>
      <c r="D1518" s="40"/>
      <c r="E1518" s="40"/>
      <c r="F1518" s="12"/>
      <c r="G1518" s="18"/>
      <c r="H1518" s="12"/>
      <c r="I1518" s="39"/>
      <c r="J1518" s="39"/>
      <c r="K1518" s="39"/>
      <c r="M1518" s="19"/>
    </row>
    <row r="1519" spans="2:13" s="11" customFormat="1" x14ac:dyDescent="0.2">
      <c r="B1519" s="24">
        <v>1996.06</v>
      </c>
      <c r="C1519" s="25">
        <v>668.5</v>
      </c>
      <c r="D1519" s="40"/>
      <c r="E1519" s="40"/>
      <c r="F1519" s="12"/>
      <c r="G1519" s="18"/>
      <c r="H1519" s="12"/>
      <c r="I1519" s="39"/>
      <c r="J1519" s="39"/>
      <c r="K1519" s="39"/>
      <c r="M1519" s="19"/>
    </row>
    <row r="1520" spans="2:13" s="11" customFormat="1" x14ac:dyDescent="0.2">
      <c r="B1520" s="24">
        <v>1996.07</v>
      </c>
      <c r="C1520" s="25">
        <v>644.07000000000005</v>
      </c>
      <c r="D1520" s="40"/>
      <c r="E1520" s="40"/>
      <c r="F1520" s="12"/>
      <c r="G1520" s="18"/>
      <c r="H1520" s="12"/>
      <c r="I1520" s="39"/>
      <c r="J1520" s="39"/>
      <c r="K1520" s="39"/>
      <c r="M1520" s="19"/>
    </row>
    <row r="1521" spans="2:13" s="11" customFormat="1" x14ac:dyDescent="0.2">
      <c r="B1521" s="24">
        <v>1996.08</v>
      </c>
      <c r="C1521" s="25">
        <v>662.68</v>
      </c>
      <c r="D1521" s="40"/>
      <c r="E1521" s="40"/>
      <c r="F1521" s="12"/>
      <c r="G1521" s="18"/>
      <c r="H1521" s="12"/>
      <c r="I1521" s="39"/>
      <c r="J1521" s="39"/>
      <c r="K1521" s="39"/>
      <c r="M1521" s="19"/>
    </row>
    <row r="1522" spans="2:13" s="11" customFormat="1" x14ac:dyDescent="0.2">
      <c r="B1522" s="24">
        <v>1996.09</v>
      </c>
      <c r="C1522" s="25">
        <v>674.88</v>
      </c>
      <c r="D1522" s="40"/>
      <c r="E1522" s="40"/>
      <c r="F1522" s="12"/>
      <c r="G1522" s="18"/>
      <c r="H1522" s="12"/>
      <c r="I1522" s="39"/>
      <c r="J1522" s="39"/>
      <c r="K1522" s="39"/>
      <c r="M1522" s="19"/>
    </row>
    <row r="1523" spans="2:13" s="11" customFormat="1" x14ac:dyDescent="0.2">
      <c r="B1523" s="24">
        <v>1996.1</v>
      </c>
      <c r="C1523" s="25">
        <v>701.46</v>
      </c>
      <c r="D1523" s="40"/>
      <c r="E1523" s="40"/>
      <c r="F1523" s="12"/>
      <c r="G1523" s="18"/>
      <c r="H1523" s="12"/>
      <c r="I1523" s="39"/>
      <c r="J1523" s="39"/>
      <c r="K1523" s="39"/>
      <c r="M1523" s="19"/>
    </row>
    <row r="1524" spans="2:13" s="11" customFormat="1" x14ac:dyDescent="0.2">
      <c r="B1524" s="24">
        <v>1996.11</v>
      </c>
      <c r="C1524" s="25">
        <v>735.67</v>
      </c>
      <c r="D1524" s="40"/>
      <c r="E1524" s="40"/>
      <c r="F1524" s="12"/>
      <c r="G1524" s="18"/>
      <c r="H1524" s="12"/>
      <c r="I1524" s="39"/>
      <c r="J1524" s="39"/>
      <c r="K1524" s="39"/>
      <c r="M1524" s="19"/>
    </row>
    <row r="1525" spans="2:13" s="11" customFormat="1" x14ac:dyDescent="0.2">
      <c r="B1525" s="24">
        <v>1996.12</v>
      </c>
      <c r="C1525" s="25">
        <v>743.25</v>
      </c>
      <c r="D1525" s="40"/>
      <c r="E1525" s="40"/>
      <c r="F1525" s="12"/>
      <c r="G1525" s="18"/>
      <c r="H1525" s="12"/>
      <c r="I1525" s="39"/>
      <c r="J1525" s="39"/>
      <c r="K1525" s="39"/>
      <c r="M1525" s="19"/>
    </row>
    <row r="1526" spans="2:13" s="11" customFormat="1" x14ac:dyDescent="0.2">
      <c r="B1526" s="24">
        <v>1997.01</v>
      </c>
      <c r="C1526" s="25">
        <v>766.22</v>
      </c>
      <c r="D1526" s="40"/>
      <c r="E1526" s="40"/>
      <c r="F1526" s="12"/>
      <c r="G1526" s="18"/>
      <c r="H1526" s="12"/>
      <c r="I1526" s="39"/>
      <c r="J1526" s="39"/>
      <c r="K1526" s="39"/>
      <c r="M1526" s="19"/>
    </row>
    <row r="1527" spans="2:13" s="11" customFormat="1" x14ac:dyDescent="0.2">
      <c r="B1527" s="24">
        <v>1997.02</v>
      </c>
      <c r="C1527" s="25">
        <v>798.39</v>
      </c>
      <c r="D1527" s="40"/>
      <c r="E1527" s="40"/>
      <c r="F1527" s="12"/>
      <c r="G1527" s="18"/>
      <c r="H1527" s="12"/>
      <c r="I1527" s="39"/>
      <c r="J1527" s="39"/>
      <c r="K1527" s="39"/>
      <c r="M1527" s="19"/>
    </row>
    <row r="1528" spans="2:13" s="11" customFormat="1" x14ac:dyDescent="0.2">
      <c r="B1528" s="24">
        <v>1997.03</v>
      </c>
      <c r="C1528" s="25">
        <v>792.16</v>
      </c>
      <c r="D1528" s="40"/>
      <c r="E1528" s="40"/>
      <c r="F1528" s="12"/>
      <c r="G1528" s="18"/>
      <c r="H1528" s="12"/>
      <c r="I1528" s="39"/>
      <c r="J1528" s="39"/>
      <c r="K1528" s="39"/>
      <c r="M1528" s="19"/>
    </row>
    <row r="1529" spans="2:13" s="11" customFormat="1" x14ac:dyDescent="0.2">
      <c r="B1529" s="24">
        <v>1997.04</v>
      </c>
      <c r="C1529" s="25">
        <v>763.93</v>
      </c>
      <c r="D1529" s="40"/>
      <c r="E1529" s="40"/>
      <c r="F1529" s="12"/>
      <c r="G1529" s="18"/>
      <c r="H1529" s="12"/>
      <c r="I1529" s="39"/>
      <c r="J1529" s="39"/>
      <c r="K1529" s="39"/>
      <c r="M1529" s="19"/>
    </row>
    <row r="1530" spans="2:13" s="11" customFormat="1" x14ac:dyDescent="0.2">
      <c r="B1530" s="24">
        <v>1997.05</v>
      </c>
      <c r="C1530" s="25">
        <v>833.09</v>
      </c>
      <c r="D1530" s="40"/>
      <c r="E1530" s="40"/>
      <c r="F1530" s="12"/>
      <c r="G1530" s="18"/>
      <c r="H1530" s="12"/>
      <c r="I1530" s="39"/>
      <c r="J1530" s="39"/>
      <c r="K1530" s="39"/>
      <c r="M1530" s="19"/>
    </row>
    <row r="1531" spans="2:13" s="11" customFormat="1" x14ac:dyDescent="0.2">
      <c r="B1531" s="24">
        <v>1997.06</v>
      </c>
      <c r="C1531" s="25">
        <v>876.29</v>
      </c>
      <c r="D1531" s="40"/>
      <c r="E1531" s="40"/>
      <c r="F1531" s="12"/>
      <c r="G1531" s="18"/>
      <c r="H1531" s="12"/>
      <c r="I1531" s="39"/>
      <c r="J1531" s="39"/>
      <c r="K1531" s="39"/>
      <c r="M1531" s="19"/>
    </row>
    <row r="1532" spans="2:13" s="11" customFormat="1" x14ac:dyDescent="0.2">
      <c r="B1532" s="24">
        <v>1997.07</v>
      </c>
      <c r="C1532" s="25">
        <v>925.29</v>
      </c>
      <c r="D1532" s="40"/>
      <c r="E1532" s="40"/>
      <c r="F1532" s="12"/>
      <c r="G1532" s="18"/>
      <c r="H1532" s="12"/>
      <c r="I1532" s="39"/>
      <c r="J1532" s="39"/>
      <c r="K1532" s="39"/>
      <c r="M1532" s="19"/>
    </row>
    <row r="1533" spans="2:13" s="11" customFormat="1" x14ac:dyDescent="0.2">
      <c r="B1533" s="24">
        <v>1997.08</v>
      </c>
      <c r="C1533" s="25">
        <v>927.24</v>
      </c>
      <c r="D1533" s="40"/>
      <c r="E1533" s="40"/>
      <c r="F1533" s="12"/>
      <c r="G1533" s="18"/>
      <c r="H1533" s="12"/>
      <c r="I1533" s="39"/>
      <c r="J1533" s="39"/>
      <c r="K1533" s="39"/>
      <c r="M1533" s="19"/>
    </row>
    <row r="1534" spans="2:13" s="11" customFormat="1" x14ac:dyDescent="0.2">
      <c r="B1534" s="24">
        <v>1997.09</v>
      </c>
      <c r="C1534" s="25">
        <v>937.02</v>
      </c>
      <c r="D1534" s="40"/>
      <c r="E1534" s="40"/>
      <c r="F1534" s="12"/>
      <c r="G1534" s="18"/>
      <c r="H1534" s="12"/>
      <c r="I1534" s="39"/>
      <c r="J1534" s="39"/>
      <c r="K1534" s="39"/>
      <c r="M1534" s="19"/>
    </row>
    <row r="1535" spans="2:13" s="11" customFormat="1" x14ac:dyDescent="0.2">
      <c r="B1535" s="24">
        <v>1997.1</v>
      </c>
      <c r="C1535" s="25">
        <v>951.16</v>
      </c>
      <c r="D1535" s="40"/>
      <c r="E1535" s="40"/>
      <c r="F1535" s="12"/>
      <c r="G1535" s="18"/>
      <c r="H1535" s="12"/>
      <c r="I1535" s="39"/>
      <c r="J1535" s="39"/>
      <c r="K1535" s="39"/>
      <c r="M1535" s="19"/>
    </row>
    <row r="1536" spans="2:13" s="11" customFormat="1" x14ac:dyDescent="0.2">
      <c r="B1536" s="24">
        <v>1997.11</v>
      </c>
      <c r="C1536" s="25">
        <v>938.92</v>
      </c>
      <c r="D1536" s="40"/>
      <c r="E1536" s="40"/>
      <c r="F1536" s="12"/>
      <c r="G1536" s="18"/>
      <c r="H1536" s="12"/>
      <c r="I1536" s="39"/>
      <c r="J1536" s="39"/>
      <c r="K1536" s="39"/>
      <c r="M1536" s="19"/>
    </row>
    <row r="1537" spans="2:13" s="11" customFormat="1" x14ac:dyDescent="0.2">
      <c r="B1537" s="24">
        <v>1997.12</v>
      </c>
      <c r="C1537" s="25">
        <v>962.37</v>
      </c>
      <c r="D1537" s="40"/>
      <c r="E1537" s="40"/>
      <c r="F1537" s="12"/>
      <c r="G1537" s="18"/>
      <c r="H1537" s="12"/>
      <c r="I1537" s="39"/>
      <c r="J1537" s="39"/>
      <c r="K1537" s="39"/>
      <c r="M1537" s="19"/>
    </row>
    <row r="1538" spans="2:13" s="11" customFormat="1" x14ac:dyDescent="0.2">
      <c r="B1538" s="24">
        <v>1998.01</v>
      </c>
      <c r="C1538" s="25">
        <v>963.36</v>
      </c>
      <c r="D1538" s="40"/>
      <c r="E1538" s="40"/>
      <c r="F1538" s="12"/>
      <c r="G1538" s="18"/>
      <c r="H1538" s="12"/>
      <c r="I1538" s="39"/>
      <c r="J1538" s="39"/>
      <c r="K1538" s="39"/>
      <c r="M1538" s="19"/>
    </row>
    <row r="1539" spans="2:13" s="11" customFormat="1" x14ac:dyDescent="0.2">
      <c r="B1539" s="24">
        <v>1998.02</v>
      </c>
      <c r="C1539" s="25">
        <v>1023.74</v>
      </c>
      <c r="D1539" s="40"/>
      <c r="E1539" s="40"/>
      <c r="F1539" s="12"/>
      <c r="G1539" s="18"/>
      <c r="H1539" s="12"/>
      <c r="I1539" s="39"/>
      <c r="J1539" s="39"/>
      <c r="K1539" s="39"/>
      <c r="M1539" s="19"/>
    </row>
    <row r="1540" spans="2:13" s="11" customFormat="1" x14ac:dyDescent="0.2">
      <c r="B1540" s="24">
        <v>1998.03</v>
      </c>
      <c r="C1540" s="25">
        <v>1076.83</v>
      </c>
      <c r="D1540" s="40"/>
      <c r="E1540" s="40"/>
      <c r="F1540" s="12"/>
      <c r="G1540" s="18"/>
      <c r="H1540" s="12"/>
      <c r="I1540" s="39"/>
      <c r="J1540" s="39"/>
      <c r="K1540" s="39"/>
      <c r="M1540" s="19"/>
    </row>
    <row r="1541" spans="2:13" s="11" customFormat="1" x14ac:dyDescent="0.2">
      <c r="B1541" s="24">
        <v>1998.04</v>
      </c>
      <c r="C1541" s="25">
        <v>1112.2</v>
      </c>
      <c r="D1541" s="40"/>
      <c r="E1541" s="40"/>
      <c r="F1541" s="12"/>
      <c r="G1541" s="18"/>
      <c r="H1541" s="12"/>
      <c r="I1541" s="39"/>
      <c r="J1541" s="39"/>
      <c r="K1541" s="39"/>
      <c r="M1541" s="19"/>
    </row>
    <row r="1542" spans="2:13" s="11" customFormat="1" x14ac:dyDescent="0.2">
      <c r="B1542" s="24">
        <v>1998.05</v>
      </c>
      <c r="C1542" s="25">
        <v>1108.42</v>
      </c>
      <c r="D1542" s="40"/>
      <c r="E1542" s="40"/>
      <c r="F1542" s="12"/>
      <c r="G1542" s="18"/>
      <c r="H1542" s="12"/>
      <c r="I1542" s="39"/>
      <c r="J1542" s="39"/>
      <c r="K1542" s="39"/>
      <c r="M1542" s="19"/>
    </row>
    <row r="1543" spans="2:13" s="11" customFormat="1" x14ac:dyDescent="0.2">
      <c r="B1543" s="24">
        <v>1998.06</v>
      </c>
      <c r="C1543" s="25">
        <v>1108.3900000000001</v>
      </c>
      <c r="D1543" s="40"/>
      <c r="E1543" s="40"/>
      <c r="F1543" s="12"/>
      <c r="G1543" s="18"/>
      <c r="H1543" s="12"/>
      <c r="I1543" s="39"/>
      <c r="J1543" s="39"/>
      <c r="K1543" s="39"/>
      <c r="M1543" s="19"/>
    </row>
    <row r="1544" spans="2:13" s="11" customFormat="1" x14ac:dyDescent="0.2">
      <c r="B1544" s="24">
        <v>1998.07</v>
      </c>
      <c r="C1544" s="25">
        <v>1156.58</v>
      </c>
      <c r="D1544" s="40"/>
      <c r="E1544" s="40"/>
      <c r="F1544" s="12"/>
      <c r="G1544" s="18"/>
      <c r="H1544" s="12"/>
      <c r="I1544" s="39"/>
      <c r="J1544" s="39"/>
      <c r="K1544" s="39"/>
      <c r="M1544" s="19"/>
    </row>
    <row r="1545" spans="2:13" s="11" customFormat="1" x14ac:dyDescent="0.2">
      <c r="B1545" s="24">
        <v>1998.08</v>
      </c>
      <c r="C1545" s="25">
        <v>1074.6199999999999</v>
      </c>
      <c r="D1545" s="40"/>
      <c r="E1545" s="40"/>
      <c r="F1545" s="12"/>
      <c r="G1545" s="18"/>
      <c r="H1545" s="12"/>
      <c r="I1545" s="39"/>
      <c r="J1545" s="39"/>
      <c r="K1545" s="39"/>
      <c r="M1545" s="19"/>
    </row>
    <row r="1546" spans="2:13" s="11" customFormat="1" x14ac:dyDescent="0.2">
      <c r="B1546" s="24">
        <v>1998.09</v>
      </c>
      <c r="C1546" s="25">
        <v>1020.64</v>
      </c>
      <c r="D1546" s="40"/>
      <c r="E1546" s="40"/>
      <c r="F1546" s="12"/>
      <c r="G1546" s="18"/>
      <c r="H1546" s="12"/>
      <c r="I1546" s="39"/>
      <c r="J1546" s="39"/>
      <c r="K1546" s="39"/>
      <c r="M1546" s="19"/>
    </row>
    <row r="1547" spans="2:13" s="11" customFormat="1" x14ac:dyDescent="0.2">
      <c r="B1547" s="24">
        <v>1998.1</v>
      </c>
      <c r="C1547" s="25">
        <v>1032.47</v>
      </c>
      <c r="D1547" s="40"/>
      <c r="E1547" s="40"/>
      <c r="F1547" s="12"/>
      <c r="G1547" s="18"/>
      <c r="H1547" s="12"/>
      <c r="I1547" s="39"/>
      <c r="J1547" s="39"/>
      <c r="K1547" s="39"/>
      <c r="M1547" s="19"/>
    </row>
    <row r="1548" spans="2:13" s="11" customFormat="1" x14ac:dyDescent="0.2">
      <c r="B1548" s="24">
        <v>1998.11</v>
      </c>
      <c r="C1548" s="25">
        <v>1144.43</v>
      </c>
      <c r="D1548" s="40"/>
      <c r="E1548" s="40"/>
      <c r="F1548" s="12"/>
      <c r="G1548" s="18"/>
      <c r="H1548" s="12"/>
      <c r="I1548" s="39"/>
      <c r="J1548" s="39"/>
      <c r="K1548" s="39"/>
      <c r="M1548" s="19"/>
    </row>
    <row r="1549" spans="2:13" s="11" customFormat="1" x14ac:dyDescent="0.2">
      <c r="B1549" s="24">
        <v>1998.12</v>
      </c>
      <c r="C1549" s="25">
        <v>1190.05</v>
      </c>
      <c r="D1549" s="40"/>
      <c r="E1549" s="40"/>
      <c r="F1549" s="12"/>
      <c r="G1549" s="18"/>
      <c r="H1549" s="12"/>
      <c r="I1549" s="39"/>
      <c r="J1549" s="39"/>
      <c r="K1549" s="39"/>
      <c r="M1549" s="19"/>
    </row>
    <row r="1550" spans="2:13" s="11" customFormat="1" x14ac:dyDescent="0.2">
      <c r="B1550" s="24">
        <v>1999.01</v>
      </c>
      <c r="C1550" s="25">
        <v>1248.77</v>
      </c>
      <c r="D1550" s="40"/>
      <c r="E1550" s="40"/>
      <c r="F1550" s="12"/>
      <c r="G1550" s="18"/>
      <c r="H1550" s="12"/>
      <c r="I1550" s="39"/>
      <c r="J1550" s="39"/>
      <c r="K1550" s="39"/>
      <c r="M1550" s="19"/>
    </row>
    <row r="1551" spans="2:13" s="11" customFormat="1" x14ac:dyDescent="0.2">
      <c r="B1551" s="24">
        <v>1999.02</v>
      </c>
      <c r="C1551" s="25">
        <v>1246.58</v>
      </c>
      <c r="D1551" s="40"/>
      <c r="E1551" s="40"/>
      <c r="F1551" s="12"/>
      <c r="G1551" s="18"/>
      <c r="H1551" s="12"/>
      <c r="I1551" s="39"/>
      <c r="J1551" s="39"/>
      <c r="K1551" s="39"/>
      <c r="M1551" s="19"/>
    </row>
    <row r="1552" spans="2:13" s="11" customFormat="1" x14ac:dyDescent="0.2">
      <c r="B1552" s="24">
        <v>1999.03</v>
      </c>
      <c r="C1552" s="25">
        <v>1281.6600000000001</v>
      </c>
      <c r="D1552" s="40"/>
      <c r="E1552" s="40"/>
      <c r="F1552" s="12"/>
      <c r="G1552" s="18"/>
      <c r="H1552" s="12"/>
      <c r="I1552" s="39"/>
      <c r="J1552" s="39"/>
      <c r="K1552" s="39"/>
      <c r="M1552" s="19"/>
    </row>
    <row r="1553" spans="2:13" s="11" customFormat="1" x14ac:dyDescent="0.2">
      <c r="B1553" s="24">
        <v>1999.04</v>
      </c>
      <c r="C1553" s="25">
        <v>1334.76</v>
      </c>
      <c r="D1553" s="40"/>
      <c r="E1553" s="40"/>
      <c r="F1553" s="12"/>
      <c r="G1553" s="18"/>
      <c r="H1553" s="12"/>
      <c r="I1553" s="39"/>
      <c r="J1553" s="39"/>
      <c r="K1553" s="39"/>
      <c r="M1553" s="19"/>
    </row>
    <row r="1554" spans="2:13" s="11" customFormat="1" x14ac:dyDescent="0.2">
      <c r="B1554" s="24">
        <v>1999.05</v>
      </c>
      <c r="C1554" s="25">
        <v>1332.07</v>
      </c>
      <c r="D1554" s="40"/>
      <c r="E1554" s="40"/>
      <c r="F1554" s="12"/>
      <c r="G1554" s="18"/>
      <c r="H1554" s="12"/>
      <c r="I1554" s="39"/>
      <c r="J1554" s="39"/>
      <c r="K1554" s="39"/>
      <c r="M1554" s="19"/>
    </row>
    <row r="1555" spans="2:13" s="11" customFormat="1" x14ac:dyDescent="0.2">
      <c r="B1555" s="24">
        <v>1999.06</v>
      </c>
      <c r="C1555" s="25">
        <v>1322.55</v>
      </c>
      <c r="D1555" s="40"/>
      <c r="E1555" s="40"/>
      <c r="F1555" s="12"/>
      <c r="G1555" s="18"/>
      <c r="H1555" s="12"/>
      <c r="I1555" s="39"/>
      <c r="J1555" s="39"/>
      <c r="K1555" s="39"/>
      <c r="M1555" s="19"/>
    </row>
    <row r="1556" spans="2:13" s="11" customFormat="1" x14ac:dyDescent="0.2">
      <c r="B1556" s="24">
        <v>1999.07</v>
      </c>
      <c r="C1556" s="25">
        <v>1380.99</v>
      </c>
      <c r="D1556" s="40"/>
      <c r="E1556" s="40"/>
      <c r="F1556" s="12"/>
      <c r="G1556" s="18"/>
      <c r="H1556" s="12"/>
      <c r="I1556" s="39"/>
      <c r="J1556" s="39"/>
      <c r="K1556" s="39"/>
      <c r="M1556" s="19"/>
    </row>
    <row r="1557" spans="2:13" s="11" customFormat="1" x14ac:dyDescent="0.2">
      <c r="B1557" s="24">
        <v>1999.08</v>
      </c>
      <c r="C1557" s="25">
        <v>1327.49</v>
      </c>
      <c r="D1557" s="40"/>
      <c r="E1557" s="40"/>
      <c r="F1557" s="12"/>
      <c r="G1557" s="18"/>
      <c r="H1557" s="12"/>
      <c r="I1557" s="39"/>
      <c r="J1557" s="39"/>
      <c r="K1557" s="39"/>
      <c r="M1557" s="19"/>
    </row>
    <row r="1558" spans="2:13" s="11" customFormat="1" x14ac:dyDescent="0.2">
      <c r="B1558" s="24">
        <v>1999.09</v>
      </c>
      <c r="C1558" s="25">
        <v>1318.17</v>
      </c>
      <c r="D1558" s="40"/>
      <c r="E1558" s="40"/>
      <c r="F1558" s="12"/>
      <c r="G1558" s="18"/>
      <c r="H1558" s="12"/>
      <c r="I1558" s="39"/>
      <c r="J1558" s="39"/>
      <c r="K1558" s="39"/>
      <c r="M1558" s="19"/>
    </row>
    <row r="1559" spans="2:13" s="11" customFormat="1" x14ac:dyDescent="0.2">
      <c r="B1559" s="24">
        <v>1999.1</v>
      </c>
      <c r="C1559" s="25">
        <v>1300.01</v>
      </c>
      <c r="D1559" s="40"/>
      <c r="E1559" s="40"/>
      <c r="F1559" s="12"/>
      <c r="G1559" s="18"/>
      <c r="H1559" s="12"/>
      <c r="I1559" s="39"/>
      <c r="J1559" s="39"/>
      <c r="K1559" s="39"/>
      <c r="M1559" s="19"/>
    </row>
    <row r="1560" spans="2:13" s="11" customFormat="1" x14ac:dyDescent="0.2">
      <c r="B1560" s="24">
        <v>1999.11</v>
      </c>
      <c r="C1560" s="25">
        <v>1391</v>
      </c>
      <c r="D1560" s="40"/>
      <c r="E1560" s="40"/>
      <c r="F1560" s="12"/>
      <c r="G1560" s="18"/>
      <c r="H1560" s="12"/>
      <c r="I1560" s="39"/>
      <c r="J1560" s="39"/>
      <c r="K1560" s="39"/>
      <c r="M1560" s="19"/>
    </row>
    <row r="1561" spans="2:13" s="11" customFormat="1" x14ac:dyDescent="0.2">
      <c r="B1561" s="24">
        <v>1999.12</v>
      </c>
      <c r="C1561" s="25">
        <v>1428.68</v>
      </c>
      <c r="D1561" s="40"/>
      <c r="E1561" s="40"/>
      <c r="F1561" s="12"/>
      <c r="G1561" s="18"/>
      <c r="H1561" s="12"/>
      <c r="I1561" s="39"/>
      <c r="J1561" s="39"/>
      <c r="K1561" s="39"/>
      <c r="M1561" s="19"/>
    </row>
    <row r="1562" spans="2:13" s="11" customFormat="1" x14ac:dyDescent="0.2">
      <c r="B1562" s="24">
        <v>2000.01</v>
      </c>
      <c r="C1562" s="25">
        <v>1425.59</v>
      </c>
      <c r="D1562" s="40"/>
      <c r="E1562" s="40"/>
      <c r="F1562" s="12"/>
      <c r="G1562" s="18"/>
      <c r="H1562" s="12"/>
      <c r="I1562" s="39"/>
      <c r="J1562" s="39"/>
      <c r="K1562" s="39"/>
      <c r="M1562" s="19"/>
    </row>
    <row r="1563" spans="2:13" s="11" customFormat="1" x14ac:dyDescent="0.2">
      <c r="B1563" s="24">
        <v>2000.02</v>
      </c>
      <c r="C1563" s="25">
        <v>1388.87</v>
      </c>
      <c r="D1563" s="40"/>
      <c r="E1563" s="40"/>
      <c r="F1563" s="12"/>
      <c r="G1563" s="18"/>
      <c r="H1563" s="12"/>
      <c r="I1563" s="39"/>
      <c r="J1563" s="39"/>
      <c r="K1563" s="39"/>
      <c r="M1563" s="19"/>
    </row>
    <row r="1564" spans="2:13" s="11" customFormat="1" x14ac:dyDescent="0.2">
      <c r="B1564" s="24">
        <v>2000.03</v>
      </c>
      <c r="C1564" s="25">
        <v>1442.21</v>
      </c>
      <c r="D1564" s="40"/>
      <c r="E1564" s="40"/>
      <c r="F1564" s="12"/>
      <c r="G1564" s="18"/>
      <c r="H1564" s="12"/>
      <c r="I1564" s="39"/>
      <c r="J1564" s="39"/>
      <c r="K1564" s="39"/>
      <c r="M1564" s="19"/>
    </row>
    <row r="1565" spans="2:13" s="11" customFormat="1" x14ac:dyDescent="0.2">
      <c r="B1565" s="24">
        <v>2000.04</v>
      </c>
      <c r="C1565" s="25">
        <v>1461.36</v>
      </c>
      <c r="D1565" s="40"/>
      <c r="E1565" s="40"/>
      <c r="F1565" s="12"/>
      <c r="G1565" s="18"/>
      <c r="H1565" s="12"/>
      <c r="I1565" s="39"/>
      <c r="J1565" s="39"/>
      <c r="K1565" s="39"/>
      <c r="M1565" s="19"/>
    </row>
    <row r="1566" spans="2:13" s="11" customFormat="1" x14ac:dyDescent="0.2">
      <c r="B1566" s="24">
        <v>2000.05</v>
      </c>
      <c r="C1566" s="25">
        <v>1418.48</v>
      </c>
      <c r="D1566" s="40"/>
      <c r="E1566" s="40"/>
      <c r="F1566" s="12"/>
      <c r="G1566" s="18"/>
      <c r="H1566" s="12"/>
      <c r="I1566" s="39"/>
      <c r="J1566" s="39"/>
      <c r="K1566" s="39"/>
      <c r="M1566" s="19"/>
    </row>
    <row r="1567" spans="2:13" s="11" customFormat="1" x14ac:dyDescent="0.2">
      <c r="B1567" s="24">
        <v>2000.06</v>
      </c>
      <c r="C1567" s="25">
        <v>1461.96</v>
      </c>
      <c r="D1567" s="40"/>
      <c r="E1567" s="40"/>
      <c r="F1567" s="12"/>
      <c r="G1567" s="18"/>
      <c r="H1567" s="12"/>
      <c r="I1567" s="39"/>
      <c r="J1567" s="39"/>
      <c r="K1567" s="39"/>
      <c r="M1567" s="19"/>
    </row>
    <row r="1568" spans="2:13" s="11" customFormat="1" x14ac:dyDescent="0.2">
      <c r="B1568" s="24">
        <v>2000.07</v>
      </c>
      <c r="C1568" s="25">
        <v>1473</v>
      </c>
      <c r="D1568" s="40"/>
      <c r="E1568" s="40"/>
      <c r="F1568" s="12"/>
      <c r="G1568" s="18"/>
      <c r="H1568" s="12"/>
      <c r="I1568" s="39"/>
      <c r="J1568" s="39"/>
      <c r="K1568" s="39"/>
      <c r="M1568" s="19"/>
    </row>
    <row r="1569" spans="2:13" s="11" customFormat="1" x14ac:dyDescent="0.2">
      <c r="B1569" s="24">
        <v>2000.08</v>
      </c>
      <c r="C1569" s="25">
        <v>1485.46</v>
      </c>
      <c r="D1569" s="40"/>
      <c r="E1569" s="40"/>
      <c r="F1569" s="12"/>
      <c r="G1569" s="18"/>
      <c r="H1569" s="12"/>
      <c r="I1569" s="39"/>
      <c r="J1569" s="39"/>
      <c r="K1569" s="39"/>
      <c r="M1569" s="19"/>
    </row>
    <row r="1570" spans="2:13" s="11" customFormat="1" x14ac:dyDescent="0.2">
      <c r="B1570" s="24">
        <v>2000.09</v>
      </c>
      <c r="C1570" s="25">
        <v>1468.05</v>
      </c>
      <c r="D1570" s="40"/>
      <c r="E1570" s="40"/>
      <c r="F1570" s="12"/>
      <c r="G1570" s="18"/>
      <c r="H1570" s="12"/>
      <c r="I1570" s="39"/>
      <c r="J1570" s="39"/>
      <c r="K1570" s="39"/>
      <c r="M1570" s="19"/>
    </row>
    <row r="1571" spans="2:13" s="11" customFormat="1" x14ac:dyDescent="0.2">
      <c r="B1571" s="24">
        <v>2000.1</v>
      </c>
      <c r="C1571" s="25">
        <v>1390.14</v>
      </c>
      <c r="D1571" s="40"/>
      <c r="E1571" s="40"/>
      <c r="F1571" s="12"/>
      <c r="G1571" s="18"/>
      <c r="H1571" s="12"/>
      <c r="I1571" s="39"/>
      <c r="J1571" s="39"/>
      <c r="K1571" s="39"/>
      <c r="M1571" s="19"/>
    </row>
    <row r="1572" spans="2:13" s="11" customFormat="1" x14ac:dyDescent="0.2">
      <c r="B1572" s="24">
        <v>2000.11</v>
      </c>
      <c r="C1572" s="25">
        <v>1378.04</v>
      </c>
      <c r="D1572" s="40"/>
      <c r="E1572" s="40"/>
      <c r="F1572" s="12"/>
      <c r="G1572" s="18"/>
      <c r="H1572" s="12"/>
      <c r="I1572" s="39"/>
      <c r="J1572" s="39"/>
      <c r="K1572" s="39"/>
      <c r="M1572" s="19"/>
    </row>
    <row r="1573" spans="2:13" s="11" customFormat="1" x14ac:dyDescent="0.2">
      <c r="B1573" s="24">
        <v>2000.12</v>
      </c>
      <c r="C1573" s="25">
        <v>1330.93</v>
      </c>
      <c r="D1573" s="40"/>
      <c r="E1573" s="40"/>
      <c r="F1573" s="12"/>
      <c r="G1573" s="18"/>
      <c r="H1573" s="12"/>
      <c r="I1573" s="39"/>
      <c r="J1573" s="39"/>
      <c r="K1573" s="39"/>
      <c r="M1573" s="19"/>
    </row>
    <row r="1574" spans="2:13" s="11" customFormat="1" x14ac:dyDescent="0.2">
      <c r="B1574" s="24">
        <v>2001.01</v>
      </c>
      <c r="C1574" s="25">
        <v>1335.63</v>
      </c>
      <c r="D1574" s="40"/>
      <c r="E1574" s="40"/>
      <c r="F1574" s="12"/>
      <c r="G1574" s="18"/>
      <c r="H1574" s="12"/>
      <c r="I1574" s="39"/>
      <c r="J1574" s="39"/>
      <c r="K1574" s="39"/>
      <c r="M1574" s="19"/>
    </row>
    <row r="1575" spans="2:13" s="11" customFormat="1" x14ac:dyDescent="0.2">
      <c r="B1575" s="24">
        <v>2001.02</v>
      </c>
      <c r="C1575" s="25">
        <v>1305.75</v>
      </c>
      <c r="D1575" s="40"/>
      <c r="E1575" s="40"/>
      <c r="F1575" s="12"/>
      <c r="G1575" s="18"/>
      <c r="H1575" s="12"/>
      <c r="I1575" s="39"/>
      <c r="J1575" s="39"/>
      <c r="K1575" s="39"/>
      <c r="M1575" s="19"/>
    </row>
    <row r="1576" spans="2:13" s="11" customFormat="1" x14ac:dyDescent="0.2">
      <c r="B1576" s="24">
        <v>2001.03</v>
      </c>
      <c r="C1576" s="25">
        <v>1185.8499999999999</v>
      </c>
      <c r="D1576" s="40"/>
      <c r="E1576" s="40"/>
      <c r="F1576" s="12"/>
      <c r="G1576" s="18"/>
      <c r="H1576" s="12"/>
      <c r="I1576" s="39"/>
      <c r="J1576" s="39"/>
      <c r="K1576" s="39"/>
      <c r="M1576" s="19"/>
    </row>
    <row r="1577" spans="2:13" s="11" customFormat="1" x14ac:dyDescent="0.2">
      <c r="B1577" s="24">
        <v>2001.04</v>
      </c>
      <c r="C1577" s="25">
        <v>1189.8399999999999</v>
      </c>
      <c r="D1577" s="40"/>
      <c r="E1577" s="40"/>
      <c r="F1577" s="12"/>
      <c r="G1577" s="18"/>
      <c r="H1577" s="12"/>
      <c r="I1577" s="39"/>
      <c r="J1577" s="39"/>
      <c r="K1577" s="39"/>
      <c r="M1577" s="19"/>
    </row>
    <row r="1578" spans="2:13" s="11" customFormat="1" x14ac:dyDescent="0.2">
      <c r="B1578" s="24">
        <v>2001.05</v>
      </c>
      <c r="C1578" s="25">
        <v>1270.3699999999999</v>
      </c>
      <c r="D1578" s="40"/>
      <c r="E1578" s="40"/>
      <c r="F1578" s="12"/>
      <c r="G1578" s="18"/>
      <c r="H1578" s="12"/>
      <c r="I1578" s="39"/>
      <c r="J1578" s="39"/>
      <c r="K1578" s="39"/>
      <c r="M1578" s="19"/>
    </row>
    <row r="1579" spans="2:13" s="11" customFormat="1" x14ac:dyDescent="0.2">
      <c r="B1579" s="24">
        <v>2001.06</v>
      </c>
      <c r="C1579" s="25">
        <v>1238.71</v>
      </c>
      <c r="D1579" s="40"/>
      <c r="E1579" s="40"/>
      <c r="F1579" s="12"/>
      <c r="G1579" s="18"/>
      <c r="H1579" s="12"/>
      <c r="I1579" s="39"/>
      <c r="J1579" s="39"/>
      <c r="K1579" s="39"/>
      <c r="M1579" s="19"/>
    </row>
    <row r="1580" spans="2:13" s="11" customFormat="1" x14ac:dyDescent="0.2">
      <c r="B1580" s="24">
        <v>2001.07</v>
      </c>
      <c r="C1580" s="25">
        <v>1204.45</v>
      </c>
      <c r="D1580" s="40"/>
      <c r="E1580" s="40"/>
      <c r="F1580" s="12"/>
      <c r="G1580" s="18"/>
      <c r="H1580" s="12"/>
      <c r="I1580" s="39"/>
      <c r="J1580" s="39"/>
      <c r="K1580" s="39"/>
      <c r="M1580" s="19"/>
    </row>
    <row r="1581" spans="2:13" s="11" customFormat="1" x14ac:dyDescent="0.2">
      <c r="B1581" s="24">
        <v>2001.08</v>
      </c>
      <c r="C1581" s="25">
        <v>1178.5</v>
      </c>
      <c r="D1581" s="40"/>
      <c r="E1581" s="40"/>
      <c r="F1581" s="12"/>
      <c r="G1581" s="18"/>
      <c r="H1581" s="12"/>
      <c r="I1581" s="39"/>
      <c r="J1581" s="39"/>
      <c r="K1581" s="39"/>
      <c r="M1581" s="19"/>
    </row>
    <row r="1582" spans="2:13" s="11" customFormat="1" x14ac:dyDescent="0.2">
      <c r="B1582" s="24">
        <v>2001.09</v>
      </c>
      <c r="C1582" s="25">
        <v>1044.6400000000001</v>
      </c>
      <c r="D1582" s="40"/>
      <c r="E1582" s="40"/>
      <c r="F1582" s="12"/>
      <c r="G1582" s="18"/>
      <c r="H1582" s="12"/>
      <c r="I1582" s="39"/>
      <c r="J1582" s="39"/>
      <c r="K1582" s="39"/>
      <c r="M1582" s="19"/>
    </row>
    <row r="1583" spans="2:13" s="11" customFormat="1" x14ac:dyDescent="0.2">
      <c r="B1583" s="24">
        <v>2001.1</v>
      </c>
      <c r="C1583" s="25">
        <v>1076.5899999999999</v>
      </c>
      <c r="D1583" s="40"/>
      <c r="E1583" s="40"/>
      <c r="F1583" s="12"/>
      <c r="G1583" s="18"/>
      <c r="H1583" s="12"/>
      <c r="I1583" s="39"/>
      <c r="J1583" s="39"/>
      <c r="K1583" s="39"/>
      <c r="M1583" s="19"/>
    </row>
    <row r="1584" spans="2:13" s="11" customFormat="1" x14ac:dyDescent="0.2">
      <c r="B1584" s="24">
        <v>2001.11</v>
      </c>
      <c r="C1584" s="25">
        <v>1129.68</v>
      </c>
      <c r="D1584" s="40"/>
      <c r="E1584" s="40"/>
      <c r="F1584" s="12"/>
      <c r="G1584" s="18"/>
      <c r="H1584" s="12"/>
      <c r="I1584" s="39"/>
      <c r="J1584" s="39"/>
      <c r="K1584" s="39"/>
      <c r="M1584" s="19"/>
    </row>
    <row r="1585" spans="2:13" s="11" customFormat="1" x14ac:dyDescent="0.2">
      <c r="B1585" s="24">
        <v>2001.12</v>
      </c>
      <c r="C1585" s="25">
        <v>1144.93</v>
      </c>
      <c r="D1585" s="40"/>
      <c r="E1585" s="40"/>
      <c r="F1585" s="12"/>
      <c r="G1585" s="18"/>
      <c r="H1585" s="12"/>
      <c r="I1585" s="39"/>
      <c r="J1585" s="39"/>
      <c r="K1585" s="39"/>
      <c r="M1585" s="19"/>
    </row>
    <row r="1586" spans="2:13" s="11" customFormat="1" x14ac:dyDescent="0.2">
      <c r="B1586" s="24">
        <v>2002.01</v>
      </c>
      <c r="C1586" s="25">
        <v>1140.21</v>
      </c>
      <c r="D1586" s="40"/>
      <c r="E1586" s="40"/>
      <c r="F1586" s="12"/>
      <c r="G1586" s="18"/>
      <c r="H1586" s="12"/>
      <c r="I1586" s="39"/>
      <c r="J1586" s="39"/>
      <c r="K1586" s="39"/>
      <c r="M1586" s="19"/>
    </row>
    <row r="1587" spans="2:13" s="11" customFormat="1" x14ac:dyDescent="0.2">
      <c r="B1587" s="24">
        <v>2002.02</v>
      </c>
      <c r="C1587" s="25">
        <v>1100.67</v>
      </c>
      <c r="D1587" s="22"/>
      <c r="E1587" s="22"/>
      <c r="F1587" s="12"/>
      <c r="G1587" s="18"/>
      <c r="H1587" s="12"/>
      <c r="I1587" s="39"/>
      <c r="J1587" s="39"/>
      <c r="K1587" s="39"/>
      <c r="M1587" s="19"/>
    </row>
    <row r="1588" spans="2:13" s="11" customFormat="1" x14ac:dyDescent="0.2">
      <c r="B1588" s="24">
        <v>2002.03</v>
      </c>
      <c r="C1588" s="25">
        <v>1153.79</v>
      </c>
      <c r="D1588" s="22"/>
      <c r="E1588" s="22"/>
      <c r="F1588" s="12"/>
      <c r="G1588" s="18"/>
      <c r="H1588" s="12"/>
      <c r="I1588" s="39"/>
      <c r="J1588" s="39"/>
      <c r="K1588" s="39"/>
      <c r="M1588" s="19"/>
    </row>
    <row r="1589" spans="2:13" s="11" customFormat="1" x14ac:dyDescent="0.2">
      <c r="B1589" s="24">
        <v>2002.04</v>
      </c>
      <c r="C1589" s="25">
        <v>1112.04</v>
      </c>
      <c r="D1589" s="22"/>
      <c r="E1589" s="22"/>
      <c r="F1589" s="12"/>
      <c r="G1589" s="18"/>
      <c r="H1589" s="12"/>
      <c r="I1589" s="39"/>
      <c r="J1589" s="39"/>
      <c r="K1589" s="39"/>
      <c r="M1589" s="19"/>
    </row>
    <row r="1590" spans="2:13" s="11" customFormat="1" x14ac:dyDescent="0.2">
      <c r="B1590" s="24">
        <v>2002.05</v>
      </c>
      <c r="C1590" s="25">
        <v>1079.06</v>
      </c>
      <c r="D1590" s="22"/>
      <c r="E1590" s="22"/>
      <c r="F1590" s="12"/>
      <c r="G1590" s="18"/>
      <c r="H1590" s="12"/>
      <c r="I1590" s="39"/>
      <c r="J1590" s="39"/>
      <c r="K1590" s="39"/>
      <c r="M1590" s="19"/>
    </row>
    <row r="1591" spans="2:13" s="11" customFormat="1" x14ac:dyDescent="0.2">
      <c r="B1591" s="24">
        <v>2002.06</v>
      </c>
      <c r="C1591" s="25">
        <v>1015.28</v>
      </c>
      <c r="D1591" s="22"/>
      <c r="E1591" s="22"/>
      <c r="F1591" s="12"/>
      <c r="G1591" s="18"/>
      <c r="H1591" s="12"/>
      <c r="I1591" s="39"/>
      <c r="J1591" s="39"/>
      <c r="K1591" s="39"/>
      <c r="M1591" s="19"/>
    </row>
    <row r="1592" spans="2:13" s="11" customFormat="1" x14ac:dyDescent="0.2">
      <c r="B1592" s="24">
        <v>2002.07</v>
      </c>
      <c r="C1592" s="25">
        <v>903.59</v>
      </c>
      <c r="D1592" s="22"/>
      <c r="E1592" s="22"/>
      <c r="F1592" s="12"/>
      <c r="G1592" s="18"/>
      <c r="H1592" s="12"/>
      <c r="I1592" s="39"/>
      <c r="J1592" s="39"/>
      <c r="K1592" s="39"/>
      <c r="M1592" s="19"/>
    </row>
    <row r="1593" spans="2:13" s="11" customFormat="1" x14ac:dyDescent="0.2">
      <c r="B1593" s="24">
        <v>2002.08</v>
      </c>
      <c r="C1593" s="25">
        <v>912.55</v>
      </c>
      <c r="D1593" s="22"/>
      <c r="E1593" s="22"/>
      <c r="F1593" s="12"/>
      <c r="G1593" s="18"/>
      <c r="H1593" s="12"/>
      <c r="I1593" s="39"/>
      <c r="J1593" s="39"/>
      <c r="K1593" s="39"/>
      <c r="M1593" s="19"/>
    </row>
    <row r="1594" spans="2:13" s="11" customFormat="1" x14ac:dyDescent="0.2">
      <c r="B1594" s="24">
        <v>2002.09</v>
      </c>
      <c r="C1594" s="25">
        <v>867.81</v>
      </c>
      <c r="D1594" s="22"/>
      <c r="E1594" s="22"/>
      <c r="F1594" s="12"/>
      <c r="G1594" s="18"/>
      <c r="H1594" s="12"/>
      <c r="I1594" s="39"/>
      <c r="J1594" s="39"/>
      <c r="K1594" s="39"/>
      <c r="M1594" s="19"/>
    </row>
    <row r="1595" spans="2:13" s="11" customFormat="1" ht="13.5" thickBot="1" x14ac:dyDescent="0.25">
      <c r="B1595" s="26">
        <v>2002.1</v>
      </c>
      <c r="C1595" s="27">
        <v>854.63</v>
      </c>
      <c r="D1595" s="22"/>
      <c r="E1595" s="22"/>
      <c r="F1595" s="12"/>
      <c r="G1595" s="18"/>
      <c r="H1595" s="12"/>
      <c r="I1595" s="39"/>
      <c r="J1595" s="39"/>
      <c r="K1595" s="39"/>
      <c r="M1595" s="19"/>
    </row>
    <row r="1596" spans="2:13" s="11" customFormat="1" ht="15" customHeight="1" x14ac:dyDescent="0.2">
      <c r="E1596" s="12"/>
      <c r="F1596" s="12"/>
      <c r="H1596" s="12"/>
    </row>
  </sheetData>
  <mergeCells count="1">
    <mergeCell ref="B12:C12"/>
  </mergeCells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3"/>
  <sheetViews>
    <sheetView showGridLines="0" tabSelected="1" workbookViewId="0">
      <selection activeCell="H25" sqref="H25"/>
    </sheetView>
  </sheetViews>
  <sheetFormatPr defaultRowHeight="12.75" x14ac:dyDescent="0.2"/>
  <cols>
    <col min="1" max="1" width="3.85546875" customWidth="1"/>
    <col min="2" max="2" width="9.140625" style="36"/>
    <col min="3" max="6" width="15.42578125" style="37" bestFit="1" customWidth="1"/>
    <col min="7" max="7" width="14.42578125" style="37" bestFit="1" customWidth="1"/>
    <col min="8" max="8" width="16.140625" style="37" bestFit="1" customWidth="1"/>
    <col min="9" max="9" width="14.42578125" style="37" bestFit="1" customWidth="1"/>
    <col min="10" max="16384" width="9.140625" style="37"/>
  </cols>
  <sheetData>
    <row r="1" spans="2:9" customFormat="1" x14ac:dyDescent="0.2"/>
    <row r="2" spans="2:9" customFormat="1" x14ac:dyDescent="0.2"/>
    <row r="3" spans="2:9" customFormat="1" x14ac:dyDescent="0.2"/>
    <row r="4" spans="2:9" customFormat="1" x14ac:dyDescent="0.2"/>
    <row r="5" spans="2:9" customFormat="1" x14ac:dyDescent="0.2"/>
    <row r="6" spans="2:9" customFormat="1" x14ac:dyDescent="0.2"/>
    <row r="7" spans="2:9" customFormat="1" x14ac:dyDescent="0.2"/>
    <row r="8" spans="2:9" customFormat="1" x14ac:dyDescent="0.2"/>
    <row r="9" spans="2:9" customFormat="1" x14ac:dyDescent="0.2"/>
    <row r="10" spans="2:9" customFormat="1" ht="13.5" thickBot="1" x14ac:dyDescent="0.25"/>
    <row r="11" spans="2:9" customFormat="1" ht="13.5" thickBot="1" x14ac:dyDescent="0.25">
      <c r="B11" s="53" t="s">
        <v>0</v>
      </c>
      <c r="C11" s="54"/>
      <c r="E11" s="53" t="s">
        <v>1</v>
      </c>
      <c r="F11" s="54"/>
    </row>
    <row r="12" spans="2:9" customFormat="1" ht="19.5" hidden="1" customHeight="1" thickBot="1" x14ac:dyDescent="0.25">
      <c r="B12" s="30">
        <v>5</v>
      </c>
    </row>
    <row r="13" spans="2:9" customFormat="1" ht="15.75" customHeight="1" thickBot="1" x14ac:dyDescent="0.25">
      <c r="B13" s="29">
        <f>B12/100</f>
        <v>0.05</v>
      </c>
      <c r="E13" s="28" t="s">
        <v>18</v>
      </c>
      <c r="F13" s="28" t="s">
        <v>19</v>
      </c>
      <c r="H13" s="2" t="s">
        <v>52</v>
      </c>
      <c r="I13" s="43">
        <v>102040.09092882754</v>
      </c>
    </row>
    <row r="14" spans="2:9" customFormat="1" ht="15" customHeight="1" x14ac:dyDescent="0.2">
      <c r="D14" s="1" t="s">
        <v>2</v>
      </c>
      <c r="H14" s="2" t="s">
        <v>50</v>
      </c>
      <c r="I14" s="6">
        <v>48</v>
      </c>
    </row>
    <row r="15" spans="2:9" customFormat="1" ht="15.75" customHeight="1" x14ac:dyDescent="0.2">
      <c r="D15" s="1" t="s">
        <v>3</v>
      </c>
      <c r="H15" s="2" t="s">
        <v>51</v>
      </c>
      <c r="I15" s="6">
        <v>48</v>
      </c>
    </row>
    <row r="16" spans="2:9" customFormat="1" x14ac:dyDescent="0.2">
      <c r="B16" s="32"/>
      <c r="H16" s="37"/>
    </row>
    <row r="17" spans="1:20" s="32" customFormat="1" x14ac:dyDescent="0.2">
      <c r="A17"/>
    </row>
    <row r="18" spans="1:20" customFormat="1" x14ac:dyDescent="0.2">
      <c r="B18" s="55" t="s">
        <v>4</v>
      </c>
      <c r="C18" s="56"/>
    </row>
    <row r="19" spans="1:20" s="36" customFormat="1" x14ac:dyDescent="0.2">
      <c r="A19"/>
      <c r="B19" s="34" t="s">
        <v>5</v>
      </c>
      <c r="C19" s="2">
        <v>5</v>
      </c>
      <c r="D19" s="2">
        <v>6</v>
      </c>
      <c r="E19" s="2">
        <v>7</v>
      </c>
      <c r="F19" s="2">
        <v>8</v>
      </c>
      <c r="G19" s="2">
        <v>9</v>
      </c>
      <c r="H19" s="2">
        <v>10</v>
      </c>
    </row>
    <row r="20" spans="1:20" x14ac:dyDescent="0.2">
      <c r="B20" s="2">
        <v>5</v>
      </c>
      <c r="C20" s="48">
        <v>10233.785334471762</v>
      </c>
      <c r="D20" s="48">
        <v>7079.4568448432956</v>
      </c>
      <c r="E20" s="48">
        <v>6473.92696701152</v>
      </c>
      <c r="F20" s="48">
        <v>95934.596050757973</v>
      </c>
      <c r="G20" s="48">
        <v>62661.524224256558</v>
      </c>
      <c r="H20" s="46">
        <v>79071.968549638463</v>
      </c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</row>
    <row r="21" spans="1:20" x14ac:dyDescent="0.2">
      <c r="B21" s="2">
        <v>6</v>
      </c>
      <c r="C21" s="48">
        <v>8563.4586327248417</v>
      </c>
      <c r="D21" s="48">
        <v>7657.785766450309</v>
      </c>
      <c r="E21" s="48">
        <v>7411.7567255216654</v>
      </c>
      <c r="F21" s="50">
        <v>102040.09092882754</v>
      </c>
      <c r="G21" s="48">
        <v>66421.092574724185</v>
      </c>
      <c r="H21" s="46">
        <v>95071.747293709966</v>
      </c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</row>
    <row r="22" spans="1:20" x14ac:dyDescent="0.2">
      <c r="B22" s="2">
        <v>7</v>
      </c>
      <c r="C22" s="48">
        <v>6447.5213836953153</v>
      </c>
      <c r="D22" s="48">
        <v>6015.4032122938279</v>
      </c>
      <c r="E22" s="48">
        <v>5570.6662039562962</v>
      </c>
      <c r="F22" s="48">
        <v>74798.374665473064</v>
      </c>
      <c r="G22" s="48">
        <v>46452.345063347668</v>
      </c>
      <c r="H22" s="46">
        <v>59905.42335965237</v>
      </c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</row>
    <row r="23" spans="1:20" x14ac:dyDescent="0.2">
      <c r="B23" s="2">
        <v>8</v>
      </c>
      <c r="C23" s="48">
        <v>6282.4559446585517</v>
      </c>
      <c r="D23" s="48">
        <v>5864.6132602203588</v>
      </c>
      <c r="E23" s="48">
        <v>5547.5293763767058</v>
      </c>
      <c r="F23" s="48">
        <v>74487.712163986405</v>
      </c>
      <c r="G23" s="48">
        <v>49013.224510294123</v>
      </c>
      <c r="H23" s="46">
        <v>63208.943362150028</v>
      </c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</row>
    <row r="24" spans="1:20" x14ac:dyDescent="0.2">
      <c r="B24" s="2">
        <v>9</v>
      </c>
      <c r="C24" s="48">
        <v>7222.2486989630361</v>
      </c>
      <c r="D24" s="48">
        <v>7105.5271464035995</v>
      </c>
      <c r="E24" s="48">
        <v>5552.1119216013049</v>
      </c>
      <c r="F24" s="48">
        <v>92524.688137740581</v>
      </c>
      <c r="G24" s="48">
        <v>60874.792008312703</v>
      </c>
      <c r="H24" s="46">
        <v>80833.861283961</v>
      </c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</row>
    <row r="25" spans="1:20" x14ac:dyDescent="0.2">
      <c r="B25" s="2">
        <v>10</v>
      </c>
      <c r="C25" s="49">
        <v>7203.0432197090113</v>
      </c>
      <c r="D25" s="49">
        <v>7518.556717563255</v>
      </c>
      <c r="E25" s="49">
        <v>6884.6378374521564</v>
      </c>
      <c r="F25" s="49">
        <v>85553.750953033159</v>
      </c>
      <c r="G25" s="49">
        <v>57997.053342795181</v>
      </c>
      <c r="H25" s="47">
        <v>87176.474339987079</v>
      </c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</row>
    <row r="26" spans="1:20" x14ac:dyDescent="0.2"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</row>
    <row r="27" spans="1:20" x14ac:dyDescent="0.2"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</row>
    <row r="28" spans="1:20" x14ac:dyDescent="0.2"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</row>
    <row r="29" spans="1:20" x14ac:dyDescent="0.2"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</row>
    <row r="30" spans="1:20" x14ac:dyDescent="0.2"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</row>
    <row r="31" spans="1:20" x14ac:dyDescent="0.2"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</row>
    <row r="32" spans="1:20" x14ac:dyDescent="0.2"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</row>
    <row r="33" spans="3:20" x14ac:dyDescent="0.2"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</row>
    <row r="34" spans="3:20" x14ac:dyDescent="0.2"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</row>
    <row r="35" spans="3:20" x14ac:dyDescent="0.2"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</row>
    <row r="36" spans="3:20" x14ac:dyDescent="0.2"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</row>
    <row r="37" spans="3:20" x14ac:dyDescent="0.2"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</row>
    <row r="38" spans="3:20" x14ac:dyDescent="0.2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</row>
    <row r="39" spans="3:20" x14ac:dyDescent="0.2"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</row>
    <row r="40" spans="3:20" x14ac:dyDescent="0.2"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</row>
    <row r="41" spans="3:20" x14ac:dyDescent="0.2"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</row>
    <row r="42" spans="3:20" x14ac:dyDescent="0.2"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</row>
    <row r="43" spans="3:20" x14ac:dyDescent="0.2"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</row>
    <row r="44" spans="3:20" x14ac:dyDescent="0.2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</row>
    <row r="45" spans="3:20" x14ac:dyDescent="0.2"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</row>
    <row r="46" spans="3:20" x14ac:dyDescent="0.2"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</row>
    <row r="47" spans="3:20" x14ac:dyDescent="0.2"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</row>
    <row r="48" spans="3:20" x14ac:dyDescent="0.2"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</row>
    <row r="49" spans="3:20" x14ac:dyDescent="0.2"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</row>
    <row r="50" spans="3:20" x14ac:dyDescent="0.2"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</row>
    <row r="51" spans="3:20" x14ac:dyDescent="0.2"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</row>
    <row r="52" spans="3:20" x14ac:dyDescent="0.2"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</row>
    <row r="53" spans="3:20" x14ac:dyDescent="0.2"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</row>
    <row r="54" spans="3:20" x14ac:dyDescent="0.2"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</row>
    <row r="55" spans="3:20" x14ac:dyDescent="0.2"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</row>
    <row r="56" spans="3:20" x14ac:dyDescent="0.2"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</row>
    <row r="57" spans="3:20" x14ac:dyDescent="0.2"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</row>
    <row r="58" spans="3:20" x14ac:dyDescent="0.2"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</row>
    <row r="59" spans="3:20" x14ac:dyDescent="0.2"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</row>
    <row r="60" spans="3:20" x14ac:dyDescent="0.2"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</row>
    <row r="61" spans="3:20" x14ac:dyDescent="0.2"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</row>
    <row r="62" spans="3:20" x14ac:dyDescent="0.2"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</row>
    <row r="63" spans="3:20" x14ac:dyDescent="0.2"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</row>
  </sheetData>
  <mergeCells count="3">
    <mergeCell ref="B11:C11"/>
    <mergeCell ref="E11:F11"/>
    <mergeCell ref="B18:C18"/>
  </mergeCells>
  <phoneticPr fontId="1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7" r:id="rId4" name="spnRate">
          <controlPr defaultSize="0" autoLine="0" linkedCell="$B$12" r:id="rId5">
            <anchor moveWithCells="1">
              <from>
                <xdr:col>2</xdr:col>
                <xdr:colOff>66675</xdr:colOff>
                <xdr:row>12</xdr:row>
                <xdr:rowOff>9525</xdr:rowOff>
              </from>
              <to>
                <xdr:col>2</xdr:col>
                <xdr:colOff>628650</xdr:colOff>
                <xdr:row>13</xdr:row>
                <xdr:rowOff>9525</xdr:rowOff>
              </to>
            </anchor>
          </controlPr>
        </control>
      </mc:Choice>
      <mc:Fallback>
        <control shapeId="3077" r:id="rId4" name="spnRate"/>
      </mc:Fallback>
    </mc:AlternateContent>
    <mc:AlternateContent xmlns:mc="http://schemas.openxmlformats.org/markup-compatibility/2006">
      <mc:Choice Requires="x14">
        <control shapeId="3078" r:id="rId6" name="txtYearFrom">
          <controlPr defaultSize="0" autoLine="0" r:id="rId7">
            <anchor moveWithCells="1">
              <from>
                <xdr:col>4</xdr:col>
                <xdr:colOff>28575</xdr:colOff>
                <xdr:row>13</xdr:row>
                <xdr:rowOff>9525</xdr:rowOff>
              </from>
              <to>
                <xdr:col>4</xdr:col>
                <xdr:colOff>552450</xdr:colOff>
                <xdr:row>14</xdr:row>
                <xdr:rowOff>28575</xdr:rowOff>
              </to>
            </anchor>
          </controlPr>
        </control>
      </mc:Choice>
      <mc:Fallback>
        <control shapeId="3078" r:id="rId6" name="txtYearFrom"/>
      </mc:Fallback>
    </mc:AlternateContent>
    <mc:AlternateContent xmlns:mc="http://schemas.openxmlformats.org/markup-compatibility/2006">
      <mc:Choice Requires="x14">
        <control shapeId="3079" r:id="rId8" name="txtYearTo">
          <controlPr defaultSize="0" autoLine="0" r:id="rId9">
            <anchor moveWithCells="1">
              <from>
                <xdr:col>4</xdr:col>
                <xdr:colOff>28575</xdr:colOff>
                <xdr:row>14</xdr:row>
                <xdr:rowOff>47625</xdr:rowOff>
              </from>
              <to>
                <xdr:col>4</xdr:col>
                <xdr:colOff>552450</xdr:colOff>
                <xdr:row>15</xdr:row>
                <xdr:rowOff>57150</xdr:rowOff>
              </to>
            </anchor>
          </controlPr>
        </control>
      </mc:Choice>
      <mc:Fallback>
        <control shapeId="3079" r:id="rId8" name="txtYearTo"/>
      </mc:Fallback>
    </mc:AlternateContent>
    <mc:AlternateContent xmlns:mc="http://schemas.openxmlformats.org/markup-compatibility/2006">
      <mc:Choice Requires="x14">
        <control shapeId="3080" r:id="rId10" name="cmbMonthFrom">
          <controlPr defaultSize="0" autoLine="0" listFillRange="Months" r:id="rId11">
            <anchor moveWithCells="1">
              <from>
                <xdr:col>5</xdr:col>
                <xdr:colOff>38100</xdr:colOff>
                <xdr:row>13</xdr:row>
                <xdr:rowOff>0</xdr:rowOff>
              </from>
              <to>
                <xdr:col>5</xdr:col>
                <xdr:colOff>790575</xdr:colOff>
                <xdr:row>14</xdr:row>
                <xdr:rowOff>28575</xdr:rowOff>
              </to>
            </anchor>
          </controlPr>
        </control>
      </mc:Choice>
      <mc:Fallback>
        <control shapeId="3080" r:id="rId10" name="cmbMonthFrom"/>
      </mc:Fallback>
    </mc:AlternateContent>
    <mc:AlternateContent xmlns:mc="http://schemas.openxmlformats.org/markup-compatibility/2006">
      <mc:Choice Requires="x14">
        <control shapeId="3081" r:id="rId12" name="cmbMonthTo">
          <controlPr defaultSize="0" autoLine="0" listFillRange="Months" r:id="rId13">
            <anchor moveWithCells="1">
              <from>
                <xdr:col>5</xdr:col>
                <xdr:colOff>28575</xdr:colOff>
                <xdr:row>14</xdr:row>
                <xdr:rowOff>47625</xdr:rowOff>
              </from>
              <to>
                <xdr:col>5</xdr:col>
                <xdr:colOff>781050</xdr:colOff>
                <xdr:row>15</xdr:row>
                <xdr:rowOff>57150</xdr:rowOff>
              </to>
            </anchor>
          </controlPr>
        </control>
      </mc:Choice>
      <mc:Fallback>
        <control shapeId="3081" r:id="rId12" name="cmbMonthT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0:J52"/>
  <sheetViews>
    <sheetView showGridLines="0" workbookViewId="0">
      <selection activeCell="P32" sqref="P32"/>
    </sheetView>
  </sheetViews>
  <sheetFormatPr defaultRowHeight="12.75" x14ac:dyDescent="0.2"/>
  <cols>
    <col min="1" max="1" width="4.42578125" style="10" customWidth="1"/>
    <col min="2" max="2" width="11" customWidth="1"/>
    <col min="3" max="3" width="11.5703125" customWidth="1"/>
    <col min="4" max="4" width="8" customWidth="1"/>
    <col min="5" max="5" width="7" customWidth="1"/>
    <col min="6" max="6" width="14.140625" customWidth="1"/>
    <col min="7" max="7" width="6.85546875" customWidth="1"/>
    <col min="8" max="8" width="16" customWidth="1"/>
    <col min="9" max="9" width="6.7109375" customWidth="1"/>
    <col min="10" max="10" width="14.28515625" customWidth="1"/>
  </cols>
  <sheetData>
    <row r="10" spans="2:10" ht="13.5" thickBot="1" x14ac:dyDescent="0.25"/>
    <row r="11" spans="2:10" ht="32.25" customHeight="1" x14ac:dyDescent="0.2">
      <c r="B11" s="57" t="s">
        <v>1</v>
      </c>
      <c r="C11" s="58"/>
      <c r="D11" s="57" t="s">
        <v>57</v>
      </c>
      <c r="E11" s="59"/>
      <c r="F11" s="58"/>
      <c r="G11" s="57" t="s">
        <v>53</v>
      </c>
      <c r="H11" s="58"/>
      <c r="I11" s="57" t="s">
        <v>54</v>
      </c>
      <c r="J11" s="58"/>
    </row>
    <row r="12" spans="2:10" ht="19.5" customHeight="1" x14ac:dyDescent="0.2">
      <c r="B12" s="3" t="s">
        <v>20</v>
      </c>
      <c r="C12" s="5" t="s">
        <v>21</v>
      </c>
      <c r="D12" s="3" t="s">
        <v>6</v>
      </c>
      <c r="E12" s="4" t="s">
        <v>7</v>
      </c>
      <c r="F12" s="5" t="s">
        <v>8</v>
      </c>
      <c r="G12" s="3" t="s">
        <v>6</v>
      </c>
      <c r="H12" s="5" t="s">
        <v>8</v>
      </c>
      <c r="I12" s="3" t="s">
        <v>7</v>
      </c>
      <c r="J12" s="5" t="s">
        <v>8</v>
      </c>
    </row>
    <row r="13" spans="2:10" x14ac:dyDescent="0.2">
      <c r="B13" s="7"/>
      <c r="C13" s="8"/>
      <c r="D13" s="7"/>
      <c r="E13" s="6"/>
      <c r="F13" s="44"/>
      <c r="G13" s="7"/>
      <c r="H13" s="44"/>
      <c r="I13" s="7"/>
      <c r="J13" s="44"/>
    </row>
    <row r="14" spans="2:10" x14ac:dyDescent="0.2">
      <c r="B14" s="7"/>
      <c r="C14" s="8"/>
      <c r="D14" s="7"/>
      <c r="E14" s="6"/>
      <c r="F14" s="44"/>
      <c r="G14" s="7"/>
      <c r="H14" s="44"/>
      <c r="I14" s="7"/>
      <c r="J14" s="44"/>
    </row>
    <row r="15" spans="2:10" x14ac:dyDescent="0.2">
      <c r="B15" s="7"/>
      <c r="C15" s="8"/>
      <c r="D15" s="7"/>
      <c r="E15" s="6"/>
      <c r="F15" s="44"/>
      <c r="G15" s="7"/>
      <c r="H15" s="44"/>
      <c r="I15" s="7"/>
      <c r="J15" s="44"/>
    </row>
    <row r="16" spans="2:10" x14ac:dyDescent="0.2">
      <c r="B16" s="7"/>
      <c r="C16" s="8"/>
      <c r="D16" s="7"/>
      <c r="E16" s="6"/>
      <c r="F16" s="44"/>
      <c r="G16" s="7"/>
      <c r="H16" s="44"/>
      <c r="I16" s="7"/>
      <c r="J16" s="44"/>
    </row>
    <row r="17" spans="2:10" x14ac:dyDescent="0.2">
      <c r="B17" s="7"/>
      <c r="C17" s="8"/>
      <c r="D17" s="7"/>
      <c r="E17" s="6"/>
      <c r="F17" s="44"/>
      <c r="G17" s="7"/>
      <c r="H17" s="44"/>
      <c r="I17" s="7"/>
      <c r="J17" s="44"/>
    </row>
    <row r="18" spans="2:10" x14ac:dyDescent="0.2">
      <c r="B18" s="7"/>
      <c r="C18" s="8"/>
      <c r="D18" s="7"/>
      <c r="E18" s="6"/>
      <c r="F18" s="44"/>
      <c r="G18" s="7"/>
      <c r="H18" s="44"/>
      <c r="I18" s="7"/>
      <c r="J18" s="44"/>
    </row>
    <row r="19" spans="2:10" x14ac:dyDescent="0.2">
      <c r="B19" s="7"/>
      <c r="C19" s="8"/>
      <c r="D19" s="7"/>
      <c r="E19" s="6"/>
      <c r="F19" s="44"/>
      <c r="G19" s="7"/>
      <c r="H19" s="44"/>
      <c r="I19" s="7"/>
      <c r="J19" s="44"/>
    </row>
    <row r="20" spans="2:10" x14ac:dyDescent="0.2">
      <c r="B20" s="7"/>
      <c r="C20" s="8"/>
      <c r="D20" s="7"/>
      <c r="E20" s="6"/>
      <c r="F20" s="44"/>
      <c r="G20" s="7"/>
      <c r="H20" s="44"/>
      <c r="I20" s="7"/>
      <c r="J20" s="44"/>
    </row>
    <row r="21" spans="2:10" x14ac:dyDescent="0.2">
      <c r="B21" s="7"/>
      <c r="C21" s="8"/>
      <c r="D21" s="7"/>
      <c r="E21" s="6"/>
      <c r="F21" s="44"/>
      <c r="G21" s="7"/>
      <c r="H21" s="8"/>
      <c r="I21" s="7"/>
      <c r="J21" s="8"/>
    </row>
    <row r="22" spans="2:10" x14ac:dyDescent="0.2">
      <c r="B22" s="7"/>
      <c r="C22" s="8"/>
      <c r="D22" s="7"/>
      <c r="E22" s="6"/>
      <c r="F22" s="44"/>
      <c r="G22" s="7"/>
      <c r="H22" s="8"/>
      <c r="I22" s="7"/>
      <c r="J22" s="8"/>
    </row>
    <row r="23" spans="2:10" x14ac:dyDescent="0.2">
      <c r="B23" s="7"/>
      <c r="C23" s="8"/>
      <c r="D23" s="7"/>
      <c r="E23" s="6"/>
      <c r="F23" s="44"/>
      <c r="G23" s="7"/>
      <c r="H23" s="8"/>
      <c r="I23" s="7"/>
      <c r="J23" s="8"/>
    </row>
    <row r="24" spans="2:10" x14ac:dyDescent="0.2">
      <c r="B24" s="7"/>
      <c r="C24" s="8"/>
      <c r="D24" s="7"/>
      <c r="E24" s="6"/>
      <c r="F24" s="44"/>
      <c r="G24" s="7"/>
      <c r="H24" s="8"/>
      <c r="I24" s="7"/>
      <c r="J24" s="8"/>
    </row>
    <row r="25" spans="2:10" x14ac:dyDescent="0.2">
      <c r="B25" s="7"/>
      <c r="C25" s="8"/>
      <c r="D25" s="7"/>
      <c r="E25" s="6"/>
      <c r="F25" s="44"/>
      <c r="G25" s="7"/>
      <c r="H25" s="8"/>
      <c r="I25" s="7"/>
      <c r="J25" s="8"/>
    </row>
    <row r="26" spans="2:10" x14ac:dyDescent="0.2">
      <c r="B26" s="7"/>
      <c r="C26" s="8"/>
      <c r="D26" s="7"/>
      <c r="E26" s="6"/>
      <c r="F26" s="44"/>
      <c r="G26" s="7"/>
      <c r="H26" s="8"/>
      <c r="I26" s="7"/>
      <c r="J26" s="8"/>
    </row>
    <row r="27" spans="2:10" x14ac:dyDescent="0.2">
      <c r="B27" s="7"/>
      <c r="C27" s="8"/>
      <c r="D27" s="7"/>
      <c r="E27" s="6"/>
      <c r="F27" s="44"/>
      <c r="G27" s="7"/>
      <c r="H27" s="8"/>
      <c r="I27" s="7"/>
      <c r="J27" s="8"/>
    </row>
    <row r="28" spans="2:10" x14ac:dyDescent="0.2">
      <c r="B28" s="7"/>
      <c r="C28" s="8"/>
      <c r="D28" s="7"/>
      <c r="E28" s="6"/>
      <c r="F28" s="44"/>
      <c r="G28" s="7"/>
      <c r="H28" s="8"/>
      <c r="I28" s="7"/>
      <c r="J28" s="8"/>
    </row>
    <row r="29" spans="2:10" x14ac:dyDescent="0.2">
      <c r="B29" s="7"/>
      <c r="C29" s="8"/>
      <c r="D29" s="7"/>
      <c r="E29" s="6"/>
      <c r="F29" s="44"/>
      <c r="G29" s="7"/>
      <c r="H29" s="8"/>
      <c r="I29" s="7"/>
      <c r="J29" s="8"/>
    </row>
    <row r="30" spans="2:10" x14ac:dyDescent="0.2">
      <c r="B30" s="7"/>
      <c r="C30" s="8"/>
      <c r="D30" s="7"/>
      <c r="E30" s="6"/>
      <c r="F30" s="44"/>
      <c r="G30" s="7"/>
      <c r="H30" s="8"/>
      <c r="I30" s="7"/>
      <c r="J30" s="8"/>
    </row>
    <row r="31" spans="2:10" x14ac:dyDescent="0.2">
      <c r="B31" s="7"/>
      <c r="C31" s="8"/>
      <c r="D31" s="7"/>
      <c r="E31" s="6"/>
      <c r="F31" s="44"/>
      <c r="G31" s="7"/>
      <c r="H31" s="8"/>
      <c r="I31" s="7"/>
      <c r="J31" s="8"/>
    </row>
    <row r="32" spans="2:10" x14ac:dyDescent="0.2">
      <c r="B32" s="7"/>
      <c r="C32" s="8"/>
      <c r="D32" s="7"/>
      <c r="E32" s="6"/>
      <c r="F32" s="44"/>
      <c r="G32" s="7"/>
      <c r="H32" s="8"/>
      <c r="I32" s="7"/>
      <c r="J32" s="8"/>
    </row>
    <row r="33" spans="2:10" x14ac:dyDescent="0.2">
      <c r="B33" s="7"/>
      <c r="C33" s="8"/>
      <c r="D33" s="7"/>
      <c r="E33" s="6"/>
      <c r="F33" s="44"/>
      <c r="G33" s="7"/>
      <c r="H33" s="8"/>
      <c r="I33" s="7"/>
      <c r="J33" s="8"/>
    </row>
    <row r="34" spans="2:10" x14ac:dyDescent="0.2">
      <c r="B34" s="7"/>
      <c r="C34" s="8"/>
      <c r="D34" s="7"/>
      <c r="E34" s="6"/>
      <c r="F34" s="44"/>
      <c r="G34" s="7"/>
      <c r="H34" s="8"/>
      <c r="I34" s="7"/>
      <c r="J34" s="8"/>
    </row>
    <row r="35" spans="2:10" x14ac:dyDescent="0.2">
      <c r="B35" s="7"/>
      <c r="C35" s="8"/>
      <c r="D35" s="7"/>
      <c r="E35" s="6"/>
      <c r="F35" s="44"/>
      <c r="G35" s="7"/>
      <c r="H35" s="8"/>
      <c r="I35" s="7"/>
      <c r="J35" s="8"/>
    </row>
    <row r="36" spans="2:10" x14ac:dyDescent="0.2">
      <c r="B36" s="7"/>
      <c r="C36" s="8"/>
      <c r="D36" s="7"/>
      <c r="E36" s="6"/>
      <c r="F36" s="44"/>
      <c r="G36" s="7"/>
      <c r="H36" s="8"/>
      <c r="I36" s="7"/>
      <c r="J36" s="8"/>
    </row>
    <row r="37" spans="2:10" x14ac:dyDescent="0.2">
      <c r="B37" s="7"/>
      <c r="C37" s="8"/>
      <c r="D37" s="7"/>
      <c r="E37" s="6"/>
      <c r="F37" s="44"/>
      <c r="G37" s="7"/>
      <c r="H37" s="8"/>
      <c r="I37" s="7"/>
      <c r="J37" s="8"/>
    </row>
    <row r="38" spans="2:10" x14ac:dyDescent="0.2">
      <c r="B38" s="7"/>
      <c r="C38" s="8"/>
      <c r="D38" s="7"/>
      <c r="E38" s="6"/>
      <c r="F38" s="44"/>
      <c r="G38" s="7"/>
      <c r="H38" s="8"/>
      <c r="I38" s="7"/>
      <c r="J38" s="8"/>
    </row>
    <row r="39" spans="2:10" x14ac:dyDescent="0.2">
      <c r="B39" s="7"/>
      <c r="C39" s="8"/>
      <c r="D39" s="7"/>
      <c r="E39" s="6"/>
      <c r="F39" s="8"/>
      <c r="G39" s="7"/>
      <c r="H39" s="8"/>
      <c r="I39" s="7"/>
      <c r="J39" s="8"/>
    </row>
    <row r="40" spans="2:10" x14ac:dyDescent="0.2">
      <c r="B40" s="7"/>
      <c r="C40" s="8"/>
      <c r="D40" s="7"/>
      <c r="E40" s="6"/>
      <c r="F40" s="8"/>
      <c r="G40" s="7"/>
      <c r="H40" s="8"/>
      <c r="I40" s="7"/>
      <c r="J40" s="8"/>
    </row>
    <row r="41" spans="2:10" x14ac:dyDescent="0.2">
      <c r="B41" s="7"/>
      <c r="C41" s="8"/>
      <c r="D41" s="7"/>
      <c r="E41" s="6"/>
      <c r="F41" s="8"/>
      <c r="G41" s="7"/>
      <c r="H41" s="8"/>
      <c r="I41" s="7"/>
      <c r="J41" s="8"/>
    </row>
    <row r="42" spans="2:10" x14ac:dyDescent="0.2">
      <c r="B42" s="7"/>
      <c r="C42" s="8"/>
      <c r="D42" s="7"/>
      <c r="E42" s="6"/>
      <c r="F42" s="8"/>
      <c r="G42" s="7"/>
      <c r="H42" s="8"/>
      <c r="I42" s="7"/>
      <c r="J42" s="8"/>
    </row>
    <row r="43" spans="2:10" x14ac:dyDescent="0.2">
      <c r="B43" s="7"/>
      <c r="C43" s="8"/>
      <c r="D43" s="7"/>
      <c r="E43" s="6"/>
      <c r="F43" s="8"/>
      <c r="G43" s="7"/>
      <c r="H43" s="8"/>
      <c r="I43" s="7"/>
      <c r="J43" s="8"/>
    </row>
    <row r="44" spans="2:10" x14ac:dyDescent="0.2">
      <c r="B44" s="7"/>
      <c r="C44" s="8"/>
      <c r="D44" s="7"/>
      <c r="E44" s="6"/>
      <c r="F44" s="8"/>
      <c r="G44" s="7"/>
      <c r="H44" s="8"/>
      <c r="I44" s="7"/>
      <c r="J44" s="8"/>
    </row>
    <row r="45" spans="2:10" x14ac:dyDescent="0.2">
      <c r="B45" s="7"/>
      <c r="C45" s="8"/>
      <c r="D45" s="7"/>
      <c r="E45" s="6"/>
      <c r="F45" s="8"/>
      <c r="G45" s="7"/>
      <c r="H45" s="8"/>
      <c r="I45" s="7"/>
      <c r="J45" s="8"/>
    </row>
    <row r="46" spans="2:10" x14ac:dyDescent="0.2">
      <c r="B46" s="7"/>
      <c r="C46" s="8"/>
      <c r="D46" s="7"/>
      <c r="E46" s="6"/>
      <c r="F46" s="8"/>
      <c r="G46" s="7"/>
      <c r="H46" s="8"/>
      <c r="I46" s="7"/>
      <c r="J46" s="8"/>
    </row>
    <row r="47" spans="2:10" x14ac:dyDescent="0.2">
      <c r="B47" s="7"/>
      <c r="C47" s="8"/>
      <c r="D47" s="7"/>
      <c r="E47" s="6"/>
      <c r="F47" s="8"/>
      <c r="G47" s="7"/>
      <c r="H47" s="8"/>
      <c r="I47" s="7"/>
      <c r="J47" s="8"/>
    </row>
    <row r="48" spans="2:10" x14ac:dyDescent="0.2">
      <c r="B48" s="7"/>
      <c r="C48" s="8"/>
      <c r="D48" s="7"/>
      <c r="E48" s="6"/>
      <c r="F48" s="8"/>
      <c r="G48" s="7"/>
      <c r="H48" s="8"/>
      <c r="I48" s="7"/>
      <c r="J48" s="8"/>
    </row>
    <row r="49" spans="2:10" x14ac:dyDescent="0.2">
      <c r="B49" s="7"/>
      <c r="C49" s="8"/>
      <c r="D49" s="7"/>
      <c r="E49" s="6"/>
      <c r="F49" s="8"/>
      <c r="G49" s="7"/>
      <c r="H49" s="8"/>
      <c r="I49" s="7"/>
      <c r="J49" s="8"/>
    </row>
    <row r="50" spans="2:10" x14ac:dyDescent="0.2">
      <c r="B50" s="7"/>
      <c r="C50" s="8"/>
      <c r="D50" s="7"/>
      <c r="E50" s="6"/>
      <c r="F50" s="8"/>
      <c r="G50" s="7"/>
      <c r="H50" s="8"/>
      <c r="I50" s="7"/>
      <c r="J50" s="8"/>
    </row>
    <row r="51" spans="2:10" x14ac:dyDescent="0.2">
      <c r="B51" s="7"/>
      <c r="C51" s="8"/>
      <c r="D51" s="7"/>
      <c r="E51" s="6"/>
      <c r="F51" s="8"/>
      <c r="G51" s="7"/>
      <c r="H51" s="8"/>
      <c r="I51" s="7"/>
      <c r="J51" s="8"/>
    </row>
    <row r="52" spans="2:10" x14ac:dyDescent="0.2">
      <c r="B52" s="7"/>
      <c r="C52" s="8"/>
      <c r="D52" s="7"/>
      <c r="E52" s="6"/>
      <c r="F52" s="8"/>
      <c r="G52" s="7"/>
      <c r="H52" s="8"/>
      <c r="I52" s="7"/>
      <c r="J52" s="8"/>
    </row>
  </sheetData>
  <mergeCells count="4">
    <mergeCell ref="I11:J11"/>
    <mergeCell ref="G11:H11"/>
    <mergeCell ref="D11:F11"/>
    <mergeCell ref="B11:C11"/>
  </mergeCells>
  <phoneticPr fontId="1" type="noConversion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37</vt:i4>
      </vt:variant>
    </vt:vector>
  </HeadingPairs>
  <TitlesOfParts>
    <vt:vector size="41" baseType="lpstr">
      <vt:lpstr>Welcome</vt:lpstr>
      <vt:lpstr>StockData</vt:lpstr>
      <vt:lpstr>OutputA</vt:lpstr>
      <vt:lpstr>OutputB</vt:lpstr>
      <vt:lpstr>BFrom</vt:lpstr>
      <vt:lpstr>BTable</vt:lpstr>
      <vt:lpstr>BTo</vt:lpstr>
      <vt:lpstr>Buy</vt:lpstr>
      <vt:lpstr>BuyAllowed</vt:lpstr>
      <vt:lpstr>BuyCheck</vt:lpstr>
      <vt:lpstr>BuyLB</vt:lpstr>
      <vt:lpstr>CalcData</vt:lpstr>
      <vt:lpstr>CashFlow</vt:lpstr>
      <vt:lpstr>CostBuy</vt:lpstr>
      <vt:lpstr>CostSell</vt:lpstr>
      <vt:lpstr>Dates</vt:lpstr>
      <vt:lpstr>MaxProfit</vt:lpstr>
      <vt:lpstr>Months</vt:lpstr>
      <vt:lpstr>NoBuyProfit</vt:lpstr>
      <vt:lpstr>NoBuyY</vt:lpstr>
      <vt:lpstr>NoSellProfit</vt:lpstr>
      <vt:lpstr>NoSellX</vt:lpstr>
      <vt:lpstr>NumBuys</vt:lpstr>
      <vt:lpstr>NumSales</vt:lpstr>
      <vt:lpstr>NumShares</vt:lpstr>
      <vt:lpstr>Own</vt:lpstr>
      <vt:lpstr>Print_Area</vt:lpstr>
      <vt:lpstr>Print_Area_MI</vt:lpstr>
      <vt:lpstr>Profit</vt:lpstr>
      <vt:lpstr>ProfitA</vt:lpstr>
      <vt:lpstr>Rate</vt:lpstr>
      <vt:lpstr>RateSpn</vt:lpstr>
      <vt:lpstr>Sell</vt:lpstr>
      <vt:lpstr>SellAllowed</vt:lpstr>
      <vt:lpstr>SellCheck</vt:lpstr>
      <vt:lpstr>SellLB</vt:lpstr>
      <vt:lpstr>SNPProfit</vt:lpstr>
      <vt:lpstr>SNPX</vt:lpstr>
      <vt:lpstr>SNPY</vt:lpstr>
      <vt:lpstr>StartCap</vt:lpstr>
      <vt:lpstr>StartShares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MMH</dc:creator>
  <cp:lastModifiedBy>boonjv</cp:lastModifiedBy>
  <dcterms:created xsi:type="dcterms:W3CDTF">2004-06-07T20:25:38Z</dcterms:created>
  <dcterms:modified xsi:type="dcterms:W3CDTF">2015-08-04T15:24:12Z</dcterms:modified>
</cp:coreProperties>
</file>