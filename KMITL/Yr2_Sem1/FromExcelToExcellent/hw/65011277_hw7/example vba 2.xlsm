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4.xml" ContentType="application/vnd.openxmlformats-officedocument.spreadsheetml.worksheet+xml"/>
  <Override PartName="/xl/chartsheets/sheet2.xml" ContentType="application/vnd.openxmlformats-officedocument.spreadsheetml.chartsheet+xml"/>
  <Override PartName="/xl/worksheets/sheet15.xml" ContentType="application/vnd.openxmlformats-officedocument.spreadsheetml.worksheet+xml"/>
  <Override PartName="/xl/chartsheets/sheet3.xml" ContentType="application/vnd.openxmlformats-officedocument.spreadsheetml.chartsheet+xml"/>
  <Override PartName="/xl/worksheets/sheet16.xml" ContentType="application/vnd.openxmlformats-officedocument.spreadsheetml.worksheet+xml"/>
  <Override PartName="/xl/chartsheets/sheet4.xml" ContentType="application/vnd.openxmlformats-officedocument.spreadsheetml.chartsheet+xml"/>
  <Override PartName="/xl/worksheets/sheet17.xml" ContentType="application/vnd.openxmlformats-officedocument.spreadsheetml.worksheet+xml"/>
  <Override PartName="/xl/chartsheets/sheet5.xml" ContentType="application/vnd.openxmlformats-officedocument.spreadsheetml.chart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ivotTables/pivotTable1.xml" ContentType="application/vnd.openxmlformats-officedocument.spreadsheetml.pivotTab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drawings/drawing15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drawings/drawing18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3.xml" ContentType="application/vnd.openxmlformats-officedocument.drawingml.chart+xml"/>
  <Override PartName="/xl/drawings/drawing21.xml" ContentType="application/vnd.openxmlformats-officedocument.drawingml.chartshapes+xml"/>
  <Override PartName="/xl/pivotTables/pivotTable4.xml" ContentType="application/vnd.openxmlformats-officedocument.spreadsheetml.pivotTab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4.xml" ContentType="application/vnd.openxmlformats-officedocument.drawingml.chart+xml"/>
  <Override PartName="/xl/drawings/drawing24.xml" ContentType="application/vnd.openxmlformats-officedocument.drawingml.chartshapes+xml"/>
  <Override PartName="/xl/pivotTables/pivotTable5.xml" ContentType="application/vnd.openxmlformats-officedocument.spreadsheetml.pivotTab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5.xml" ContentType="application/vnd.openxmlformats-officedocument.drawingml.chart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480" yWindow="15" windowWidth="15210" windowHeight="11640" tabRatio="768"/>
  </bookViews>
  <sheets>
    <sheet name="Welcome" sheetId="1" r:id="rId1"/>
    <sheet name="Descrip" sheetId="30" state="hidden" r:id="rId2"/>
    <sheet name="Demand" sheetId="2" state="hidden" r:id="rId3"/>
    <sheet name="AvailRes" sheetId="4" state="hidden" r:id="rId4"/>
    <sheet name="ResNeeded" sheetId="7" state="hidden" r:id="rId5"/>
    <sheet name="HoldingCost" sheetId="8" state="hidden" r:id="rId6"/>
    <sheet name="ProductionCost" sheetId="9" state="hidden" r:id="rId7"/>
    <sheet name="Model" sheetId="13" state="hidden" r:id="rId8"/>
    <sheet name="ShippingCost" sheetId="10" state="hidden" r:id="rId9"/>
    <sheet name="InitialInv" sheetId="11" state="hidden" r:id="rId10"/>
    <sheet name="Report" sheetId="14" state="hidden" r:id="rId11"/>
    <sheet name="Results" sheetId="12" state="hidden" r:id="rId12"/>
    <sheet name="NumProd" sheetId="20" state="hidden" r:id="rId13"/>
    <sheet name="NumProdC" sheetId="21" state="hidden" r:id="rId14"/>
    <sheet name="NumShip" sheetId="22" state="hidden" r:id="rId15"/>
    <sheet name="NumShipC" sheetId="23" state="hidden" r:id="rId16"/>
    <sheet name="ShipCost" sheetId="24" state="hidden" r:id="rId17"/>
    <sheet name="ShipCostC" sheetId="25" state="hidden" r:id="rId18"/>
    <sheet name="HoldCost" sheetId="26" state="hidden" r:id="rId19"/>
    <sheet name="HoldCostC" sheetId="27" state="hidden" r:id="rId20"/>
    <sheet name="ProdCost" sheetId="28" state="hidden" r:id="rId21"/>
    <sheet name="ProdCostC" sheetId="29" state="hidden" r:id="rId22"/>
    <sheet name="ResProd" sheetId="15" state="hidden" r:id="rId23"/>
    <sheet name="ResFac" sheetId="17" state="hidden" r:id="rId24"/>
  </sheets>
  <definedNames>
    <definedName name="AllDV">Model!$E$7:$E$24,Model!$K$7:$K$60</definedName>
    <definedName name="AmountRes">AvailRes!$B$5</definedName>
    <definedName name="coin_cuttype" localSheetId="7" hidden="1">1</definedName>
    <definedName name="coin_dualtol" localSheetId="7" hidden="1">0.0000001</definedName>
    <definedName name="coin_heurs" localSheetId="7" hidden="1">1</definedName>
    <definedName name="coin_integerpresolve" localSheetId="7" hidden="1">1</definedName>
    <definedName name="coin_presolve1" localSheetId="7" hidden="1">1</definedName>
    <definedName name="coin_primaltol" localSheetId="7" hidden="1">0.0000001</definedName>
    <definedName name="ConDemand">Model!$AK$7:$AK$24</definedName>
    <definedName name="ConInv">Model!$AD$7:$AD$24</definedName>
    <definedName name="ConRes">Model!$W$7:$W$24</definedName>
    <definedName name="ConShip">Model!$P$7:$P$24</definedName>
    <definedName name="DatesList">Demand!$D$6:$D$11</definedName>
    <definedName name="DemandStart">Demand!$B$5</definedName>
    <definedName name="DVToProd">Model!$E$7:$E$24</definedName>
    <definedName name="DVToShip">Model!$K$7:$K$60</definedName>
    <definedName name="HoldCost">HoldingCost!$B$5</definedName>
    <definedName name="InitInv">InitialInv!$B$5</definedName>
    <definedName name="OFHoldCost">Model!$AW$26</definedName>
    <definedName name="OFProdCost">Model!$BB$26</definedName>
    <definedName name="OFShipCost">Model!$AR$35</definedName>
    <definedName name="OFTotalCost">Model!$BD$7</definedName>
    <definedName name="ProdCost" localSheetId="7">ProductionCost!$B$5</definedName>
    <definedName name="ProdCost">ProductionCost!$B$5</definedName>
    <definedName name="ResNeeded">ResNeeded!$B$5</definedName>
    <definedName name="ResultsHoldC" localSheetId="10">Report!$R$7</definedName>
    <definedName name="ResultsHoldC" localSheetId="23">ResFac!#REF!</definedName>
    <definedName name="ResultsHoldC" localSheetId="22">ResProd!#REF!</definedName>
    <definedName name="ResultsHoldC">Results!$R$7</definedName>
    <definedName name="ResultsProd" localSheetId="10">Report!$B$6</definedName>
    <definedName name="ResultsProd" localSheetId="23">ResFac!#REF!</definedName>
    <definedName name="ResultsProd" localSheetId="22">ResProd!#REF!</definedName>
    <definedName name="ResultsProd">Results!$B$6</definedName>
    <definedName name="ResultsProdC" localSheetId="10">Report!$W$7</definedName>
    <definedName name="ResultsProdC" localSheetId="23">ResFac!#REF!</definedName>
    <definedName name="ResultsProdC" localSheetId="22">ResProd!#REF!</definedName>
    <definedName name="ResultsProdC">Results!$W$7</definedName>
    <definedName name="ResultsShip" localSheetId="10">Report!$G$6</definedName>
    <definedName name="ResultsShip" localSheetId="23">ResFac!#REF!</definedName>
    <definedName name="ResultsShip" localSheetId="22">ResProd!#REF!</definedName>
    <definedName name="ResultsShip">Results!$G$6</definedName>
    <definedName name="ResultsShipC" localSheetId="10">Report!$M$7</definedName>
    <definedName name="ResultsShipC" localSheetId="23">ResFac!#REF!</definedName>
    <definedName name="ResultsShipC" localSheetId="22">ResProd!#REF!</definedName>
    <definedName name="ResultsShipC">Results!$M$7</definedName>
    <definedName name="RHSDemand">Model!$AM$7:$AM$24</definedName>
    <definedName name="RHSInv">Model!$AF$7:$AF$24</definedName>
    <definedName name="RHSRes">Model!$Y$7:$Y$24</definedName>
    <definedName name="ShipCost">ShippingCost!$B$5</definedName>
    <definedName name="solver_acc" localSheetId="7" hidden="1">0.001</definedName>
    <definedName name="solver_adj" localSheetId="1" hidden="1">Descrip!$E$7:$E$14,Descrip!$K$7:$K$177</definedName>
    <definedName name="solver_adj" localSheetId="7" hidden="1">Model!$E$7:$E$24,Model!$K$7:$K$60</definedName>
    <definedName name="solver_adj" localSheetId="0" hidden="1">Welcome!$E$7:$E$38,Welcome!$K$7:$K$166</definedName>
    <definedName name="solver_ars" localSheetId="7" hidden="1">1</definedName>
    <definedName name="solver_cct" localSheetId="7" hidden="1">20</definedName>
    <definedName name="solver_cgt" localSheetId="7" hidden="1">1</definedName>
    <definedName name="solver_cha" localSheetId="7" hidden="1">0</definedName>
    <definedName name="solver_chn" localSheetId="7" hidden="1">4</definedName>
    <definedName name="solver_cht" localSheetId="7" hidden="1">0</definedName>
    <definedName name="solver_cir1" localSheetId="1" hidden="1">1</definedName>
    <definedName name="solver_cir1" localSheetId="7" hidden="1">1</definedName>
    <definedName name="solver_cir1" localSheetId="0" hidden="1">1</definedName>
    <definedName name="solver_cir2" localSheetId="1" hidden="1">1</definedName>
    <definedName name="solver_cir2" localSheetId="7" hidden="1">1</definedName>
    <definedName name="solver_cir2" localSheetId="0" hidden="1">1</definedName>
    <definedName name="solver_cir3" localSheetId="1" hidden="1">1</definedName>
    <definedName name="solver_cir3" localSheetId="7" hidden="1">1</definedName>
    <definedName name="solver_cir3" localSheetId="0" hidden="1">1</definedName>
    <definedName name="solver_cir4" localSheetId="1" hidden="1">1</definedName>
    <definedName name="solver_cir4" localSheetId="7" hidden="1">1</definedName>
    <definedName name="solver_cir4" localSheetId="0" hidden="1">1</definedName>
    <definedName name="solver_con1" localSheetId="7" hidden="1">" "</definedName>
    <definedName name="solver_con2" localSheetId="7" hidden="1">" "</definedName>
    <definedName name="solver_con3" localSheetId="7" hidden="1">" "</definedName>
    <definedName name="solver_con4" localSheetId="7" hidden="1">" "</definedName>
    <definedName name="solver_cvg" localSheetId="1" hidden="1">0.0001</definedName>
    <definedName name="solver_cvg" localSheetId="7" hidden="1">0.0001</definedName>
    <definedName name="solver_cvg" localSheetId="0" hidden="1">0.0001</definedName>
    <definedName name="solver_dia" localSheetId="1" hidden="1">4</definedName>
    <definedName name="solver_dia" localSheetId="7" hidden="1">5</definedName>
    <definedName name="solver_dia" localSheetId="0" hidden="1">4</definedName>
    <definedName name="solver_drv" localSheetId="1" hidden="1">1</definedName>
    <definedName name="solver_drv" localSheetId="7" hidden="1">1</definedName>
    <definedName name="solver_drv" localSheetId="0" hidden="1">1</definedName>
    <definedName name="solver_dua" localSheetId="7" hidden="1">1</definedName>
    <definedName name="solver_eng" localSheetId="1" hidden="1">1</definedName>
    <definedName name="solver_eng" localSheetId="7" hidden="1">2</definedName>
    <definedName name="solver_eng" localSheetId="0" hidden="1">1</definedName>
    <definedName name="solver_est" localSheetId="1" hidden="1">1</definedName>
    <definedName name="solver_est" localSheetId="7" hidden="1">1</definedName>
    <definedName name="solver_est" localSheetId="0" hidden="1">1</definedName>
    <definedName name="solver_fea" localSheetId="7" hidden="1">0.000001</definedName>
    <definedName name="solver_fns" localSheetId="7" hidden="1">0</definedName>
    <definedName name="solver_gap" localSheetId="7" hidden="1">0.0000001</definedName>
    <definedName name="solver_gct" localSheetId="7" hidden="1">20</definedName>
    <definedName name="solver_glb" localSheetId="7" hidden="1">-1E+30</definedName>
    <definedName name="solver_gop" localSheetId="7" hidden="1">1</definedName>
    <definedName name="solver_gub" localSheetId="7" hidden="1">1E+30</definedName>
    <definedName name="solver_iao" localSheetId="1" hidden="1">0</definedName>
    <definedName name="solver_iao" localSheetId="7" hidden="1">0</definedName>
    <definedName name="solver_iao" localSheetId="0" hidden="1">0</definedName>
    <definedName name="solver_ibd" localSheetId="7" hidden="1">2</definedName>
    <definedName name="solver_ifs" localSheetId="1" hidden="1">0</definedName>
    <definedName name="solver_ifs" localSheetId="7" hidden="1">0</definedName>
    <definedName name="solver_ifs" localSheetId="0" hidden="1">0</definedName>
    <definedName name="solver_inc" localSheetId="7" hidden="1">0</definedName>
    <definedName name="solver_int" localSheetId="7" hidden="1">1</definedName>
    <definedName name="solver_ipd" localSheetId="7" hidden="1">3</definedName>
    <definedName name="solver_ipi" localSheetId="7" hidden="1">1</definedName>
    <definedName name="solver_ips" localSheetId="7" hidden="1">0.99</definedName>
    <definedName name="solver_irs" localSheetId="1" hidden="1">0</definedName>
    <definedName name="solver_irs" localSheetId="7" hidden="1">0</definedName>
    <definedName name="solver_irs" localSheetId="0" hidden="1">0</definedName>
    <definedName name="solver_ism" localSheetId="1" hidden="1">0</definedName>
    <definedName name="solver_ism" localSheetId="7" hidden="1">0</definedName>
    <definedName name="solver_ism" localSheetId="0" hidden="1">0</definedName>
    <definedName name="solver_itr" localSheetId="1" hidden="1">1000</definedName>
    <definedName name="solver_itr" localSheetId="7" hidden="1">2147483647</definedName>
    <definedName name="solver_itr" localSheetId="0" hidden="1">1000</definedName>
    <definedName name="solver_lhs1" localSheetId="1" hidden="1">Descrip!$AD$7:$AD$44</definedName>
    <definedName name="solver_lhs1" localSheetId="7" hidden="1">Model!$P$7:$P$24</definedName>
    <definedName name="solver_lhs1" localSheetId="0" hidden="1">Welcome!$AD$7:$AD$38</definedName>
    <definedName name="solver_lhs2" localSheetId="1" hidden="1">Descrip!$AK$7:$AK$53</definedName>
    <definedName name="solver_lhs2" localSheetId="7" hidden="1">Model!$W$7:$W$24</definedName>
    <definedName name="solver_lhs2" localSheetId="0" hidden="1">Welcome!$AK$7:$AK$46</definedName>
    <definedName name="solver_lhs3" localSheetId="1" hidden="1">Descrip!$P$7:$P$44</definedName>
    <definedName name="solver_lhs3" localSheetId="7" hidden="1">Model!$AD$7:$AD$24</definedName>
    <definedName name="solver_lhs3" localSheetId="0" hidden="1">Welcome!$P$7:$P$38</definedName>
    <definedName name="solver_lhs4" localSheetId="1" hidden="1">Descrip!$W$7:$W$32</definedName>
    <definedName name="solver_lhs4" localSheetId="7" hidden="1">Model!$AK$7:$AK$24</definedName>
    <definedName name="solver_lhs4" localSheetId="0" hidden="1">Welcome!$W$7:$W$30</definedName>
    <definedName name="solver_lin" localSheetId="1" hidden="1">2</definedName>
    <definedName name="solver_lin" localSheetId="7" hidden="1">1</definedName>
    <definedName name="solver_lin" localSheetId="0" hidden="1">2</definedName>
    <definedName name="solver_loc" localSheetId="7" hidden="1">4</definedName>
    <definedName name="solver_log" localSheetId="7" hidden="1">0</definedName>
    <definedName name="solver_lpp" localSheetId="7" hidden="1">0</definedName>
    <definedName name="solver_lpt" localSheetId="7" hidden="1">0</definedName>
    <definedName name="solver_lva" localSheetId="1" hidden="1">2</definedName>
    <definedName name="solver_lva" localSheetId="7" hidden="1">0</definedName>
    <definedName name="solver_lva" localSheetId="0" hidden="1">2</definedName>
    <definedName name="solver_mda" localSheetId="7" hidden="1">4</definedName>
    <definedName name="solver_met" localSheetId="7" hidden="1">1</definedName>
    <definedName name="solver_mip" localSheetId="1" hidden="1">5000</definedName>
    <definedName name="solver_mip" localSheetId="7" hidden="1">2147483647</definedName>
    <definedName name="solver_mip" localSheetId="0" hidden="1">5000</definedName>
    <definedName name="solver_mni" localSheetId="7" hidden="1">30</definedName>
    <definedName name="solver_mod" localSheetId="1" hidden="1">4</definedName>
    <definedName name="solver_mod" localSheetId="7" hidden="1">3</definedName>
    <definedName name="solver_mod" localSheetId="0" hidden="1">4</definedName>
    <definedName name="solver_mrt" localSheetId="7" hidden="1">0.075</definedName>
    <definedName name="solver_msl" localSheetId="1" hidden="1">2</definedName>
    <definedName name="solver_msl" localSheetId="7" hidden="1">0</definedName>
    <definedName name="solver_msl" localSheetId="0" hidden="1">2</definedName>
    <definedName name="solver_neg" localSheetId="1" hidden="1">1</definedName>
    <definedName name="solver_neg" localSheetId="7" hidden="1">1</definedName>
    <definedName name="solver_neg" localSheetId="0" hidden="1">1</definedName>
    <definedName name="solver_nod" localSheetId="1" hidden="1">5000</definedName>
    <definedName name="solver_nod" localSheetId="7" hidden="1">2147483647</definedName>
    <definedName name="solver_nod" localSheetId="0" hidden="1">5000</definedName>
    <definedName name="solver_ntr" localSheetId="7" hidden="1">0</definedName>
    <definedName name="solver_ntri" hidden="1">1000</definedName>
    <definedName name="solver_num" localSheetId="1" hidden="1">4</definedName>
    <definedName name="solver_num" localSheetId="7" hidden="1">4</definedName>
    <definedName name="solver_num" localSheetId="0" hidden="1">4</definedName>
    <definedName name="solver_nwt" localSheetId="1" hidden="1">1</definedName>
    <definedName name="solver_nwt" localSheetId="7" hidden="1">1</definedName>
    <definedName name="solver_nwt" localSheetId="0" hidden="1">1</definedName>
    <definedName name="solver_ofx" localSheetId="7" hidden="1">2</definedName>
    <definedName name="solver_opt" localSheetId="1" hidden="1">Descrip!$BD$7</definedName>
    <definedName name="solver_opt" localSheetId="7" hidden="1">Model!$BD$7</definedName>
    <definedName name="solver_opt" localSheetId="0" hidden="1">Welcome!$BD$7</definedName>
    <definedName name="solver_phr" localSheetId="7" hidden="1">2</definedName>
    <definedName name="solver_piv" localSheetId="7" hidden="1">0.000001</definedName>
    <definedName name="solver_pre" localSheetId="1" hidden="1">0.000001</definedName>
    <definedName name="solver_pre" localSheetId="7" hidden="1">0.000001</definedName>
    <definedName name="solver_pre" localSheetId="0" hidden="1">0.000001</definedName>
    <definedName name="solver_pro" localSheetId="7" hidden="1">2</definedName>
    <definedName name="solver_psi" localSheetId="7" hidden="1">0</definedName>
    <definedName name="solver_rbv" localSheetId="1" hidden="1">1</definedName>
    <definedName name="solver_rbv" localSheetId="7" hidden="1">1</definedName>
    <definedName name="solver_rbv" localSheetId="0" hidden="1">1</definedName>
    <definedName name="solver_rdp" localSheetId="1" hidden="1">0</definedName>
    <definedName name="solver_rdp" localSheetId="7" hidden="1">1</definedName>
    <definedName name="solver_rdp" localSheetId="0" hidden="1">0</definedName>
    <definedName name="solver_red" localSheetId="7" hidden="1">0.000001</definedName>
    <definedName name="solver_rel1" localSheetId="1" hidden="1">3</definedName>
    <definedName name="solver_rel1" localSheetId="7" hidden="1">1</definedName>
    <definedName name="solver_rel1" localSheetId="0" hidden="1">3</definedName>
    <definedName name="solver_rel2" localSheetId="1" hidden="1">3</definedName>
    <definedName name="solver_rel2" localSheetId="7" hidden="1">1</definedName>
    <definedName name="solver_rel2" localSheetId="0" hidden="1">3</definedName>
    <definedName name="solver_rel3" localSheetId="1" hidden="1">1</definedName>
    <definedName name="solver_rel3" localSheetId="7" hidden="1">3</definedName>
    <definedName name="solver_rel3" localSheetId="0" hidden="1">1</definedName>
    <definedName name="solver_rel4" localSheetId="1" hidden="1">1</definedName>
    <definedName name="solver_rel4" localSheetId="7" hidden="1">3</definedName>
    <definedName name="solver_rel4" localSheetId="0" hidden="1">1</definedName>
    <definedName name="solver_reo" localSheetId="7" hidden="1">2</definedName>
    <definedName name="solver_rep" localSheetId="1" hidden="1">2</definedName>
    <definedName name="solver_rep" localSheetId="7" hidden="1">0</definedName>
    <definedName name="solver_rep" localSheetId="0" hidden="1">2</definedName>
    <definedName name="solver_res" localSheetId="7" hidden="1">0.05</definedName>
    <definedName name="solver_rhs1" localSheetId="1" hidden="1">Model!$AF$7:$AF$24</definedName>
    <definedName name="solver_rhs1" localSheetId="7" hidden="1">Model!$E$7:$E$24</definedName>
    <definedName name="solver_rhs1" localSheetId="0" hidden="1">Model!$AF$7:$AF$24</definedName>
    <definedName name="solver_rhs2" localSheetId="1" hidden="1">Model!$AM$7:$AM$24</definedName>
    <definedName name="solver_rhs2" localSheetId="7" hidden="1">Model!$Y$7:$Y$24</definedName>
    <definedName name="solver_rhs2" localSheetId="0" hidden="1">Model!$AM$7:$AM$24</definedName>
    <definedName name="solver_rhs3" localSheetId="1" hidden="1">Model!$E$7:$E$32</definedName>
    <definedName name="solver_rhs3" localSheetId="7" hidden="1">Model!$AF$7:$AF$24</definedName>
    <definedName name="solver_rhs3" localSheetId="0" hidden="1">Model!$E$7:$E$32</definedName>
    <definedName name="solver_rhs4" localSheetId="1" hidden="1">Model!$Y$7:$Y$24</definedName>
    <definedName name="solver_rhs4" localSheetId="7" hidden="1">Model!$AM$7:$AM$24</definedName>
    <definedName name="solver_rhs4" localSheetId="0" hidden="1">Model!$Y$7:$Y$24</definedName>
    <definedName name="solver_rlx" localSheetId="1" hidden="1">2</definedName>
    <definedName name="solver_rlx" localSheetId="7" hidden="1">0</definedName>
    <definedName name="solver_rlx" localSheetId="0" hidden="1">2</definedName>
    <definedName name="solver_rsmp" hidden="1">2</definedName>
    <definedName name="solver_rsp" localSheetId="1" hidden="1">0</definedName>
    <definedName name="solver_rsp" localSheetId="7" hidden="1">0</definedName>
    <definedName name="solver_rsp" localSheetId="0" hidden="1">0</definedName>
    <definedName name="solver_rtr" localSheetId="7" hidden="1">0</definedName>
    <definedName name="solver_scl" localSheetId="1" hidden="1">2</definedName>
    <definedName name="solver_scl" localSheetId="7" hidden="1">0</definedName>
    <definedName name="solver_scl" localSheetId="0" hidden="1">2</definedName>
    <definedName name="solver_seed" hidden="1">0</definedName>
    <definedName name="solver_sel" localSheetId="1" hidden="1">1</definedName>
    <definedName name="solver_sel" localSheetId="7" hidden="1">1</definedName>
    <definedName name="solver_sel" localSheetId="0" hidden="1">1</definedName>
    <definedName name="solver_sho" localSheetId="1" hidden="1">2</definedName>
    <definedName name="solver_sho" localSheetId="7" hidden="1">0</definedName>
    <definedName name="solver_sho" localSheetId="0" hidden="1">2</definedName>
    <definedName name="solver_slv" localSheetId="7" hidden="1">0</definedName>
    <definedName name="solver_slvu" localSheetId="7" hidden="1">0</definedName>
    <definedName name="solver_soc" localSheetId="7" hidden="1">0</definedName>
    <definedName name="solver_ssz" localSheetId="1" hidden="1">0</definedName>
    <definedName name="solver_ssz" localSheetId="7" hidden="1">0</definedName>
    <definedName name="solver_ssz" localSheetId="0" hidden="1">0</definedName>
    <definedName name="solver_sta" localSheetId="7" hidden="1">0</definedName>
    <definedName name="solver_std" localSheetId="7" hidden="1">0</definedName>
    <definedName name="solver_tim" localSheetId="1" hidden="1">100</definedName>
    <definedName name="solver_tim" localSheetId="7" hidden="1">2147483647</definedName>
    <definedName name="solver_tim" localSheetId="0" hidden="1">100</definedName>
    <definedName name="solver_tms" localSheetId="1" hidden="1">2</definedName>
    <definedName name="solver_tms" localSheetId="7" hidden="1">0</definedName>
    <definedName name="solver_tms" localSheetId="0" hidden="1">2</definedName>
    <definedName name="solver_tol" localSheetId="1" hidden="1">0.05</definedName>
    <definedName name="solver_tol" localSheetId="7" hidden="1">0</definedName>
    <definedName name="solver_tol" localSheetId="0" hidden="1">0.05</definedName>
    <definedName name="solver_typ" localSheetId="1" hidden="1">2</definedName>
    <definedName name="solver_typ" localSheetId="7" hidden="1">2</definedName>
    <definedName name="solver_typ" localSheetId="0" hidden="1">2</definedName>
    <definedName name="solver_ubigm" localSheetId="7" hidden="1">1000000</definedName>
    <definedName name="solver_umod" localSheetId="7" hidden="1">3</definedName>
    <definedName name="solver_urs" localSheetId="7" hidden="1">0</definedName>
    <definedName name="solver_val" localSheetId="1" hidden="1">0</definedName>
    <definedName name="solver_val" localSheetId="7" hidden="1">0</definedName>
    <definedName name="solver_val" localSheetId="0" hidden="1">0</definedName>
    <definedName name="solver_var" localSheetId="7" hidden="1">" "</definedName>
    <definedName name="solver_ver" localSheetId="1" hidden="1">2</definedName>
    <definedName name="solver_ver" localSheetId="7" hidden="1">3</definedName>
    <definedName name="solver_ver" localSheetId="0" hidden="1">2</definedName>
    <definedName name="solver_vir" localSheetId="1" hidden="1">1</definedName>
    <definedName name="solver_vir" localSheetId="0" hidden="1">1</definedName>
    <definedName name="solver_vol" localSheetId="7" hidden="1">0</definedName>
  </definedNames>
  <calcPr calcId="145621"/>
  <pivotCaches>
    <pivotCache cacheId="0" r:id="rId25"/>
    <pivotCache cacheId="1" r:id="rId26"/>
    <pivotCache cacheId="2" r:id="rId27"/>
    <pivotCache cacheId="3" r:id="rId28"/>
    <pivotCache cacheId="4" r:id="rId29"/>
  </pivotCaches>
</workbook>
</file>

<file path=xl/calcChain.xml><?xml version="1.0" encoding="utf-8"?>
<calcChain xmlns="http://schemas.openxmlformats.org/spreadsheetml/2006/main">
  <c r="AR7" i="13" l="1"/>
  <c r="P6" i="12" s="1"/>
  <c r="AR8" i="13"/>
  <c r="P7" i="12" s="1"/>
  <c r="AR9" i="13"/>
  <c r="P8" i="12" s="1"/>
  <c r="AR10" i="13"/>
  <c r="AR11" i="13"/>
  <c r="AR12" i="13"/>
  <c r="P11" i="12" s="1"/>
  <c r="AR13" i="13"/>
  <c r="P12" i="12" s="1"/>
  <c r="AR14" i="13"/>
  <c r="P13" i="12" s="1"/>
  <c r="AR15" i="13"/>
  <c r="P14" i="12" s="1"/>
  <c r="AR16" i="13"/>
  <c r="P15" i="12" s="1"/>
  <c r="AR17" i="13"/>
  <c r="P16" i="12" s="1"/>
  <c r="AR18" i="13"/>
  <c r="P17" i="12" s="1"/>
  <c r="AR19" i="13"/>
  <c r="P18" i="12" s="1"/>
  <c r="AR20" i="13"/>
  <c r="P19" i="12" s="1"/>
  <c r="AR21" i="13"/>
  <c r="P20" i="12" s="1"/>
  <c r="AR22" i="13"/>
  <c r="P21" i="12" s="1"/>
  <c r="AR23" i="13"/>
  <c r="P22" i="12" s="1"/>
  <c r="AR24" i="13"/>
  <c r="P23" i="12" s="1"/>
  <c r="AR25" i="13"/>
  <c r="P24" i="12" s="1"/>
  <c r="AR26" i="13"/>
  <c r="P25" i="12" s="1"/>
  <c r="AR27" i="13"/>
  <c r="P26" i="12" s="1"/>
  <c r="AR28" i="13"/>
  <c r="AR29" i="13"/>
  <c r="P28" i="12" s="1"/>
  <c r="AR30" i="13"/>
  <c r="P29" i="12" s="1"/>
  <c r="AR31" i="13"/>
  <c r="P30" i="12" s="1"/>
  <c r="AR32" i="13"/>
  <c r="P31" i="12" s="1"/>
  <c r="AR33" i="13"/>
  <c r="P32" i="12" s="1"/>
  <c r="P7" i="13"/>
  <c r="AD7" i="13" s="1"/>
  <c r="P8" i="13"/>
  <c r="P9" i="13"/>
  <c r="AD9" i="13" s="1"/>
  <c r="AW9" i="13" s="1"/>
  <c r="U8" i="12" s="1"/>
  <c r="P10" i="13"/>
  <c r="P11" i="13"/>
  <c r="AD11" i="13" s="1"/>
  <c r="AW11" i="13" s="1"/>
  <c r="U10" i="12" s="1"/>
  <c r="P12" i="13"/>
  <c r="P13" i="13"/>
  <c r="AD13" i="13" s="1"/>
  <c r="AW13" i="13" s="1"/>
  <c r="U12" i="12" s="1"/>
  <c r="P14" i="13"/>
  <c r="P15" i="13"/>
  <c r="AD15" i="13" s="1"/>
  <c r="AW15" i="13" s="1"/>
  <c r="U14" i="12" s="1"/>
  <c r="P16" i="13"/>
  <c r="P17" i="13"/>
  <c r="AD17" i="13" s="1"/>
  <c r="AW17" i="13" s="1"/>
  <c r="U16" i="12" s="1"/>
  <c r="P18" i="13"/>
  <c r="P19" i="13"/>
  <c r="AD19" i="13" s="1"/>
  <c r="AW19" i="13" s="1"/>
  <c r="U18" i="12" s="1"/>
  <c r="P20" i="13"/>
  <c r="P21" i="13"/>
  <c r="AD21" i="13" s="1"/>
  <c r="AW21" i="13" s="1"/>
  <c r="U20" i="12" s="1"/>
  <c r="P22" i="13"/>
  <c r="P23" i="13"/>
  <c r="AD23" i="13" s="1"/>
  <c r="AW23" i="13" s="1"/>
  <c r="U22" i="12" s="1"/>
  <c r="P24" i="13"/>
  <c r="BB7" i="13"/>
  <c r="Z6" i="12" s="1"/>
  <c r="BB8" i="13"/>
  <c r="BB9" i="13"/>
  <c r="Z8" i="12" s="1"/>
  <c r="BB10" i="13"/>
  <c r="Z9" i="12" s="1"/>
  <c r="BB11" i="13"/>
  <c r="BB12" i="13"/>
  <c r="Z11" i="12" s="1"/>
  <c r="BB13" i="13"/>
  <c r="Z12" i="12" s="1"/>
  <c r="BB14" i="13"/>
  <c r="Z13" i="12" s="1"/>
  <c r="BB15" i="13"/>
  <c r="Z14" i="12" s="1"/>
  <c r="BB16" i="13"/>
  <c r="Z15" i="12" s="1"/>
  <c r="BB17" i="13"/>
  <c r="Z16" i="12" s="1"/>
  <c r="BB18" i="13"/>
  <c r="Z17" i="12" s="1"/>
  <c r="BB19" i="13"/>
  <c r="Z18" i="12" s="1"/>
  <c r="BB20" i="13"/>
  <c r="Z19" i="12" s="1"/>
  <c r="BB21" i="13"/>
  <c r="Z20" i="12" s="1"/>
  <c r="BB22" i="13"/>
  <c r="Z21" i="12" s="1"/>
  <c r="BB23" i="13"/>
  <c r="Z22" i="12" s="1"/>
  <c r="BB24" i="13"/>
  <c r="Z23" i="12" s="1"/>
  <c r="K11" i="12"/>
  <c r="K9" i="12"/>
  <c r="K7" i="12"/>
  <c r="K42" i="12"/>
  <c r="K44" i="12"/>
  <c r="K46" i="12"/>
  <c r="E11" i="12"/>
  <c r="E17" i="12"/>
  <c r="E23" i="12"/>
  <c r="E10" i="12"/>
  <c r="E16" i="12"/>
  <c r="E22" i="12"/>
  <c r="E9" i="12"/>
  <c r="E15" i="12"/>
  <c r="E21" i="12"/>
  <c r="E8" i="12"/>
  <c r="E14" i="12"/>
  <c r="E20" i="12"/>
  <c r="E7" i="12"/>
  <c r="E13" i="12"/>
  <c r="E19" i="12"/>
  <c r="E6" i="12"/>
  <c r="E12" i="12"/>
  <c r="E18" i="12"/>
  <c r="G9" i="17"/>
  <c r="H19" i="17"/>
  <c r="H29" i="17"/>
  <c r="Z10" i="12"/>
  <c r="P9" i="12"/>
  <c r="P10" i="12"/>
  <c r="P27" i="12"/>
  <c r="K43" i="12"/>
  <c r="K45" i="12"/>
  <c r="K47" i="12"/>
  <c r="K49" i="12"/>
  <c r="K51" i="12"/>
  <c r="K53" i="12"/>
  <c r="K55" i="12"/>
  <c r="K57" i="12"/>
  <c r="K59" i="12"/>
  <c r="K48" i="12"/>
  <c r="K50" i="12"/>
  <c r="K52" i="12"/>
  <c r="K54" i="12"/>
  <c r="K56" i="12"/>
  <c r="K58" i="12"/>
  <c r="K25" i="12"/>
  <c r="K27" i="12"/>
  <c r="K29" i="12"/>
  <c r="K31" i="12"/>
  <c r="K33" i="12"/>
  <c r="K35" i="12"/>
  <c r="K37" i="12"/>
  <c r="K39" i="12"/>
  <c r="K41" i="12"/>
  <c r="K24" i="12"/>
  <c r="K26" i="12"/>
  <c r="K28" i="12"/>
  <c r="K30" i="12"/>
  <c r="K32" i="12"/>
  <c r="K34" i="12"/>
  <c r="K36" i="12"/>
  <c r="K38" i="12"/>
  <c r="K40" i="12"/>
  <c r="K13" i="12"/>
  <c r="K15" i="12"/>
  <c r="K17" i="12"/>
  <c r="K19" i="12"/>
  <c r="K21" i="12"/>
  <c r="K23" i="12"/>
  <c r="K6" i="12"/>
  <c r="K8" i="12"/>
  <c r="K10" i="12"/>
  <c r="K12" i="12"/>
  <c r="K14" i="12"/>
  <c r="K16" i="12"/>
  <c r="K18" i="12"/>
  <c r="K20" i="12"/>
  <c r="K22" i="12"/>
  <c r="W24" i="13"/>
  <c r="W23" i="13"/>
  <c r="W22" i="13"/>
  <c r="W21" i="13"/>
  <c r="W20" i="13"/>
  <c r="W19" i="13"/>
  <c r="W18" i="13"/>
  <c r="W17" i="13"/>
  <c r="W16" i="13"/>
  <c r="W15" i="13"/>
  <c r="W14" i="13"/>
  <c r="W13" i="13"/>
  <c r="W12" i="13"/>
  <c r="W8" i="13"/>
  <c r="W9" i="13"/>
  <c r="W10" i="13"/>
  <c r="W11" i="13"/>
  <c r="W7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AK24" i="13"/>
  <c r="AK23" i="13"/>
  <c r="AK22" i="13"/>
  <c r="AK21" i="13"/>
  <c r="AK20" i="13"/>
  <c r="AK19" i="13"/>
  <c r="AK18" i="13"/>
  <c r="AK17" i="13"/>
  <c r="AK16" i="13"/>
  <c r="AK15" i="13"/>
  <c r="AK14" i="13"/>
  <c r="AK13" i="13"/>
  <c r="AK12" i="13"/>
  <c r="AK11" i="13"/>
  <c r="AK10" i="13"/>
  <c r="AK9" i="13"/>
  <c r="AK8" i="13"/>
  <c r="AK7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AM8" i="13"/>
  <c r="AM9" i="13"/>
  <c r="AM10" i="13"/>
  <c r="AM11" i="13"/>
  <c r="AM12" i="13"/>
  <c r="AM13" i="13"/>
  <c r="AM14" i="13"/>
  <c r="AM15" i="13"/>
  <c r="AM16" i="13"/>
  <c r="AM17" i="13"/>
  <c r="AM18" i="13"/>
  <c r="AM19" i="13"/>
  <c r="AM20" i="13"/>
  <c r="AM21" i="13"/>
  <c r="AM22" i="13"/>
  <c r="AM23" i="13"/>
  <c r="AM24" i="13"/>
  <c r="AM7" i="13"/>
  <c r="Y8" i="13"/>
  <c r="Y7" i="13"/>
  <c r="D9" i="15" l="1"/>
  <c r="D8" i="15"/>
  <c r="D16" i="15"/>
  <c r="H27" i="15"/>
  <c r="H23" i="15"/>
  <c r="AR35" i="13"/>
  <c r="P34" i="12" s="1"/>
  <c r="D6" i="15"/>
  <c r="D10" i="15"/>
  <c r="H25" i="15"/>
  <c r="D15" i="15"/>
  <c r="D11" i="15"/>
  <c r="D20" i="15"/>
  <c r="D6" i="17"/>
  <c r="D8" i="17"/>
  <c r="D10" i="17"/>
  <c r="D15" i="17"/>
  <c r="BB26" i="13"/>
  <c r="Z25" i="12" s="1"/>
  <c r="D7" i="17"/>
  <c r="D9" i="17"/>
  <c r="D11" i="17"/>
  <c r="D16" i="17"/>
  <c r="H28" i="15"/>
  <c r="H26" i="15"/>
  <c r="D18" i="15"/>
  <c r="G7" i="15"/>
  <c r="D7" i="15"/>
  <c r="D17" i="15"/>
  <c r="D19" i="15"/>
  <c r="G8" i="15"/>
  <c r="G6" i="15"/>
  <c r="Z7" i="12"/>
  <c r="H24" i="15" s="1"/>
  <c r="H15" i="15"/>
  <c r="H17" i="15"/>
  <c r="AW7" i="13"/>
  <c r="AD8" i="13"/>
  <c r="AW8" i="13" s="1"/>
  <c r="U7" i="12" s="1"/>
  <c r="AD24" i="13"/>
  <c r="AW24" i="13" s="1"/>
  <c r="U23" i="12" s="1"/>
  <c r="AD22" i="13"/>
  <c r="AW22" i="13" s="1"/>
  <c r="U21" i="12" s="1"/>
  <c r="AD20" i="13"/>
  <c r="AW20" i="13" s="1"/>
  <c r="U19" i="12" s="1"/>
  <c r="AD18" i="13"/>
  <c r="AW18" i="13" s="1"/>
  <c r="U17" i="12" s="1"/>
  <c r="AD16" i="13"/>
  <c r="AW16" i="13" s="1"/>
  <c r="U15" i="12" s="1"/>
  <c r="AD14" i="13"/>
  <c r="AW14" i="13" s="1"/>
  <c r="U13" i="12" s="1"/>
  <c r="AD12" i="13"/>
  <c r="AW12" i="13" s="1"/>
  <c r="U11" i="12" s="1"/>
  <c r="AD10" i="13"/>
  <c r="AW10" i="13" s="1"/>
  <c r="U9" i="12" s="1"/>
  <c r="G9" i="15" l="1"/>
  <c r="H29" i="15"/>
  <c r="H16" i="15"/>
  <c r="H18" i="15"/>
  <c r="AW26" i="13"/>
  <c r="U6" i="12"/>
  <c r="H13" i="15" s="1"/>
  <c r="H14" i="15"/>
  <c r="H19" i="15" l="1"/>
  <c r="BD7" i="13"/>
  <c r="U25" i="12"/>
  <c r="J6" i="17" l="1"/>
  <c r="B9" i="14"/>
  <c r="J6" i="15"/>
  <c r="AB6" i="12"/>
</calcChain>
</file>

<file path=xl/sharedStrings.xml><?xml version="1.0" encoding="utf-8"?>
<sst xmlns="http://schemas.openxmlformats.org/spreadsheetml/2006/main" count="311" uniqueCount="97">
  <si>
    <t>Customer</t>
  </si>
  <si>
    <t>Product</t>
  </si>
  <si>
    <t>Period</t>
  </si>
  <si>
    <t>Factory</t>
  </si>
  <si>
    <t>Resource</t>
  </si>
  <si>
    <t>Decision Variables</t>
  </si>
  <si>
    <t>Number of products to produce at each factory per period</t>
  </si>
  <si>
    <t>Number of products to ship to each customer</t>
  </si>
  <si>
    <t>Constraints</t>
  </si>
  <si>
    <t>Ending inventory must be greater than 0 for each period</t>
  </si>
  <si>
    <t>Objective Function</t>
  </si>
  <si>
    <t>Minimize total costs = shipping costs*amount shipped + holding cost * ending inventory + production cost * amount produced</t>
  </si>
  <si>
    <t>&gt;=</t>
  </si>
  <si>
    <t>&lt;=</t>
  </si>
  <si>
    <t>Demand</t>
  </si>
  <si>
    <t>Amount Available</t>
  </si>
  <si>
    <t>Amount Needed</t>
  </si>
  <si>
    <t>Holding Cost</t>
  </si>
  <si>
    <t>Production Cost</t>
  </si>
  <si>
    <t>Shipping Cost</t>
  </si>
  <si>
    <t>Initial Inventory</t>
  </si>
  <si>
    <t>Number to Produce</t>
  </si>
  <si>
    <t>Number to Ship</t>
  </si>
  <si>
    <t>Amount shipped must meet Demand per customer</t>
  </si>
  <si>
    <t>Number Produced</t>
  </si>
  <si>
    <t>Number Shipped</t>
  </si>
  <si>
    <t>Inventory</t>
  </si>
  <si>
    <t>Amount Shipped</t>
  </si>
  <si>
    <t>Total Shipping Cost</t>
  </si>
  <si>
    <t>Total Holding Cost</t>
  </si>
  <si>
    <t>Total Production Cost</t>
  </si>
  <si>
    <t>Total Cost</t>
  </si>
  <si>
    <t>Final Shipping Costs</t>
  </si>
  <si>
    <t>Final Holding Costs</t>
  </si>
  <si>
    <t>Final Production Costs</t>
  </si>
  <si>
    <t>Number of products produced at each factory per period</t>
  </si>
  <si>
    <t>Number of products shipped to each customer</t>
  </si>
  <si>
    <t>Amount shipped per factory must be less than or equal to amount produced</t>
  </si>
  <si>
    <t>Total to Produce</t>
  </si>
  <si>
    <t>Total to Ship</t>
  </si>
  <si>
    <t>Production per Product</t>
  </si>
  <si>
    <t>Shipping per Product</t>
  </si>
  <si>
    <t>Shipping Costs per Product</t>
  </si>
  <si>
    <t>Holding Costs per Product</t>
  </si>
  <si>
    <t>Total Shipping Costs</t>
  </si>
  <si>
    <t>Total Holding Costs</t>
  </si>
  <si>
    <t>Production Costs per Product</t>
  </si>
  <si>
    <t>Total Production Costs</t>
  </si>
  <si>
    <t>Production per Factory</t>
  </si>
  <si>
    <t>Shipping per Factory</t>
  </si>
  <si>
    <t>Shipping Costs per Factory</t>
  </si>
  <si>
    <t>Holding Costs per Factory</t>
  </si>
  <si>
    <t>Production Costs per Factory</t>
  </si>
  <si>
    <t>Grand Total</t>
  </si>
  <si>
    <t>1 Total</t>
  </si>
  <si>
    <t>2 Total</t>
  </si>
  <si>
    <t>3 Total</t>
  </si>
  <si>
    <t>Resources used must be less than or equal to Available Resources</t>
  </si>
  <si>
    <t>Decision variables:</t>
  </si>
  <si>
    <t>Constraints:</t>
  </si>
  <si>
    <t>for all i, j, t</t>
  </si>
  <si>
    <t>for all r, j, t</t>
  </si>
  <si>
    <t>All decision variables should be greater than or equal to 0.</t>
  </si>
  <si>
    <t>Objective function: Minimize total costs = total shipping costs + total holding costs + total production costs.</t>
  </si>
  <si>
    <t>Total costs:</t>
  </si>
  <si>
    <r>
      <t xml:space="preserve">Number to produce of each product (in each factory for each period) = </t>
    </r>
    <r>
      <rPr>
        <b/>
        <sz val="10"/>
        <rFont val="Arial"/>
        <family val="2"/>
      </rPr>
      <t>x(ijt)</t>
    </r>
  </si>
  <si>
    <r>
      <t xml:space="preserve">Number to ship of each product (from each factory to each customer for each period) = </t>
    </r>
    <r>
      <rPr>
        <b/>
        <sz val="10"/>
        <rFont val="Arial"/>
        <family val="2"/>
      </rPr>
      <t>y(ijkt)</t>
    </r>
  </si>
  <si>
    <t xml:space="preserve">Amount shipped of each product (per factory in each period) must be less than or equal to the amount produced of each product (at each factory in each period). </t>
  </si>
  <si>
    <t>∑(k) y(ijkt) ≤ x(ijt)</t>
  </si>
  <si>
    <t xml:space="preserve">Resources used (per factory per period) must be less than or equal to available resources (per factory per period). </t>
  </si>
  <si>
    <t>Remember that the amount shipped is also per customer, therefore we must sum these values over</t>
  </si>
  <si>
    <t xml:space="preserve"> all customers for each product, factory, and period to compare it to the production amount.</t>
  </si>
  <si>
    <t xml:space="preserve">Here, we define the ending inventory of period t+1 to be equal to the ending inventory in </t>
  </si>
  <si>
    <t>period t plus the amount produced in period t+1 minus the amount shipped in period t+1.</t>
  </si>
  <si>
    <t>∑(i) N(ri) * x(ijt) ≤ A(rjt)</t>
  </si>
  <si>
    <t>V(ij(t+1)) = V(ijt) + x(ij(t+1)) -- y(ij(t+1))</t>
  </si>
  <si>
    <t>V(ijt) ≥ 0</t>
  </si>
  <si>
    <t xml:space="preserve">Amount shipped (of each product from each factory to each customer) must meet demand per customer. </t>
  </si>
  <si>
    <t>therefore we must sum these values over all factories for each product, customer, and period to compare it to the demand values.</t>
  </si>
  <si>
    <t>∑(j) y(ijkt) ≥ D(ikt)</t>
  </si>
  <si>
    <t>y(ijkt) ≥ 0, x(ijt) ≥ 0</t>
  </si>
  <si>
    <t xml:space="preserve">Total shipping costs = amount shipped * shipping costs per product from each factory to each customer. </t>
  </si>
  <si>
    <t>therefore we must sum these values over all periods for each product, customer, and factory to multiply with the shipping costs.</t>
  </si>
  <si>
    <t>Remember that ending inventory is also in terms of factories, therefore we must sum these values over all factories to multiply with holding costs.</t>
  </si>
  <si>
    <r>
      <t xml:space="preserve">Here, shipping costs have been given per product per factory per customer, </t>
    </r>
    <r>
      <rPr>
        <b/>
        <sz val="10"/>
        <rFont val="Arial"/>
        <family val="2"/>
      </rPr>
      <t>s(ijk)</t>
    </r>
    <r>
      <rPr>
        <sz val="10"/>
        <rFont val="Arial"/>
        <family val="2"/>
      </rPr>
      <t xml:space="preserve">. Remember that the amount shipped is also per period, </t>
    </r>
  </si>
  <si>
    <r>
      <t xml:space="preserve">Here, demand has been given per product per customer per period, </t>
    </r>
    <r>
      <rPr>
        <b/>
        <sz val="10"/>
        <rFont val="Arial"/>
        <family val="2"/>
      </rPr>
      <t>D(ikt)</t>
    </r>
    <r>
      <rPr>
        <sz val="10"/>
        <rFont val="Arial"/>
        <family val="2"/>
      </rPr>
      <t xml:space="preserve">. Remember that the amount shipped is also per factory, </t>
    </r>
  </si>
  <si>
    <r>
      <t xml:space="preserve">Ending inventory (per product per factory per period, </t>
    </r>
    <r>
      <rPr>
        <b/>
        <sz val="10"/>
        <rFont val="Arial"/>
        <family val="2"/>
      </rPr>
      <t>V(ijt)</t>
    </r>
    <r>
      <rPr>
        <sz val="10"/>
        <rFont val="Arial"/>
        <family val="2"/>
      </rPr>
      <t>)</t>
    </r>
    <r>
      <rPr>
        <sz val="10"/>
        <rFont val="Arial"/>
        <family val="2"/>
      </rPr>
      <t xml:space="preserve"> must be greater than 0 for each period. </t>
    </r>
  </si>
  <si>
    <r>
      <t xml:space="preserve">Here, resources used are equal to the resources needed per product (given, </t>
    </r>
    <r>
      <rPr>
        <b/>
        <sz val="10"/>
        <rFont val="Arial"/>
        <family val="2"/>
      </rPr>
      <t>N(ri)</t>
    </r>
    <r>
      <rPr>
        <sz val="10"/>
        <rFont val="Arial"/>
        <family val="2"/>
      </rPr>
      <t xml:space="preserve">) times the amount produced of each product, </t>
    </r>
  </si>
  <si>
    <r>
      <t xml:space="preserve">and the available resources are given (per factory per period, </t>
    </r>
    <r>
      <rPr>
        <b/>
        <sz val="10"/>
        <rFont val="Arial"/>
        <family val="2"/>
      </rPr>
      <t>A(rjt)</t>
    </r>
    <r>
      <rPr>
        <sz val="10"/>
        <rFont val="Arial"/>
        <family val="2"/>
      </rPr>
      <t>).</t>
    </r>
  </si>
  <si>
    <r>
      <t xml:space="preserve">Total holding costs = ending inventory * holding cost per product per factory per period. Here, holding costs have been given per product per period, </t>
    </r>
    <r>
      <rPr>
        <b/>
        <sz val="10"/>
        <rFont val="Arial"/>
        <family val="2"/>
      </rPr>
      <t>h(it)</t>
    </r>
    <r>
      <rPr>
        <sz val="10"/>
        <rFont val="Arial"/>
        <family val="2"/>
      </rPr>
      <t xml:space="preserve">. </t>
    </r>
  </si>
  <si>
    <t xml:space="preserve">Total production costs = amount produced * production cost per product per factory per period. </t>
  </si>
  <si>
    <r>
      <t xml:space="preserve">Here, production costs are given per product per factory per period, </t>
    </r>
    <r>
      <rPr>
        <b/>
        <sz val="10"/>
        <rFont val="Arial"/>
        <family val="2"/>
      </rPr>
      <t>p(ijt).</t>
    </r>
    <r>
      <rPr>
        <sz val="10"/>
        <rFont val="Arial"/>
        <family val="2"/>
      </rPr>
      <t xml:space="preserve"> </t>
    </r>
  </si>
  <si>
    <t>∑(t) y(ijkt) * s(ijk)</t>
  </si>
  <si>
    <t>∑(j) V(ijt) * h(it)</t>
  </si>
  <si>
    <t>x(ijt) * p(ijt)</t>
  </si>
  <si>
    <t>z = ∑(i) ∑(j) ∑(k) (∑(t) y(ijkt) * s(ijk)) + ∑(i) ∑(t) (∑(j) V(ijt) * h(it)) +∑(i) ∑(j) ∑(t) (x(ijt) * p(ijt))</t>
  </si>
  <si>
    <t>©2005 Seref, Ahuja, Winston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</si>
</sst>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2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8"/>
      <name val="Arial"/>
      <family val="2"/>
    </font>
    <font>
      <u/>
      <sz val="10"/>
      <color indexed="9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b/>
      <sz val="10"/>
      <color indexed="54"/>
      <name val="Arial"/>
      <family val="2"/>
    </font>
    <font>
      <b/>
      <sz val="10"/>
      <color indexed="62"/>
      <name val="Arial"/>
      <family val="2"/>
    </font>
    <font>
      <b/>
      <sz val="10"/>
      <color indexed="8"/>
      <name val="Arial"/>
      <family val="2"/>
    </font>
    <font>
      <b/>
      <sz val="11"/>
      <color indexed="54"/>
      <name val="Arial"/>
      <family val="2"/>
    </font>
    <font>
      <b/>
      <sz val="11"/>
      <color indexed="9"/>
      <name val="Arial"/>
      <family val="2"/>
    </font>
    <font>
      <sz val="10"/>
      <name val="Arial"/>
      <family val="2"/>
    </font>
    <font>
      <b/>
      <sz val="11"/>
      <color indexed="54"/>
      <name val="Arial"/>
      <family val="2"/>
    </font>
    <font>
      <b/>
      <sz val="11"/>
      <color indexed="9"/>
      <name val="Arial"/>
      <family val="2"/>
    </font>
    <font>
      <b/>
      <sz val="10"/>
      <color indexed="54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8"/>
      </left>
      <right/>
      <top style="thin">
        <color indexed="8"/>
      </top>
      <bottom style="thick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00">
    <xf numFmtId="0" fontId="0" fillId="0" borderId="0" xfId="0"/>
    <xf numFmtId="0" fontId="0" fillId="0" borderId="0" xfId="0" applyFill="1"/>
    <xf numFmtId="0" fontId="0" fillId="0" borderId="0" xfId="0" applyFill="1" applyBorder="1"/>
    <xf numFmtId="0" fontId="5" fillId="0" borderId="0" xfId="0" applyFont="1" applyFill="1"/>
    <xf numFmtId="0" fontId="0" fillId="0" borderId="0" xfId="0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1" fillId="0" borderId="0" xfId="0" applyFont="1" applyFill="1"/>
    <xf numFmtId="0" fontId="8" fillId="0" borderId="0" xfId="0" applyFont="1" applyFill="1" applyBorder="1"/>
    <xf numFmtId="0" fontId="8" fillId="0" borderId="0" xfId="0" applyFont="1" applyFill="1"/>
    <xf numFmtId="0" fontId="4" fillId="0" borderId="0" xfId="0" applyFont="1" applyFill="1"/>
    <xf numFmtId="0" fontId="4" fillId="0" borderId="0" xfId="0" applyFont="1" applyFill="1" applyBorder="1"/>
    <xf numFmtId="0" fontId="6" fillId="0" borderId="0" xfId="0" applyFont="1" applyFill="1"/>
    <xf numFmtId="0" fontId="8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10" fillId="0" borderId="0" xfId="0" applyFont="1" applyFill="1"/>
    <xf numFmtId="0" fontId="4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2" borderId="2" xfId="0" applyFont="1" applyFill="1" applyBorder="1"/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2" borderId="1" xfId="0" applyFill="1" applyBorder="1"/>
    <xf numFmtId="0" fontId="0" fillId="2" borderId="10" xfId="0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5" xfId="0" applyFill="1" applyBorder="1"/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6" borderId="13" xfId="0" applyNumberFormat="1" applyFont="1" applyFill="1" applyBorder="1" applyAlignment="1">
      <alignment horizontal="center"/>
    </xf>
    <xf numFmtId="164" fontId="4" fillId="6" borderId="13" xfId="0" applyNumberFormat="1" applyFont="1" applyFill="1" applyBorder="1" applyAlignment="1">
      <alignment horizontal="center"/>
    </xf>
    <xf numFmtId="164" fontId="1" fillId="2" borderId="4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7" fillId="0" borderId="0" xfId="1" applyFont="1" applyFill="1" applyAlignment="1" applyProtection="1">
      <alignment horizontal="center" wrapText="1"/>
    </xf>
    <xf numFmtId="2" fontId="1" fillId="5" borderId="7" xfId="0" applyNumberFormat="1" applyFont="1" applyFill="1" applyBorder="1" applyAlignment="1">
      <alignment horizontal="center"/>
    </xf>
    <xf numFmtId="2" fontId="1" fillId="5" borderId="6" xfId="0" applyNumberFormat="1" applyFont="1" applyFill="1" applyBorder="1" applyAlignment="1">
      <alignment horizontal="center"/>
    </xf>
    <xf numFmtId="2" fontId="0" fillId="5" borderId="7" xfId="0" applyNumberFormat="1" applyFill="1" applyBorder="1" applyAlignment="1">
      <alignment horizontal="center"/>
    </xf>
    <xf numFmtId="2" fontId="0" fillId="5" borderId="6" xfId="0" applyNumberFormat="1" applyFill="1" applyBorder="1" applyAlignment="1">
      <alignment horizontal="center"/>
    </xf>
    <xf numFmtId="2" fontId="0" fillId="5" borderId="10" xfId="0" applyNumberFormat="1" applyFill="1" applyBorder="1" applyAlignment="1">
      <alignment horizontal="center"/>
    </xf>
    <xf numFmtId="0" fontId="4" fillId="0" borderId="0" xfId="0" applyFont="1"/>
    <xf numFmtId="0" fontId="1" fillId="0" borderId="0" xfId="0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164" fontId="1" fillId="5" borderId="7" xfId="0" applyNumberFormat="1" applyFont="1" applyFill="1" applyBorder="1" applyAlignment="1">
      <alignment horizontal="center"/>
    </xf>
    <xf numFmtId="164" fontId="1" fillId="5" borderId="6" xfId="0" applyNumberFormat="1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1" fillId="0" borderId="0" xfId="0" applyFont="1" applyBorder="1"/>
    <xf numFmtId="0" fontId="12" fillId="7" borderId="17" xfId="0" applyFont="1" applyFill="1" applyBorder="1"/>
    <xf numFmtId="0" fontId="12" fillId="7" borderId="18" xfId="0" applyFont="1" applyFill="1" applyBorder="1"/>
    <xf numFmtId="0" fontId="14" fillId="0" borderId="14" xfId="0" applyFont="1" applyBorder="1"/>
    <xf numFmtId="0" fontId="15" fillId="7" borderId="19" xfId="0" applyFont="1" applyFill="1" applyBorder="1"/>
    <xf numFmtId="0" fontId="16" fillId="8" borderId="18" xfId="0" applyFont="1" applyFill="1" applyBorder="1"/>
    <xf numFmtId="0" fontId="16" fillId="8" borderId="17" xfId="0" applyFont="1" applyFill="1" applyBorder="1"/>
    <xf numFmtId="0" fontId="13" fillId="7" borderId="20" xfId="0" applyFont="1" applyFill="1" applyBorder="1" applyAlignment="1">
      <alignment horizontal="right"/>
    </xf>
    <xf numFmtId="2" fontId="0" fillId="0" borderId="14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16" fillId="8" borderId="17" xfId="0" applyNumberFormat="1" applyFont="1" applyFill="1" applyBorder="1" applyAlignment="1">
      <alignment horizontal="center"/>
    </xf>
    <xf numFmtId="2" fontId="16" fillId="8" borderId="22" xfId="0" applyNumberFormat="1" applyFont="1" applyFill="1" applyBorder="1" applyAlignment="1">
      <alignment horizontal="center"/>
    </xf>
    <xf numFmtId="2" fontId="12" fillId="7" borderId="17" xfId="0" applyNumberFormat="1" applyFont="1" applyFill="1" applyBorder="1" applyAlignment="1">
      <alignment horizontal="center"/>
    </xf>
    <xf numFmtId="2" fontId="12" fillId="7" borderId="22" xfId="0" applyNumberFormat="1" applyFont="1" applyFill="1" applyBorder="1" applyAlignment="1">
      <alignment horizontal="center"/>
    </xf>
    <xf numFmtId="2" fontId="13" fillId="7" borderId="20" xfId="0" applyNumberFormat="1" applyFont="1" applyFill="1" applyBorder="1" applyAlignment="1">
      <alignment horizontal="center"/>
    </xf>
    <xf numFmtId="0" fontId="13" fillId="7" borderId="14" xfId="0" applyNumberFormat="1" applyFont="1" applyFill="1" applyBorder="1" applyAlignment="1">
      <alignment horizontal="center"/>
    </xf>
    <xf numFmtId="0" fontId="13" fillId="7" borderId="21" xfId="0" applyNumberFormat="1" applyFont="1" applyFill="1" applyBorder="1" applyAlignment="1">
      <alignment horizontal="center"/>
    </xf>
    <xf numFmtId="2" fontId="0" fillId="2" borderId="14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0" xfId="0" applyNumberFormat="1" applyFill="1" applyBorder="1" applyAlignment="1">
      <alignment horizontal="center"/>
    </xf>
    <xf numFmtId="2" fontId="0" fillId="2" borderId="23" xfId="0" applyNumberFormat="1" applyFill="1" applyBorder="1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2" borderId="24" xfId="0" applyNumberFormat="1" applyFill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15" fillId="7" borderId="19" xfId="0" applyFont="1" applyFill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2" fontId="0" fillId="5" borderId="25" xfId="0" applyNumberForma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16" fillId="8" borderId="18" xfId="0" applyFont="1" applyFill="1" applyBorder="1" applyAlignment="1">
      <alignment horizontal="center"/>
    </xf>
    <xf numFmtId="0" fontId="16" fillId="8" borderId="17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2" fillId="7" borderId="18" xfId="0" applyFont="1" applyFill="1" applyBorder="1" applyAlignment="1">
      <alignment horizontal="center"/>
    </xf>
    <xf numFmtId="0" fontId="12" fillId="7" borderId="17" xfId="0" applyFont="1" applyFill="1" applyBorder="1" applyAlignment="1">
      <alignment horizontal="center"/>
    </xf>
    <xf numFmtId="0" fontId="18" fillId="7" borderId="19" xfId="0" applyFont="1" applyFill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15" xfId="0" applyFont="1" applyFill="1" applyBorder="1" applyAlignment="1">
      <alignment horizontal="center"/>
    </xf>
    <xf numFmtId="0" fontId="19" fillId="8" borderId="18" xfId="0" applyFont="1" applyFill="1" applyBorder="1" applyAlignment="1">
      <alignment horizontal="center"/>
    </xf>
    <xf numFmtId="0" fontId="19" fillId="8" borderId="17" xfId="0" applyFont="1" applyFill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20" fillId="7" borderId="18" xfId="0" applyFont="1" applyFill="1" applyBorder="1" applyAlignment="1">
      <alignment horizontal="center"/>
    </xf>
    <xf numFmtId="0" fontId="20" fillId="7" borderId="17" xfId="0" applyFont="1" applyFill="1" applyBorder="1" applyAlignment="1">
      <alignment horizontal="center"/>
    </xf>
    <xf numFmtId="0" fontId="13" fillId="7" borderId="14" xfId="0" applyFont="1" applyFill="1" applyBorder="1" applyAlignment="1">
      <alignment horizontal="center"/>
    </xf>
    <xf numFmtId="0" fontId="13" fillId="7" borderId="21" xfId="0" applyFont="1" applyFill="1" applyBorder="1" applyAlignment="1">
      <alignment horizontal="center"/>
    </xf>
    <xf numFmtId="0" fontId="13" fillId="7" borderId="20" xfId="0" applyFont="1" applyFill="1" applyBorder="1" applyAlignment="1">
      <alignment horizontal="center"/>
    </xf>
    <xf numFmtId="2" fontId="17" fillId="2" borderId="14" xfId="0" applyNumberFormat="1" applyFont="1" applyFill="1" applyBorder="1" applyAlignment="1">
      <alignment horizontal="center"/>
    </xf>
    <xf numFmtId="2" fontId="17" fillId="2" borderId="21" xfId="0" applyNumberFormat="1" applyFont="1" applyFill="1" applyBorder="1" applyAlignment="1">
      <alignment horizontal="center"/>
    </xf>
    <xf numFmtId="2" fontId="17" fillId="2" borderId="20" xfId="0" applyNumberFormat="1" applyFont="1" applyFill="1" applyBorder="1" applyAlignment="1">
      <alignment horizontal="center"/>
    </xf>
    <xf numFmtId="2" fontId="17" fillId="2" borderId="23" xfId="0" applyNumberFormat="1" applyFont="1" applyFill="1" applyBorder="1" applyAlignment="1">
      <alignment horizontal="center"/>
    </xf>
    <xf numFmtId="2" fontId="17" fillId="2" borderId="0" xfId="0" applyNumberFormat="1" applyFont="1" applyFill="1" applyAlignment="1">
      <alignment horizontal="center"/>
    </xf>
    <xf numFmtId="2" fontId="17" fillId="2" borderId="24" xfId="0" applyNumberFormat="1" applyFont="1" applyFill="1" applyBorder="1" applyAlignment="1">
      <alignment horizontal="center"/>
    </xf>
    <xf numFmtId="2" fontId="4" fillId="7" borderId="14" xfId="0" applyNumberFormat="1" applyFont="1" applyFill="1" applyBorder="1" applyAlignment="1">
      <alignment horizontal="center"/>
    </xf>
    <xf numFmtId="2" fontId="4" fillId="7" borderId="21" xfId="0" applyNumberFormat="1" applyFont="1" applyFill="1" applyBorder="1" applyAlignment="1">
      <alignment horizontal="center"/>
    </xf>
    <xf numFmtId="2" fontId="4" fillId="7" borderId="20" xfId="0" applyNumberFormat="1" applyFont="1" applyFill="1" applyBorder="1" applyAlignment="1">
      <alignment horizontal="center"/>
    </xf>
    <xf numFmtId="2" fontId="19" fillId="8" borderId="17" xfId="0" applyNumberFormat="1" applyFont="1" applyFill="1" applyBorder="1" applyAlignment="1">
      <alignment horizontal="center"/>
    </xf>
    <xf numFmtId="2" fontId="19" fillId="8" borderId="22" xfId="0" applyNumberFormat="1" applyFont="1" applyFill="1" applyBorder="1" applyAlignment="1">
      <alignment horizontal="center"/>
    </xf>
    <xf numFmtId="2" fontId="4" fillId="0" borderId="14" xfId="0" applyNumberFormat="1" applyFont="1" applyBorder="1" applyAlignment="1">
      <alignment horizontal="center"/>
    </xf>
    <xf numFmtId="2" fontId="4" fillId="0" borderId="21" xfId="0" applyNumberFormat="1" applyFont="1" applyBorder="1" applyAlignment="1">
      <alignment horizontal="center"/>
    </xf>
    <xf numFmtId="2" fontId="4" fillId="0" borderId="20" xfId="0" applyNumberFormat="1" applyFont="1" applyBorder="1" applyAlignment="1">
      <alignment horizontal="center"/>
    </xf>
    <xf numFmtId="2" fontId="20" fillId="7" borderId="17" xfId="0" applyNumberFormat="1" applyFont="1" applyFill="1" applyBorder="1" applyAlignment="1">
      <alignment horizontal="center"/>
    </xf>
    <xf numFmtId="2" fontId="20" fillId="7" borderId="22" xfId="0" applyNumberFormat="1" applyFont="1" applyFill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16" fillId="8" borderId="17" xfId="0" applyNumberFormat="1" applyFont="1" applyFill="1" applyBorder="1" applyAlignment="1">
      <alignment horizontal="center"/>
    </xf>
    <xf numFmtId="164" fontId="16" fillId="8" borderId="22" xfId="0" applyNumberFormat="1" applyFont="1" applyFill="1" applyBorder="1" applyAlignment="1">
      <alignment horizontal="center"/>
    </xf>
    <xf numFmtId="164" fontId="12" fillId="7" borderId="17" xfId="0" applyNumberFormat="1" applyFont="1" applyFill="1" applyBorder="1" applyAlignment="1">
      <alignment horizontal="center"/>
    </xf>
    <xf numFmtId="164" fontId="12" fillId="7" borderId="22" xfId="0" applyNumberFormat="1" applyFont="1" applyFill="1" applyBorder="1" applyAlignment="1">
      <alignment horizontal="center"/>
    </xf>
    <xf numFmtId="164" fontId="0" fillId="2" borderId="14" xfId="0" applyNumberFormat="1" applyFill="1" applyBorder="1" applyAlignment="1">
      <alignment horizontal="center"/>
    </xf>
    <xf numFmtId="164" fontId="0" fillId="2" borderId="21" xfId="0" applyNumberFormat="1" applyFill="1" applyBorder="1" applyAlignment="1">
      <alignment horizontal="center"/>
    </xf>
    <xf numFmtId="164" fontId="0" fillId="2" borderId="20" xfId="0" applyNumberFormat="1" applyFill="1" applyBorder="1" applyAlignment="1">
      <alignment horizontal="center"/>
    </xf>
    <xf numFmtId="164" fontId="0" fillId="2" borderId="23" xfId="0" applyNumberFormat="1" applyFill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24" xfId="0" applyNumberFormat="1" applyFill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4" fillId="5" borderId="26" xfId="0" applyFont="1" applyFill="1" applyBorder="1"/>
    <xf numFmtId="0" fontId="0" fillId="5" borderId="27" xfId="0" applyFill="1" applyBorder="1"/>
    <xf numFmtId="0" fontId="0" fillId="5" borderId="28" xfId="0" applyFill="1" applyBorder="1"/>
    <xf numFmtId="0" fontId="0" fillId="5" borderId="29" xfId="0" applyFill="1" applyBorder="1"/>
    <xf numFmtId="0" fontId="0" fillId="5" borderId="0" xfId="0" applyFill="1" applyBorder="1"/>
    <xf numFmtId="0" fontId="0" fillId="5" borderId="30" xfId="0" applyFill="1" applyBorder="1"/>
    <xf numFmtId="0" fontId="0" fillId="5" borderId="31" xfId="0" applyFill="1" applyBorder="1"/>
    <xf numFmtId="0" fontId="0" fillId="5" borderId="32" xfId="0" applyFill="1" applyBorder="1"/>
    <xf numFmtId="0" fontId="0" fillId="5" borderId="33" xfId="0" applyFill="1" applyBorder="1"/>
    <xf numFmtId="0" fontId="4" fillId="4" borderId="26" xfId="0" applyFont="1" applyFill="1" applyBorder="1"/>
    <xf numFmtId="0" fontId="0" fillId="4" borderId="27" xfId="0" applyFill="1" applyBorder="1"/>
    <xf numFmtId="0" fontId="0" fillId="4" borderId="28" xfId="0" applyFill="1" applyBorder="1"/>
    <xf numFmtId="0" fontId="0" fillId="4" borderId="29" xfId="0" applyFill="1" applyBorder="1"/>
    <xf numFmtId="0" fontId="0" fillId="4" borderId="0" xfId="0" applyNumberFormat="1" applyFill="1" applyBorder="1"/>
    <xf numFmtId="0" fontId="0" fillId="4" borderId="0" xfId="0" applyFill="1" applyBorder="1"/>
    <xf numFmtId="0" fontId="0" fillId="4" borderId="30" xfId="0" applyFill="1" applyBorder="1"/>
    <xf numFmtId="0" fontId="4" fillId="4" borderId="0" xfId="0" applyFont="1" applyFill="1" applyBorder="1"/>
    <xf numFmtId="0" fontId="0" fillId="4" borderId="31" xfId="0" applyFill="1" applyBorder="1"/>
    <xf numFmtId="0" fontId="0" fillId="4" borderId="32" xfId="0" applyFill="1" applyBorder="1"/>
    <xf numFmtId="0" fontId="0" fillId="4" borderId="33" xfId="0" applyFill="1" applyBorder="1"/>
    <xf numFmtId="0" fontId="4" fillId="6" borderId="26" xfId="0" applyFont="1" applyFill="1" applyBorder="1"/>
    <xf numFmtId="0" fontId="0" fillId="6" borderId="27" xfId="0" applyFill="1" applyBorder="1"/>
    <xf numFmtId="0" fontId="0" fillId="6" borderId="28" xfId="0" applyFill="1" applyBorder="1"/>
    <xf numFmtId="0" fontId="0" fillId="6" borderId="29" xfId="0" applyFill="1" applyBorder="1"/>
    <xf numFmtId="0" fontId="0" fillId="6" borderId="0" xfId="0" applyNumberFormat="1" applyFill="1" applyBorder="1"/>
    <xf numFmtId="0" fontId="0" fillId="6" borderId="0" xfId="0" applyFill="1" applyBorder="1"/>
    <xf numFmtId="0" fontId="0" fillId="6" borderId="30" xfId="0" applyFill="1" applyBorder="1"/>
    <xf numFmtId="0" fontId="4" fillId="6" borderId="0" xfId="0" applyFont="1" applyFill="1" applyBorder="1"/>
    <xf numFmtId="0" fontId="0" fillId="6" borderId="31" xfId="0" applyFill="1" applyBorder="1"/>
    <xf numFmtId="0" fontId="0" fillId="6" borderId="32" xfId="0" applyFill="1" applyBorder="1"/>
    <xf numFmtId="0" fontId="0" fillId="6" borderId="33" xfId="0" applyFill="1" applyBorder="1"/>
    <xf numFmtId="0" fontId="7" fillId="0" borderId="0" xfId="1" applyFont="1" applyFill="1" applyAlignment="1" applyProtection="1">
      <alignment horizontal="center" wrapText="1"/>
    </xf>
  </cellXfs>
  <cellStyles count="2">
    <cellStyle name="Hyperlink" xfId="1" builtinId="8"/>
    <cellStyle name="Normal" xfId="0" builtinId="0"/>
  </cellStyles>
  <dxfs count="111">
    <dxf>
      <fill>
        <patternFill patternType="solid">
          <bgColor indexed="9"/>
        </patternFill>
      </fill>
    </dxf>
    <dxf>
      <fill>
        <patternFill patternType="solid">
          <bgColor indexed="9"/>
        </patternFill>
      </fill>
    </dxf>
    <dxf>
      <fill>
        <patternFill patternType="solid">
          <bgColor indexed="9"/>
        </patternFill>
      </fill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&quot;$&quot;#,##0.00"/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fill>
        <patternFill patternType="solid">
          <bgColor indexed="9"/>
        </patternFill>
      </fill>
    </dxf>
    <dxf>
      <fill>
        <patternFill patternType="solid">
          <bgColor indexed="9"/>
        </patternFill>
      </fill>
    </dxf>
    <dxf>
      <fill>
        <patternFill patternType="solid">
          <bgColor indexed="9"/>
        </patternFill>
      </fill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&quot;$&quot;#,##0.00"/>
    </dxf>
    <dxf>
      <numFmt numFmtId="2" formatCode="0.00"/>
    </dxf>
    <dxf>
      <alignment horizontal="center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indexed="9"/>
        </patternFill>
      </fill>
    </dxf>
    <dxf>
      <fill>
        <patternFill patternType="solid">
          <bgColor indexed="9"/>
        </patternFill>
      </fill>
    </dxf>
    <dxf>
      <fill>
        <patternFill patternType="solid">
          <bgColor indexed="9"/>
        </patternFill>
      </fill>
    </dxf>
    <dxf>
      <fill>
        <patternFill patternType="solid">
          <bgColor indexed="9"/>
        </patternFill>
      </fill>
    </dxf>
    <dxf>
      <fill>
        <patternFill patternType="solid">
          <bgColor indexed="9"/>
        </patternFill>
      </fill>
    </dxf>
    <dxf>
      <fill>
        <patternFill patternType="solid">
          <bgColor indexed="9"/>
        </patternFill>
      </fill>
    </dxf>
    <dxf>
      <fill>
        <patternFill patternType="solid">
          <bgColor indexed="9"/>
        </patternFill>
      </fill>
    </dxf>
    <dxf>
      <fill>
        <patternFill patternType="solid">
          <bgColor indexed="9"/>
        </patternFill>
      </fill>
    </dxf>
    <dxf>
      <fill>
        <patternFill patternType="solid">
          <bgColor indexed="9"/>
        </patternFill>
      </fill>
    </dxf>
    <dxf>
      <alignment horizontal="center" readingOrder="0"/>
    </dxf>
    <dxf>
      <font>
        <b/>
      </font>
    </dxf>
    <dxf>
      <font>
        <b/>
      </font>
    </dxf>
    <dxf>
      <alignment horizontal="center" readingOrder="0"/>
    </dxf>
    <dxf>
      <alignment horizontal="center" readingOrder="0"/>
    </dxf>
    <dxf>
      <font>
        <b/>
      </font>
    </dxf>
    <dxf>
      <fill>
        <patternFill patternType="solid">
          <bgColor indexed="9"/>
        </patternFill>
      </fill>
    </dxf>
    <dxf>
      <fill>
        <patternFill patternType="solid">
          <bgColor indexed="9"/>
        </patternFill>
      </fill>
    </dxf>
    <dxf>
      <fill>
        <patternFill patternType="solid">
          <bgColor indexed="9"/>
        </patternFill>
      </fill>
    </dxf>
    <dxf>
      <numFmt numFmtId="0" formatCode="General"/>
    </dxf>
    <dxf>
      <numFmt numFmtId="2" formatCode="0.00"/>
      <alignment horizontal="center" readingOrder="0"/>
    </dxf>
    <dxf>
      <numFmt numFmtId="2" formatCode="0.00"/>
      <alignment horizontal="center" readingOrder="0"/>
    </dxf>
    <dxf>
      <numFmt numFmtId="2" formatCode="0.00"/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3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17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5.xml"/><Relationship Id="rId25" Type="http://schemas.openxmlformats.org/officeDocument/2006/relationships/pivotCacheDefinition" Target="pivotCache/pivotCacheDefinition1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2.xml"/><Relationship Id="rId20" Type="http://schemas.openxmlformats.org/officeDocument/2006/relationships/chartsheet" Target="chartsheets/sheet4.xml"/><Relationship Id="rId29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19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18.xml"/><Relationship Id="rId28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5.xml"/><Relationship Id="rId27" Type="http://schemas.openxmlformats.org/officeDocument/2006/relationships/pivotCacheDefinition" Target="pivotCache/pivotCacheDefinition3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[CS11_SCM.xlsm]NumProd!PivotTable3</c:name>
    <c:fmtId val="0"/>
  </c:pivotSource>
  <c:chart>
    <c:autoTitleDeleted val="0"/>
    <c:pivotFmts>
      <c:pivotFmt>
        <c:idx val="0"/>
        <c:spPr>
          <a:solidFill>
            <a:srgbClr val="FFFF99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</c:pivotFmt>
      <c:pivotFmt>
        <c:idx val="1"/>
        <c:spPr>
          <a:solidFill>
            <a:srgbClr val="993366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NumProd!$D$4:$D$5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NumProd!$B$6:$C$21</c:f>
              <c:multiLvlStrCache>
                <c:ptCount val="9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</c:lvl>
                <c:lvl>
                  <c:pt idx="0">
                    <c:v>1</c:v>
                  </c:pt>
                  <c:pt idx="3">
                    <c:v>2</c:v>
                  </c:pt>
                  <c:pt idx="6">
                    <c:v>3</c:v>
                  </c:pt>
                </c:lvl>
              </c:multiLvlStrCache>
            </c:multiLvlStrRef>
          </c:cat>
          <c:val>
            <c:numRef>
              <c:f>NumProd!$D$6:$D$21</c:f>
              <c:numCache>
                <c:formatCode>0.00</c:formatCode>
                <c:ptCount val="9"/>
                <c:pt idx="0">
                  <c:v>0</c:v>
                </c:pt>
                <c:pt idx="1">
                  <c:v>3999</c:v>
                </c:pt>
                <c:pt idx="2">
                  <c:v>0</c:v>
                </c:pt>
                <c:pt idx="3">
                  <c:v>1999.9999999985</c:v>
                </c:pt>
                <c:pt idx="4">
                  <c:v>2665.9999999992224</c:v>
                </c:pt>
                <c:pt idx="5">
                  <c:v>0</c:v>
                </c:pt>
                <c:pt idx="6">
                  <c:v>0</c:v>
                </c:pt>
                <c:pt idx="7">
                  <c:v>3334.9998415962455</c:v>
                </c:pt>
                <c:pt idx="8">
                  <c:v>4264.0000048082911</c:v>
                </c:pt>
              </c:numCache>
            </c:numRef>
          </c:val>
        </c:ser>
        <c:ser>
          <c:idx val="1"/>
          <c:order val="1"/>
          <c:tx>
            <c:strRef>
              <c:f>NumProd!$E$4:$E$5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NumProd!$B$6:$C$21</c:f>
              <c:multiLvlStrCache>
                <c:ptCount val="9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</c:lvl>
                <c:lvl>
                  <c:pt idx="0">
                    <c:v>1</c:v>
                  </c:pt>
                  <c:pt idx="3">
                    <c:v>2</c:v>
                  </c:pt>
                  <c:pt idx="6">
                    <c:v>3</c:v>
                  </c:pt>
                </c:lvl>
              </c:multiLvlStrCache>
            </c:multiLvlStrRef>
          </c:cat>
          <c:val>
            <c:numRef>
              <c:f>NumProd!$E$6:$E$21</c:f>
              <c:numCache>
                <c:formatCode>0.00</c:formatCode>
                <c:ptCount val="9"/>
                <c:pt idx="0">
                  <c:v>1999.9999999995666</c:v>
                </c:pt>
                <c:pt idx="1">
                  <c:v>4000</c:v>
                </c:pt>
                <c:pt idx="2">
                  <c:v>0</c:v>
                </c:pt>
                <c:pt idx="3">
                  <c:v>0</c:v>
                </c:pt>
                <c:pt idx="4">
                  <c:v>4000</c:v>
                </c:pt>
                <c:pt idx="5">
                  <c:v>2132.9999568854046</c:v>
                </c:pt>
                <c:pt idx="6">
                  <c:v>9.0940375230275095E-9</c:v>
                </c:pt>
                <c:pt idx="7">
                  <c:v>2000</c:v>
                </c:pt>
                <c:pt idx="8">
                  <c:v>5998.9998332686382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272768"/>
        <c:axId val="204274304"/>
      </c:barChart>
      <c:catAx>
        <c:axId val="204272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2743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4274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2727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[CS11_SCM.xlsm]NumShip!PivotTable4</c:name>
    <c:fmtId val="0"/>
  </c:pivotSource>
  <c:chart>
    <c:autoTitleDeleted val="0"/>
    <c:pivotFmts>
      <c:pivotFmt>
        <c:idx val="0"/>
        <c:spPr>
          <a:solidFill>
            <a:srgbClr val="FFFF99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</c:pivotFmt>
      <c:pivotFmt>
        <c:idx val="1"/>
        <c:spPr>
          <a:solidFill>
            <a:srgbClr val="993366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NumShip!$E$4:$E$5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NumShip!$B$6:$D$48</c:f>
              <c:multiLvlStrCache>
                <c:ptCount val="27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</c:lvl>
                <c:lvl>
                  <c:pt idx="0">
                    <c:v>1</c:v>
                  </c:pt>
                  <c:pt idx="3">
                    <c:v>2</c:v>
                  </c:pt>
                  <c:pt idx="6">
                    <c:v>3</c:v>
                  </c:pt>
                  <c:pt idx="9">
                    <c:v>1</c:v>
                  </c:pt>
                  <c:pt idx="12">
                    <c:v>2</c:v>
                  </c:pt>
                  <c:pt idx="15">
                    <c:v>3</c:v>
                  </c:pt>
                  <c:pt idx="18">
                    <c:v>1</c:v>
                  </c:pt>
                  <c:pt idx="21">
                    <c:v>2</c:v>
                  </c:pt>
                  <c:pt idx="24">
                    <c:v>3</c:v>
                  </c:pt>
                </c:lvl>
                <c:lvl>
                  <c:pt idx="0">
                    <c:v>1</c:v>
                  </c:pt>
                  <c:pt idx="9">
                    <c:v>2</c:v>
                  </c:pt>
                  <c:pt idx="18">
                    <c:v>3</c:v>
                  </c:pt>
                </c:lvl>
              </c:multiLvlStrCache>
            </c:multiLvlStrRef>
          </c:cat>
          <c:val>
            <c:numRef>
              <c:f>NumShip!$E$6:$E$48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1333</c:v>
                </c:pt>
                <c:pt idx="4">
                  <c:v>1333</c:v>
                </c:pt>
                <c:pt idx="5">
                  <c:v>1333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2000</c:v>
                </c:pt>
                <c:pt idx="12">
                  <c:v>1333</c:v>
                </c:pt>
                <c:pt idx="13">
                  <c:v>1332.999999999322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534.99989818955191</c:v>
                </c:pt>
                <c:pt idx="23">
                  <c:v>2799.9999434066935</c:v>
                </c:pt>
                <c:pt idx="24">
                  <c:v>2265.9999541978468</c:v>
                </c:pt>
                <c:pt idx="25">
                  <c:v>1998.0000506104452</c:v>
                </c:pt>
                <c:pt idx="26">
                  <c:v>0</c:v>
                </c:pt>
              </c:numCache>
            </c:numRef>
          </c:val>
        </c:ser>
        <c:ser>
          <c:idx val="1"/>
          <c:order val="1"/>
          <c:tx>
            <c:strRef>
              <c:f>NumShip!$F$4:$F$5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NumShip!$B$6:$D$48</c:f>
              <c:multiLvlStrCache>
                <c:ptCount val="27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</c:lvl>
                <c:lvl>
                  <c:pt idx="0">
                    <c:v>1</c:v>
                  </c:pt>
                  <c:pt idx="3">
                    <c:v>2</c:v>
                  </c:pt>
                  <c:pt idx="6">
                    <c:v>3</c:v>
                  </c:pt>
                  <c:pt idx="9">
                    <c:v>1</c:v>
                  </c:pt>
                  <c:pt idx="12">
                    <c:v>2</c:v>
                  </c:pt>
                  <c:pt idx="15">
                    <c:v>3</c:v>
                  </c:pt>
                  <c:pt idx="18">
                    <c:v>1</c:v>
                  </c:pt>
                  <c:pt idx="21">
                    <c:v>2</c:v>
                  </c:pt>
                  <c:pt idx="24">
                    <c:v>3</c:v>
                  </c:pt>
                </c:lvl>
                <c:lvl>
                  <c:pt idx="0">
                    <c:v>1</c:v>
                  </c:pt>
                  <c:pt idx="9">
                    <c:v>2</c:v>
                  </c:pt>
                  <c:pt idx="18">
                    <c:v>3</c:v>
                  </c:pt>
                </c:lvl>
              </c:multiLvlStrCache>
            </c:multiLvlStrRef>
          </c:cat>
          <c:val>
            <c:numRef>
              <c:f>NumShip!$F$6:$F$48</c:f>
              <c:numCache>
                <c:formatCode>0.00</c:formatCode>
                <c:ptCount val="27"/>
                <c:pt idx="0">
                  <c:v>1999.9999999995666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2000</c:v>
                </c:pt>
                <c:pt idx="5">
                  <c:v>2000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2000</c:v>
                </c:pt>
                <c:pt idx="13">
                  <c:v>2000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2132.9999568854046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2000.0000050504916</c:v>
                </c:pt>
                <c:pt idx="24">
                  <c:v>2399.9999514921005</c:v>
                </c:pt>
                <c:pt idx="25">
                  <c:v>2665.9999461124398</c:v>
                </c:pt>
                <c:pt idx="26">
                  <c:v>932.99993566409807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3837440"/>
        <c:axId val="203838976"/>
      </c:barChart>
      <c:catAx>
        <c:axId val="20383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389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3838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374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[CS11_SCM.xlsm]ShipCost!PivotTable5</c:name>
    <c:fmtId val="0"/>
  </c:pivotSource>
  <c:chart>
    <c:autoTitleDeleted val="0"/>
    <c:pivotFmts>
      <c:pivotFmt>
        <c:idx val="0"/>
        <c:spPr>
          <a:solidFill>
            <a:srgbClr val="CCFFCC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</c:pivotFmt>
      <c:pivotFmt>
        <c:idx val="1"/>
        <c:spPr>
          <a:solidFill>
            <a:srgbClr val="993366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</c:pivotFmt>
      <c:pivotFmt>
        <c:idx val="2"/>
        <c:spPr>
          <a:solidFill>
            <a:srgbClr val="FFFFCC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ShipCost!$D$4:$D$5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ShipCost!$B$6:$C$21</c:f>
              <c:multiLvlStrCache>
                <c:ptCount val="9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</c:lvl>
                <c:lvl>
                  <c:pt idx="0">
                    <c:v>1</c:v>
                  </c:pt>
                  <c:pt idx="3">
                    <c:v>2</c:v>
                  </c:pt>
                  <c:pt idx="6">
                    <c:v>3</c:v>
                  </c:pt>
                </c:lvl>
              </c:multiLvlStrCache>
            </c:multiLvlStrRef>
          </c:cat>
          <c:val>
            <c:numRef>
              <c:f>ShipCost!$D$6:$D$21</c:f>
              <c:numCache>
                <c:formatCode>"$"#,##0.00</c:formatCode>
                <c:ptCount val="9"/>
                <c:pt idx="0">
                  <c:v>299.99999999993497</c:v>
                </c:pt>
                <c:pt idx="1">
                  <c:v>199.95</c:v>
                </c:pt>
                <c:pt idx="2">
                  <c:v>0</c:v>
                </c:pt>
                <c:pt idx="3">
                  <c:v>0</c:v>
                </c:pt>
                <c:pt idx="4">
                  <c:v>499.95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699.89998585349201</c:v>
                </c:pt>
              </c:numCache>
            </c:numRef>
          </c:val>
        </c:ser>
        <c:ser>
          <c:idx val="1"/>
          <c:order val="1"/>
          <c:tx>
            <c:strRef>
              <c:f>ShipCost!$E$4:$E$5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ShipCost!$B$6:$C$21</c:f>
              <c:multiLvlStrCache>
                <c:ptCount val="9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</c:lvl>
                <c:lvl>
                  <c:pt idx="0">
                    <c:v>1</c:v>
                  </c:pt>
                  <c:pt idx="3">
                    <c:v>2</c:v>
                  </c:pt>
                  <c:pt idx="6">
                    <c:v>3</c:v>
                  </c:pt>
                </c:lvl>
              </c:multiLvlStrCache>
            </c:multiLvlStrRef>
          </c:cat>
          <c:val>
            <c:numRef>
              <c:f>ShipCost!$E$6:$E$21</c:f>
              <c:numCache>
                <c:formatCode>"$"#,##0.00</c:formatCode>
                <c:ptCount val="9"/>
                <c:pt idx="0">
                  <c:v>0</c:v>
                </c:pt>
                <c:pt idx="1">
                  <c:v>499.95</c:v>
                </c:pt>
                <c:pt idx="2">
                  <c:v>0</c:v>
                </c:pt>
                <c:pt idx="3">
                  <c:v>0</c:v>
                </c:pt>
                <c:pt idx="4">
                  <c:v>499.9499999998983</c:v>
                </c:pt>
                <c:pt idx="5">
                  <c:v>0</c:v>
                </c:pt>
                <c:pt idx="6">
                  <c:v>0</c:v>
                </c:pt>
                <c:pt idx="7">
                  <c:v>80.249984728432779</c:v>
                </c:pt>
                <c:pt idx="8">
                  <c:v>699.59999950843269</c:v>
                </c:pt>
              </c:numCache>
            </c:numRef>
          </c:val>
        </c:ser>
        <c:ser>
          <c:idx val="2"/>
          <c:order val="2"/>
          <c:tx>
            <c:strRef>
              <c:f>ShipCost!$F$4:$F$5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ShipCost!$B$6:$C$21</c:f>
              <c:multiLvlStrCache>
                <c:ptCount val="9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</c:lvl>
                <c:lvl>
                  <c:pt idx="0">
                    <c:v>1</c:v>
                  </c:pt>
                  <c:pt idx="3">
                    <c:v>2</c:v>
                  </c:pt>
                  <c:pt idx="6">
                    <c:v>3</c:v>
                  </c:pt>
                </c:lvl>
              </c:multiLvlStrCache>
            </c:multiLvlStrRef>
          </c:cat>
          <c:val>
            <c:numRef>
              <c:f>ShipCost!$F$6:$F$21</c:f>
              <c:numCache>
                <c:formatCode>"$"#,##0.00</c:formatCode>
                <c:ptCount val="9"/>
                <c:pt idx="0">
                  <c:v>0</c:v>
                </c:pt>
                <c:pt idx="1">
                  <c:v>499.95</c:v>
                </c:pt>
                <c:pt idx="2">
                  <c:v>0</c:v>
                </c:pt>
                <c:pt idx="3">
                  <c:v>300</c:v>
                </c:pt>
                <c:pt idx="4">
                  <c:v>0</c:v>
                </c:pt>
                <c:pt idx="5">
                  <c:v>319.94999353281065</c:v>
                </c:pt>
                <c:pt idx="6">
                  <c:v>0</c:v>
                </c:pt>
                <c:pt idx="7">
                  <c:v>719.99999226857778</c:v>
                </c:pt>
                <c:pt idx="8">
                  <c:v>139.94999034961469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47808"/>
        <c:axId val="204661888"/>
      </c:barChart>
      <c:catAx>
        <c:axId val="204647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661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4661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6478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[CS11_SCM.xlsm]HoldCost!PivotTable6</c:name>
    <c:fmtId val="0"/>
  </c:pivotSource>
  <c:chart>
    <c:autoTitleDeleted val="0"/>
    <c:pivotFmts>
      <c:pivotFmt>
        <c:idx val="0"/>
        <c:spPr>
          <a:solidFill>
            <a:srgbClr val="FFFF99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</c:pivotFmt>
      <c:pivotFmt>
        <c:idx val="1"/>
        <c:spPr>
          <a:solidFill>
            <a:srgbClr val="993366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HoldCost!$D$4:$D$5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HoldCost!$B$6:$C$21</c:f>
              <c:multiLvlStrCache>
                <c:ptCount val="9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</c:lvl>
                <c:lvl>
                  <c:pt idx="0">
                    <c:v>1</c:v>
                  </c:pt>
                  <c:pt idx="3">
                    <c:v>2</c:v>
                  </c:pt>
                  <c:pt idx="6">
                    <c:v>3</c:v>
                  </c:pt>
                </c:lvl>
              </c:multiLvlStrCache>
            </c:multiLvlStrRef>
          </c:cat>
          <c:val>
            <c:numRef>
              <c:f>HoldCost!$D$6:$D$21</c:f>
              <c:numCache>
                <c:formatCode>"$"#,##0.00</c:formatCode>
                <c:ptCount val="9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499.99999999925012</c:v>
                </c:pt>
                <c:pt idx="4">
                  <c:v>499.99999999995021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</c:numCache>
            </c:numRef>
          </c:val>
        </c:ser>
        <c:ser>
          <c:idx val="1"/>
          <c:order val="1"/>
          <c:tx>
            <c:strRef>
              <c:f>HoldCost!$E$4:$E$5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HoldCost!$B$6:$C$21</c:f>
              <c:multiLvlStrCache>
                <c:ptCount val="9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</c:lvl>
                <c:lvl>
                  <c:pt idx="0">
                    <c:v>1</c:v>
                  </c:pt>
                  <c:pt idx="3">
                    <c:v>2</c:v>
                  </c:pt>
                  <c:pt idx="6">
                    <c:v>3</c:v>
                  </c:pt>
                </c:lvl>
              </c:multiLvlStrCache>
            </c:multiLvlStrRef>
          </c:cat>
          <c:val>
            <c:numRef>
              <c:f>HoldCost!$E$6:$E$21</c:f>
              <c:numCache>
                <c:formatCode>"$"#,##0.00</c:formatCode>
                <c:ptCount val="9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499.99999999925012</c:v>
                </c:pt>
                <c:pt idx="4">
                  <c:v>499.99999999994998</c:v>
                </c:pt>
                <c:pt idx="5">
                  <c:v>500</c:v>
                </c:pt>
                <c:pt idx="6">
                  <c:v>500.00000000454702</c:v>
                </c:pt>
                <c:pt idx="7">
                  <c:v>499.9999974747542</c:v>
                </c:pt>
                <c:pt idx="8">
                  <c:v>499.99999999999909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845824"/>
        <c:axId val="204847360"/>
      </c:barChart>
      <c:catAx>
        <c:axId val="20484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8473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4847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8458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[CS11_SCM.xlsm]ProdCost!PivotTable7</c:name>
    <c:fmtId val="0"/>
  </c:pivotSource>
  <c:chart>
    <c:autoTitleDeleted val="0"/>
    <c:pivotFmts>
      <c:pivotFmt>
        <c:idx val="0"/>
        <c:spPr>
          <a:solidFill>
            <a:srgbClr val="FFFF99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</c:pivotFmt>
      <c:pivotFmt>
        <c:idx val="1"/>
        <c:spPr>
          <a:solidFill>
            <a:srgbClr val="993366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ProdCost!$D$4:$D$5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ProdCost!$B$6:$C$21</c:f>
              <c:multiLvlStrCache>
                <c:ptCount val="9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</c:lvl>
                <c:lvl>
                  <c:pt idx="0">
                    <c:v>1</c:v>
                  </c:pt>
                  <c:pt idx="3">
                    <c:v>2</c:v>
                  </c:pt>
                  <c:pt idx="6">
                    <c:v>3</c:v>
                  </c:pt>
                </c:lvl>
              </c:multiLvlStrCache>
            </c:multiLvlStrRef>
          </c:cat>
          <c:val>
            <c:numRef>
              <c:f>ProdCost!$D$6:$D$21</c:f>
              <c:numCache>
                <c:formatCode>"$"#,##0.00</c:formatCode>
                <c:ptCount val="9"/>
                <c:pt idx="0">
                  <c:v>0</c:v>
                </c:pt>
                <c:pt idx="1">
                  <c:v>999.75</c:v>
                </c:pt>
                <c:pt idx="2">
                  <c:v>0</c:v>
                </c:pt>
                <c:pt idx="3">
                  <c:v>499.999999999625</c:v>
                </c:pt>
                <c:pt idx="4">
                  <c:v>666.4999999998056</c:v>
                </c:pt>
                <c:pt idx="5">
                  <c:v>0</c:v>
                </c:pt>
                <c:pt idx="6">
                  <c:v>0</c:v>
                </c:pt>
                <c:pt idx="7">
                  <c:v>833.74996039906137</c:v>
                </c:pt>
                <c:pt idx="8">
                  <c:v>1066.0000012020728</c:v>
                </c:pt>
              </c:numCache>
            </c:numRef>
          </c:val>
        </c:ser>
        <c:ser>
          <c:idx val="1"/>
          <c:order val="1"/>
          <c:tx>
            <c:strRef>
              <c:f>ProdCost!$E$4:$E$5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ProdCost!$B$6:$C$21</c:f>
              <c:multiLvlStrCache>
                <c:ptCount val="9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</c:lvl>
                <c:lvl>
                  <c:pt idx="0">
                    <c:v>1</c:v>
                  </c:pt>
                  <c:pt idx="3">
                    <c:v>2</c:v>
                  </c:pt>
                  <c:pt idx="6">
                    <c:v>3</c:v>
                  </c:pt>
                </c:lvl>
              </c:multiLvlStrCache>
            </c:multiLvlStrRef>
          </c:cat>
          <c:val>
            <c:numRef>
              <c:f>ProdCost!$E$6:$E$21</c:f>
              <c:numCache>
                <c:formatCode>"$"#,##0.00</c:formatCode>
                <c:ptCount val="9"/>
                <c:pt idx="0">
                  <c:v>499.99999999989166</c:v>
                </c:pt>
                <c:pt idx="1">
                  <c:v>1000</c:v>
                </c:pt>
                <c:pt idx="2">
                  <c:v>0</c:v>
                </c:pt>
                <c:pt idx="3">
                  <c:v>0</c:v>
                </c:pt>
                <c:pt idx="4">
                  <c:v>1000</c:v>
                </c:pt>
                <c:pt idx="5">
                  <c:v>533.24998922135114</c:v>
                </c:pt>
                <c:pt idx="6">
                  <c:v>2.2735093807568774E-9</c:v>
                </c:pt>
                <c:pt idx="7">
                  <c:v>500</c:v>
                </c:pt>
                <c:pt idx="8">
                  <c:v>1499.7499583171596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479872"/>
        <c:axId val="204481664"/>
      </c:barChart>
      <c:catAx>
        <c:axId val="20447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4816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44816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4798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90" workbookViewId="0"/>
  </sheetViews>
  <pageMargins left="0.75" right="0.75" top="1" bottom="1" header="0.5" footer="0.5"/>
  <headerFooter alignWithMargins="0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6"/>
  <sheetViews>
    <sheetView zoomScale="90" workbookViewId="0"/>
  </sheetViews>
  <pageMargins left="0.75" right="0.75" top="1" bottom="1" header="0.5" footer="0.5"/>
  <headerFooter alignWithMargins="0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8"/>
  <sheetViews>
    <sheetView zoomScale="90" workbookViewId="0"/>
  </sheetViews>
  <pageMargins left="0.75" right="0.75" top="1" bottom="1" header="0.5" footer="0.5"/>
  <headerFooter alignWithMargins="0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20"/>
  <sheetViews>
    <sheetView zoomScale="90" workbookViewId="0"/>
  </sheetViews>
  <pageMargins left="0.75" right="0.75" top="1" bottom="1" header="0.5" footer="0.5"/>
  <headerFooter alignWithMargins="0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22"/>
  <sheetViews>
    <sheetView zoomScale="90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5</xdr:row>
      <xdr:rowOff>76200</xdr:rowOff>
    </xdr:from>
    <xdr:to>
      <xdr:col>6</xdr:col>
      <xdr:colOff>114300</xdr:colOff>
      <xdr:row>7</xdr:row>
      <xdr:rowOff>19050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533400" y="885825"/>
          <a:ext cx="3124200" cy="266700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5">
                <a:alpha val="70000"/>
              </a:srgbClr>
            </a:gs>
            <a:gs pos="100000">
              <a:srgbClr xmlns:mc="http://schemas.openxmlformats.org/markup-compatibility/2006" xmlns:a14="http://schemas.microsoft.com/office/drawing/2010/main" val="99CCFF" mc:Ignorable="a14" a14:legacySpreadsheetColorIndex="44"/>
            </a:gs>
          </a:gsLst>
          <a:path path="rect">
            <a:fillToRect l="100000" t="100000"/>
          </a:path>
        </a:gradFill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n-US" sz="1600" b="1" i="0" u="none" strike="noStrike" baseline="0">
              <a:solidFill>
                <a:srgbClr val="000000"/>
              </a:solidFill>
              <a:latin typeface="Arial"/>
              <a:cs typeface="Arial"/>
            </a:rPr>
            <a:t>Supply Chain Management</a:t>
          </a:r>
          <a:endParaRPr lang="en-US"/>
        </a:p>
      </xdr:txBody>
    </xdr:sp>
    <xdr:clientData/>
  </xdr:twoCellAnchor>
  <xdr:twoCellAnchor>
    <xdr:from>
      <xdr:col>2</xdr:col>
      <xdr:colOff>457200</xdr:colOff>
      <xdr:row>21</xdr:row>
      <xdr:rowOff>66675</xdr:rowOff>
    </xdr:from>
    <xdr:to>
      <xdr:col>4</xdr:col>
      <xdr:colOff>161925</xdr:colOff>
      <xdr:row>23</xdr:row>
      <xdr:rowOff>57150</xdr:rowOff>
    </xdr:to>
    <xdr:grpSp>
      <xdr:nvGrpSpPr>
        <xdr:cNvPr id="1041" name="Group 17"/>
        <xdr:cNvGrpSpPr>
          <a:grpSpLocks/>
        </xdr:cNvGrpSpPr>
      </xdr:nvGrpSpPr>
      <xdr:grpSpPr bwMode="auto">
        <a:xfrm>
          <a:off x="1638300" y="3467100"/>
          <a:ext cx="885825" cy="314325"/>
          <a:chOff x="221" y="492"/>
          <a:chExt cx="95" cy="35"/>
        </a:xfrm>
      </xdr:grpSpPr>
      <xdr:sp macro="[0]!MAIN" textlink="">
        <xdr:nvSpPr>
          <xdr:cNvPr id="1039" name="AutoShape 15"/>
          <xdr:cNvSpPr>
            <a:spLocks noChangeArrowheads="1"/>
          </xdr:cNvSpPr>
        </xdr:nvSpPr>
        <xdr:spPr bwMode="auto">
          <a:xfrm>
            <a:off x="221" y="492"/>
            <a:ext cx="95" cy="35"/>
          </a:xfrm>
          <a:prstGeom prst="bevel">
            <a:avLst>
              <a:gd name="adj" fmla="val 12500"/>
            </a:avLst>
          </a:prstGeom>
          <a:solidFill>
            <a:srgbClr xmlns:mc="http://schemas.openxmlformats.org/markup-compatibility/2006" xmlns:a14="http://schemas.microsoft.com/office/drawing/2010/main" val="99CCFF" mc:Ignorable="a14" a14:legacySpreadsheetColorIndex="44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miter lim="800000"/>
            <a:headEnd/>
            <a:tailEnd/>
          </a:ln>
        </xdr:spPr>
      </xdr:sp>
      <xdr:sp macro="[0]!MAIN" textlink="">
        <xdr:nvSpPr>
          <xdr:cNvPr id="1040" name="Text Box 16"/>
          <xdr:cNvSpPr txBox="1">
            <a:spLocks noChangeArrowheads="1"/>
          </xdr:cNvSpPr>
        </xdr:nvSpPr>
        <xdr:spPr bwMode="auto">
          <a:xfrm>
            <a:off x="233" y="498"/>
            <a:ext cx="69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Start</a:t>
            </a:r>
            <a:endParaRPr lang="en-US"/>
          </a:p>
        </xdr:txBody>
      </xdr:sp>
    </xdr:grpSp>
    <xdr:clientData/>
  </xdr:twoCellAnchor>
  <xdr:twoCellAnchor>
    <xdr:from>
      <xdr:col>0</xdr:col>
      <xdr:colOff>447675</xdr:colOff>
      <xdr:row>7</xdr:row>
      <xdr:rowOff>85725</xdr:rowOff>
    </xdr:from>
    <xdr:to>
      <xdr:col>6</xdr:col>
      <xdr:colOff>171450</xdr:colOff>
      <xdr:row>20</xdr:row>
      <xdr:rowOff>114300</xdr:rowOff>
    </xdr:to>
    <xdr:sp macro="" textlink="">
      <xdr:nvSpPr>
        <xdr:cNvPr id="1086" name="Text Box 62"/>
        <xdr:cNvSpPr txBox="1">
          <a:spLocks noChangeArrowheads="1"/>
        </xdr:cNvSpPr>
      </xdr:nvSpPr>
      <xdr:spPr bwMode="auto">
        <a:xfrm>
          <a:off x="447675" y="1219200"/>
          <a:ext cx="3267075" cy="2133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70000"/>
          </a:srgbClr>
        </a:solidFill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In this application, we seek the best production and shipping schedule which will minimize costs for the supply chain. These costs include production costs, holding costs, and shipping costs. 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For a given number of factories, products, customers, resources, and periods, the number of products produced and shipped to each customer is determined for a minimum the total cost. 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For a more detailed description of this supply chain management model, click here: </a:t>
          </a:r>
          <a:endParaRPr lang="en-US"/>
        </a:p>
      </xdr:txBody>
    </xdr:sp>
    <xdr:clientData/>
  </xdr:twoCellAnchor>
  <xdr:twoCellAnchor editAs="oneCell">
    <xdr:from>
      <xdr:col>6</xdr:col>
      <xdr:colOff>447675</xdr:colOff>
      <xdr:row>5</xdr:row>
      <xdr:rowOff>47625</xdr:rowOff>
    </xdr:from>
    <xdr:to>
      <xdr:col>10</xdr:col>
      <xdr:colOff>523875</xdr:colOff>
      <xdr:row>16</xdr:row>
      <xdr:rowOff>76200</xdr:rowOff>
    </xdr:to>
    <xdr:pic>
      <xdr:nvPicPr>
        <xdr:cNvPr id="1091" name="Picture 67" descr="SCM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60" b="5940"/>
        <a:stretch>
          <a:fillRect/>
        </a:stretch>
      </xdr:blipFill>
      <xdr:spPr bwMode="auto">
        <a:xfrm>
          <a:off x="3990975" y="857250"/>
          <a:ext cx="2438400" cy="1809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409575</xdr:colOff>
      <xdr:row>13</xdr:row>
      <xdr:rowOff>114300</xdr:rowOff>
    </xdr:from>
    <xdr:to>
      <xdr:col>11</xdr:col>
      <xdr:colOff>523875</xdr:colOff>
      <xdr:row>22</xdr:row>
      <xdr:rowOff>19050</xdr:rowOff>
    </xdr:to>
    <xdr:pic>
      <xdr:nvPicPr>
        <xdr:cNvPr id="1090" name="Picture 66" descr="SCM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99" t="3593" r="5714" b="4790"/>
        <a:stretch>
          <a:fillRect/>
        </a:stretch>
      </xdr:blipFill>
      <xdr:spPr bwMode="auto">
        <a:xfrm>
          <a:off x="4543425" y="2219325"/>
          <a:ext cx="2476500" cy="1362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85725</xdr:colOff>
      <xdr:row>18</xdr:row>
      <xdr:rowOff>95250</xdr:rowOff>
    </xdr:from>
    <xdr:to>
      <xdr:col>6</xdr:col>
      <xdr:colOff>47625</xdr:colOff>
      <xdr:row>20</xdr:row>
      <xdr:rowOff>47625</xdr:rowOff>
    </xdr:to>
    <xdr:sp macro="[0]!ModelDescrip" textlink="">
      <xdr:nvSpPr>
        <xdr:cNvPr id="1092" name="AutoShape 68"/>
        <xdr:cNvSpPr>
          <a:spLocks noChangeArrowheads="1"/>
        </xdr:cNvSpPr>
      </xdr:nvSpPr>
      <xdr:spPr bwMode="auto">
        <a:xfrm>
          <a:off x="2447925" y="3009900"/>
          <a:ext cx="1143000" cy="2762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Model Description</a:t>
          </a:r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19050</xdr:rowOff>
    </xdr:from>
    <xdr:to>
      <xdr:col>8</xdr:col>
      <xdr:colOff>571500</xdr:colOff>
      <xdr:row>4</xdr:row>
      <xdr:rowOff>114300</xdr:rowOff>
    </xdr:to>
    <xdr:sp macro="" textlink="">
      <xdr:nvSpPr>
        <xdr:cNvPr id="31745" name="Text Box 1"/>
        <xdr:cNvSpPr txBox="1">
          <a:spLocks noChangeArrowheads="1"/>
        </xdr:cNvSpPr>
      </xdr:nvSpPr>
      <xdr:spPr bwMode="auto">
        <a:xfrm>
          <a:off x="200025" y="180975"/>
          <a:ext cx="4686300" cy="5810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5">
                <a:alpha val="70000"/>
              </a:srgbClr>
            </a:gs>
            <a:gs pos="100000">
              <a:srgbClr xmlns:mc="http://schemas.openxmlformats.org/markup-compatibility/2006" xmlns:a14="http://schemas.microsoft.com/office/drawing/2010/main" val="99CCFF" mc:Ignorable="a14" a14:legacySpreadsheetColorIndex="44"/>
            </a:gs>
          </a:gsLst>
          <a:path path="rect">
            <a:fillToRect l="100000" t="100000"/>
          </a:path>
        </a:gradFill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n-US" sz="1600" b="1" i="0" u="none" strike="noStrike" baseline="0">
              <a:solidFill>
                <a:srgbClr val="000000"/>
              </a:solidFill>
              <a:latin typeface="Arial"/>
              <a:cs typeface="Arial"/>
            </a:rPr>
            <a:t>Supply Chain Management</a:t>
          </a:r>
        </a:p>
        <a:p>
          <a:pPr algn="ctr" rtl="0">
            <a:defRPr sz="1000"/>
          </a:pPr>
          <a:r>
            <a:rPr lang="en-US" sz="1600" b="1" i="0" u="none" strike="noStrike" baseline="0">
              <a:solidFill>
                <a:srgbClr val="000000"/>
              </a:solidFill>
              <a:latin typeface="Arial"/>
              <a:cs typeface="Arial"/>
            </a:rPr>
            <a:t>Model Description</a:t>
          </a:r>
          <a:endParaRPr lang="en-US"/>
        </a:p>
      </xdr:txBody>
    </xdr:sp>
    <xdr:clientData/>
  </xdr:twoCellAnchor>
  <xdr:twoCellAnchor>
    <xdr:from>
      <xdr:col>1</xdr:col>
      <xdr:colOff>28575</xdr:colOff>
      <xdr:row>5</xdr:row>
      <xdr:rowOff>57150</xdr:rowOff>
    </xdr:from>
    <xdr:to>
      <xdr:col>8</xdr:col>
      <xdr:colOff>571500</xdr:colOff>
      <xdr:row>12</xdr:row>
      <xdr:rowOff>9525</xdr:rowOff>
    </xdr:to>
    <xdr:sp macro="" textlink="">
      <xdr:nvSpPr>
        <xdr:cNvPr id="31749" name="Text Box 5"/>
        <xdr:cNvSpPr txBox="1">
          <a:spLocks noChangeArrowheads="1"/>
        </xdr:cNvSpPr>
      </xdr:nvSpPr>
      <xdr:spPr bwMode="auto">
        <a:xfrm>
          <a:off x="209550" y="866775"/>
          <a:ext cx="4676775" cy="10858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70000"/>
          </a:srgbClr>
        </a:solidFill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For a given number of factories, products, customers, resources, and periods, the number of products produced and shipped to each customer is determined to minimize the total supply chain cost. 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Decisions are made per product i, per factory j, per customer k, per period t, and per resource r.</a:t>
          </a:r>
          <a:endParaRPr lang="en-US"/>
        </a:p>
      </xdr:txBody>
    </xdr:sp>
    <xdr:clientData/>
  </xdr:twoCellAnchor>
  <xdr:twoCellAnchor editAs="oneCell">
    <xdr:from>
      <xdr:col>9</xdr:col>
      <xdr:colOff>66675</xdr:colOff>
      <xdr:row>1</xdr:row>
      <xdr:rowOff>19050</xdr:rowOff>
    </xdr:from>
    <xdr:to>
      <xdr:col>11</xdr:col>
      <xdr:colOff>533400</xdr:colOff>
      <xdr:row>6</xdr:row>
      <xdr:rowOff>123825</xdr:rowOff>
    </xdr:to>
    <xdr:pic>
      <xdr:nvPicPr>
        <xdr:cNvPr id="31750" name="Picture 6" descr="SCM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60" b="5940"/>
        <a:stretch>
          <a:fillRect/>
        </a:stretch>
      </xdr:blipFill>
      <xdr:spPr bwMode="auto">
        <a:xfrm>
          <a:off x="4972050" y="180975"/>
          <a:ext cx="16478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485775</xdr:colOff>
      <xdr:row>4</xdr:row>
      <xdr:rowOff>104775</xdr:rowOff>
    </xdr:from>
    <xdr:to>
      <xdr:col>12</xdr:col>
      <xdr:colOff>390525</xdr:colOff>
      <xdr:row>8</xdr:row>
      <xdr:rowOff>152400</xdr:rowOff>
    </xdr:to>
    <xdr:pic>
      <xdr:nvPicPr>
        <xdr:cNvPr id="31751" name="Picture 7" descr="SCM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99" t="3593" r="5714" b="4790"/>
        <a:stretch>
          <a:fillRect/>
        </a:stretch>
      </xdr:blipFill>
      <xdr:spPr bwMode="auto">
        <a:xfrm>
          <a:off x="5391150" y="752475"/>
          <a:ext cx="1676400" cy="695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314325</xdr:colOff>
      <xdr:row>9</xdr:row>
      <xdr:rowOff>104775</xdr:rowOff>
    </xdr:from>
    <xdr:to>
      <xdr:col>12</xdr:col>
      <xdr:colOff>200025</xdr:colOff>
      <xdr:row>11</xdr:row>
      <xdr:rowOff>152400</xdr:rowOff>
    </xdr:to>
    <xdr:sp macro="[0]!EndProg" textlink="">
      <xdr:nvSpPr>
        <xdr:cNvPr id="31753" name="AutoShape 9"/>
        <xdr:cNvSpPr>
          <a:spLocks noChangeArrowheads="1"/>
        </xdr:cNvSpPr>
      </xdr:nvSpPr>
      <xdr:spPr bwMode="auto">
        <a:xfrm>
          <a:off x="5219700" y="1562100"/>
          <a:ext cx="1657350" cy="37147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Application</a:t>
          </a:r>
          <a:endParaRPr lang="en-US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7</xdr:row>
      <xdr:rowOff>57150</xdr:rowOff>
    </xdr:from>
    <xdr:to>
      <xdr:col>13</xdr:col>
      <xdr:colOff>314325</xdr:colOff>
      <xdr:row>9</xdr:row>
      <xdr:rowOff>28575</xdr:rowOff>
    </xdr:to>
    <xdr:grpSp>
      <xdr:nvGrpSpPr>
        <xdr:cNvPr id="5762" name="TableButton" hidden="1"/>
        <xdr:cNvGrpSpPr>
          <a:grpSpLocks/>
        </xdr:cNvGrpSpPr>
      </xdr:nvGrpSpPr>
      <xdr:grpSpPr bwMode="auto">
        <a:xfrm>
          <a:off x="7000875" y="1200150"/>
          <a:ext cx="1162050" cy="295275"/>
          <a:chOff x="697" y="32"/>
          <a:chExt cx="182" cy="58"/>
        </a:xfrm>
      </xdr:grpSpPr>
      <xdr:sp macro="[0]!CreateTable" textlink="">
        <xdr:nvSpPr>
          <xdr:cNvPr id="5763" name="AutoShape 1667" hidden="1"/>
          <xdr:cNvSpPr>
            <a:spLocks noChangeArrowheads="1"/>
          </xdr:cNvSpPr>
        </xdr:nvSpPr>
        <xdr:spPr bwMode="auto">
          <a:xfrm>
            <a:off x="697" y="32"/>
            <a:ext cx="182" cy="58"/>
          </a:xfrm>
          <a:prstGeom prst="bevel">
            <a:avLst>
              <a:gd name="adj" fmla="val 12500"/>
            </a:avLst>
          </a:prstGeom>
          <a:solidFill>
            <a:srgbClr xmlns:mc="http://schemas.openxmlformats.org/markup-compatibility/2006" xmlns:a14="http://schemas.microsoft.com/office/drawing/2010/main" val="C0C0C0" mc:Ignorable="a14" a14:legacySpreadsheetColorIndex="22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miter lim="800000"/>
            <a:headEnd/>
            <a:tailEnd/>
          </a:ln>
        </xdr:spPr>
      </xdr:sp>
      <xdr:sp macro="[0]!CreateTable" textlink="">
        <xdr:nvSpPr>
          <xdr:cNvPr id="5764" name="Text Box 1668" hidden="1"/>
          <xdr:cNvSpPr txBox="1">
            <a:spLocks noChangeArrowheads="1"/>
          </xdr:cNvSpPr>
        </xdr:nvSpPr>
        <xdr:spPr bwMode="auto">
          <a:xfrm>
            <a:off x="708" y="42"/>
            <a:ext cx="162" cy="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Create Table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0</xdr:row>
      <xdr:rowOff>133350</xdr:rowOff>
    </xdr:from>
    <xdr:to>
      <xdr:col>4</xdr:col>
      <xdr:colOff>923925</xdr:colOff>
      <xdr:row>2</xdr:row>
      <xdr:rowOff>133350</xdr:rowOff>
    </xdr:to>
    <xdr:sp macro="" textlink="">
      <xdr:nvSpPr>
        <xdr:cNvPr id="9364" name="Text Box 3220"/>
        <xdr:cNvSpPr txBox="1">
          <a:spLocks noChangeArrowheads="1"/>
        </xdr:cNvSpPr>
      </xdr:nvSpPr>
      <xdr:spPr bwMode="auto">
        <a:xfrm>
          <a:off x="238125" y="133350"/>
          <a:ext cx="2667000" cy="323850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84B0DC" mc:Ignorable="a14" a14:legacySpreadsheetColorIndex="44">
                <a:gamma/>
                <a:shade val="8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99CCFF" mc:Ignorable="a14" a14:legacySpreadsheetColorIndex="44"/>
            </a:gs>
          </a:gsLst>
          <a:lin ang="27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Demand</a:t>
          </a:r>
          <a:endParaRPr lang="en-US"/>
        </a:p>
      </xdr:txBody>
    </xdr:sp>
    <xdr:clientData/>
  </xdr:twoCellAnchor>
  <xdr:twoCellAnchor>
    <xdr:from>
      <xdr:col>5</xdr:col>
      <xdr:colOff>333375</xdr:colOff>
      <xdr:row>0</xdr:row>
      <xdr:rowOff>133350</xdr:rowOff>
    </xdr:from>
    <xdr:to>
      <xdr:col>7</xdr:col>
      <xdr:colOff>476250</xdr:colOff>
      <xdr:row>2</xdr:row>
      <xdr:rowOff>123825</xdr:rowOff>
    </xdr:to>
    <xdr:sp macro="[0]!Resolve" textlink="">
      <xdr:nvSpPr>
        <xdr:cNvPr id="9372" name="AutoShape 3228"/>
        <xdr:cNvSpPr>
          <a:spLocks noChangeArrowheads="1"/>
        </xdr:cNvSpPr>
      </xdr:nvSpPr>
      <xdr:spPr bwMode="auto">
        <a:xfrm>
          <a:off x="3257550" y="133350"/>
          <a:ext cx="1628775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Form</a:t>
          </a:r>
          <a:endParaRPr lang="en-US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1</xdr:row>
      <xdr:rowOff>0</xdr:rowOff>
    </xdr:from>
    <xdr:to>
      <xdr:col>5</xdr:col>
      <xdr:colOff>0</xdr:colOff>
      <xdr:row>2</xdr:row>
      <xdr:rowOff>95250</xdr:rowOff>
    </xdr:to>
    <xdr:sp macro="" textlink="">
      <xdr:nvSpPr>
        <xdr:cNvPr id="2157" name="Text Box 109"/>
        <xdr:cNvSpPr txBox="1">
          <a:spLocks noChangeArrowheads="1"/>
        </xdr:cNvSpPr>
      </xdr:nvSpPr>
      <xdr:spPr bwMode="auto">
        <a:xfrm>
          <a:off x="238125" y="161925"/>
          <a:ext cx="2943225" cy="2762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84B0DC" mc:Ignorable="a14" a14:legacySpreadsheetColorIndex="44">
                <a:gamma/>
                <a:shade val="8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99CCFF" mc:Ignorable="a14" a14:legacySpreadsheetColorIndex="44"/>
            </a:gs>
          </a:gsLst>
          <a:lin ang="27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Available Resources</a:t>
          </a:r>
          <a:endParaRPr lang="en-US"/>
        </a:p>
      </xdr:txBody>
    </xdr:sp>
    <xdr:clientData/>
  </xdr:twoCellAnchor>
  <xdr:twoCellAnchor>
    <xdr:from>
      <xdr:col>5</xdr:col>
      <xdr:colOff>247650</xdr:colOff>
      <xdr:row>0</xdr:row>
      <xdr:rowOff>152400</xdr:rowOff>
    </xdr:from>
    <xdr:to>
      <xdr:col>7</xdr:col>
      <xdr:colOff>295275</xdr:colOff>
      <xdr:row>2</xdr:row>
      <xdr:rowOff>123825</xdr:rowOff>
    </xdr:to>
    <xdr:sp macro="[0]!Resolve" textlink="">
      <xdr:nvSpPr>
        <xdr:cNvPr id="2174" name="AutoShape 126"/>
        <xdr:cNvSpPr>
          <a:spLocks noChangeArrowheads="1"/>
        </xdr:cNvSpPr>
      </xdr:nvSpPr>
      <xdr:spPr bwMode="auto">
        <a:xfrm>
          <a:off x="3429000" y="152400"/>
          <a:ext cx="1628775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Form</a:t>
          </a:r>
          <a:endParaRPr lang="en-US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1</xdr:row>
      <xdr:rowOff>0</xdr:rowOff>
    </xdr:from>
    <xdr:to>
      <xdr:col>4</xdr:col>
      <xdr:colOff>9525</xdr:colOff>
      <xdr:row>2</xdr:row>
      <xdr:rowOff>152400</xdr:rowOff>
    </xdr:to>
    <xdr:sp macro="" textlink="">
      <xdr:nvSpPr>
        <xdr:cNvPr id="10241" name="Text Box 1"/>
        <xdr:cNvSpPr txBox="1">
          <a:spLocks noChangeArrowheads="1"/>
        </xdr:cNvSpPr>
      </xdr:nvSpPr>
      <xdr:spPr bwMode="auto">
        <a:xfrm>
          <a:off x="238125" y="161925"/>
          <a:ext cx="2324100" cy="33337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84B0DC" mc:Ignorable="a14" a14:legacySpreadsheetColorIndex="44">
                <a:gamma/>
                <a:shade val="8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99CCFF" mc:Ignorable="a14" a14:legacySpreadsheetColorIndex="44"/>
            </a:gs>
          </a:gsLst>
          <a:lin ang="27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Resources Needed</a:t>
          </a:r>
          <a:endParaRPr lang="en-US"/>
        </a:p>
      </xdr:txBody>
    </xdr:sp>
    <xdr:clientData/>
  </xdr:twoCellAnchor>
  <xdr:twoCellAnchor>
    <xdr:from>
      <xdr:col>4</xdr:col>
      <xdr:colOff>400050</xdr:colOff>
      <xdr:row>1</xdr:row>
      <xdr:rowOff>0</xdr:rowOff>
    </xdr:from>
    <xdr:to>
      <xdr:col>6</xdr:col>
      <xdr:colOff>85725</xdr:colOff>
      <xdr:row>2</xdr:row>
      <xdr:rowOff>133350</xdr:rowOff>
    </xdr:to>
    <xdr:sp macro="[0]!Resolve" textlink="">
      <xdr:nvSpPr>
        <xdr:cNvPr id="10248" name="AutoShape 8"/>
        <xdr:cNvSpPr>
          <a:spLocks noChangeArrowheads="1"/>
        </xdr:cNvSpPr>
      </xdr:nvSpPr>
      <xdr:spPr bwMode="auto">
        <a:xfrm>
          <a:off x="2952750" y="161925"/>
          <a:ext cx="1628775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Form</a:t>
          </a:r>
          <a:endParaRPr lang="en-US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1</xdr:row>
      <xdr:rowOff>0</xdr:rowOff>
    </xdr:from>
    <xdr:to>
      <xdr:col>4</xdr:col>
      <xdr:colOff>0</xdr:colOff>
      <xdr:row>2</xdr:row>
      <xdr:rowOff>133350</xdr:rowOff>
    </xdr:to>
    <xdr:sp macro="" textlink="">
      <xdr:nvSpPr>
        <xdr:cNvPr id="11265" name="Text Box 1"/>
        <xdr:cNvSpPr txBox="1">
          <a:spLocks noChangeArrowheads="1"/>
        </xdr:cNvSpPr>
      </xdr:nvSpPr>
      <xdr:spPr bwMode="auto">
        <a:xfrm>
          <a:off x="238125" y="161925"/>
          <a:ext cx="3048000" cy="3143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84B0DC" mc:Ignorable="a14" a14:legacySpreadsheetColorIndex="44">
                <a:gamma/>
                <a:shade val="8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99CCFF" mc:Ignorable="a14" a14:legacySpreadsheetColorIndex="44"/>
            </a:gs>
          </a:gsLst>
          <a:lin ang="27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Holding Costs</a:t>
          </a:r>
          <a:endParaRPr lang="en-US"/>
        </a:p>
      </xdr:txBody>
    </xdr:sp>
    <xdr:clientData/>
  </xdr:twoCellAnchor>
  <xdr:twoCellAnchor>
    <xdr:from>
      <xdr:col>4</xdr:col>
      <xdr:colOff>523875</xdr:colOff>
      <xdr:row>1</xdr:row>
      <xdr:rowOff>28575</xdr:rowOff>
    </xdr:from>
    <xdr:to>
      <xdr:col>6</xdr:col>
      <xdr:colOff>209550</xdr:colOff>
      <xdr:row>2</xdr:row>
      <xdr:rowOff>161925</xdr:rowOff>
    </xdr:to>
    <xdr:sp macro="[0]!Resolve" textlink="">
      <xdr:nvSpPr>
        <xdr:cNvPr id="11272" name="AutoShape 8"/>
        <xdr:cNvSpPr>
          <a:spLocks noChangeArrowheads="1"/>
        </xdr:cNvSpPr>
      </xdr:nvSpPr>
      <xdr:spPr bwMode="auto">
        <a:xfrm>
          <a:off x="3810000" y="190500"/>
          <a:ext cx="1628775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Form</a:t>
          </a:r>
          <a:endParaRPr lang="en-US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1</xdr:row>
      <xdr:rowOff>0</xdr:rowOff>
    </xdr:from>
    <xdr:to>
      <xdr:col>5</xdr:col>
      <xdr:colOff>9525</xdr:colOff>
      <xdr:row>2</xdr:row>
      <xdr:rowOff>180975</xdr:rowOff>
    </xdr:to>
    <xdr:sp macro="" textlink="">
      <xdr:nvSpPr>
        <xdr:cNvPr id="12289" name="Text Box 1"/>
        <xdr:cNvSpPr txBox="1">
          <a:spLocks noChangeArrowheads="1"/>
        </xdr:cNvSpPr>
      </xdr:nvSpPr>
      <xdr:spPr bwMode="auto">
        <a:xfrm>
          <a:off x="238125" y="161925"/>
          <a:ext cx="2800350" cy="361950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84B0DC" mc:Ignorable="a14" a14:legacySpreadsheetColorIndex="44">
                <a:gamma/>
                <a:shade val="8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99CCFF" mc:Ignorable="a14" a14:legacySpreadsheetColorIndex="44"/>
            </a:gs>
          </a:gsLst>
          <a:lin ang="27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Production Costs</a:t>
          </a:r>
          <a:endParaRPr lang="en-US"/>
        </a:p>
      </xdr:txBody>
    </xdr:sp>
    <xdr:clientData/>
  </xdr:twoCellAnchor>
  <xdr:twoCellAnchor>
    <xdr:from>
      <xdr:col>5</xdr:col>
      <xdr:colOff>361950</xdr:colOff>
      <xdr:row>1</xdr:row>
      <xdr:rowOff>19050</xdr:rowOff>
    </xdr:from>
    <xdr:to>
      <xdr:col>8</xdr:col>
      <xdr:colOff>9525</xdr:colOff>
      <xdr:row>2</xdr:row>
      <xdr:rowOff>152400</xdr:rowOff>
    </xdr:to>
    <xdr:sp macro="[0]!Resolve" textlink="">
      <xdr:nvSpPr>
        <xdr:cNvPr id="12296" name="AutoShape 8"/>
        <xdr:cNvSpPr>
          <a:spLocks noChangeArrowheads="1"/>
        </xdr:cNvSpPr>
      </xdr:nvSpPr>
      <xdr:spPr bwMode="auto">
        <a:xfrm>
          <a:off x="3390900" y="180975"/>
          <a:ext cx="1628775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Form</a:t>
          </a:r>
          <a:endParaRPr lang="en-US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</xdr:row>
      <xdr:rowOff>0</xdr:rowOff>
    </xdr:from>
    <xdr:to>
      <xdr:col>4</xdr:col>
      <xdr:colOff>819150</xdr:colOff>
      <xdr:row>2</xdr:row>
      <xdr:rowOff>171450</xdr:rowOff>
    </xdr:to>
    <xdr:sp macro="" textlink="">
      <xdr:nvSpPr>
        <xdr:cNvPr id="16385" name="Text Box 1"/>
        <xdr:cNvSpPr txBox="1">
          <a:spLocks noChangeArrowheads="1"/>
        </xdr:cNvSpPr>
      </xdr:nvSpPr>
      <xdr:spPr bwMode="auto">
        <a:xfrm>
          <a:off x="409575" y="161925"/>
          <a:ext cx="2400300" cy="3524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84B0DC" mc:Ignorable="a14" a14:legacySpreadsheetColorIndex="44">
                <a:gamma/>
                <a:shade val="8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99CCFF" mc:Ignorable="a14" a14:legacySpreadsheetColorIndex="44"/>
            </a:gs>
          </a:gsLst>
          <a:lin ang="27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Model</a:t>
          </a:r>
          <a:endParaRPr lang="en-US"/>
        </a:p>
      </xdr:txBody>
    </xdr:sp>
    <xdr:clientData/>
  </xdr:twoCellAnchor>
  <xdr:twoCellAnchor>
    <xdr:from>
      <xdr:col>4</xdr:col>
      <xdr:colOff>1047750</xdr:colOff>
      <xdr:row>1</xdr:row>
      <xdr:rowOff>28575</xdr:rowOff>
    </xdr:from>
    <xdr:to>
      <xdr:col>7</xdr:col>
      <xdr:colOff>85725</xdr:colOff>
      <xdr:row>2</xdr:row>
      <xdr:rowOff>161925</xdr:rowOff>
    </xdr:to>
    <xdr:sp macro="[0]!ReturntoReport" textlink="">
      <xdr:nvSpPr>
        <xdr:cNvPr id="16390" name="AutoShape 6"/>
        <xdr:cNvSpPr>
          <a:spLocks noChangeArrowheads="1"/>
        </xdr:cNvSpPr>
      </xdr:nvSpPr>
      <xdr:spPr bwMode="auto">
        <a:xfrm>
          <a:off x="3038475" y="190500"/>
          <a:ext cx="1657350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Results</a:t>
          </a:r>
          <a:endParaRPr lang="en-US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1</xdr:row>
      <xdr:rowOff>0</xdr:rowOff>
    </xdr:from>
    <xdr:to>
      <xdr:col>5</xdr:col>
      <xdr:colOff>0</xdr:colOff>
      <xdr:row>2</xdr:row>
      <xdr:rowOff>142875</xdr:rowOff>
    </xdr:to>
    <xdr:sp macro="" textlink="">
      <xdr:nvSpPr>
        <xdr:cNvPr id="13313" name="Text Box 1"/>
        <xdr:cNvSpPr txBox="1">
          <a:spLocks noChangeArrowheads="1"/>
        </xdr:cNvSpPr>
      </xdr:nvSpPr>
      <xdr:spPr bwMode="auto">
        <a:xfrm>
          <a:off x="238125" y="161925"/>
          <a:ext cx="2905125" cy="323850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84B0DC" mc:Ignorable="a14" a14:legacySpreadsheetColorIndex="44">
                <a:gamma/>
                <a:shade val="8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99CCFF" mc:Ignorable="a14" a14:legacySpreadsheetColorIndex="44"/>
            </a:gs>
          </a:gsLst>
          <a:lin ang="27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Shipping Costs</a:t>
          </a:r>
          <a:endParaRPr lang="en-US"/>
        </a:p>
      </xdr:txBody>
    </xdr:sp>
    <xdr:clientData/>
  </xdr:twoCellAnchor>
  <xdr:twoCellAnchor>
    <xdr:from>
      <xdr:col>5</xdr:col>
      <xdr:colOff>476250</xdr:colOff>
      <xdr:row>1</xdr:row>
      <xdr:rowOff>19050</xdr:rowOff>
    </xdr:from>
    <xdr:to>
      <xdr:col>8</xdr:col>
      <xdr:colOff>123825</xdr:colOff>
      <xdr:row>2</xdr:row>
      <xdr:rowOff>152400</xdr:rowOff>
    </xdr:to>
    <xdr:sp macro="[0]!Resolve" textlink="">
      <xdr:nvSpPr>
        <xdr:cNvPr id="13320" name="AutoShape 8"/>
        <xdr:cNvSpPr>
          <a:spLocks noChangeArrowheads="1"/>
        </xdr:cNvSpPr>
      </xdr:nvSpPr>
      <xdr:spPr bwMode="auto">
        <a:xfrm>
          <a:off x="3619500" y="180975"/>
          <a:ext cx="1628775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Form</a:t>
          </a:r>
          <a:endParaRPr lang="en-US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1</xdr:row>
      <xdr:rowOff>19050</xdr:rowOff>
    </xdr:from>
    <xdr:to>
      <xdr:col>4</xdr:col>
      <xdr:colOff>76200</xdr:colOff>
      <xdr:row>2</xdr:row>
      <xdr:rowOff>133350</xdr:rowOff>
    </xdr:to>
    <xdr:sp macro="" textlink="">
      <xdr:nvSpPr>
        <xdr:cNvPr id="14337" name="Text Box 1"/>
        <xdr:cNvSpPr txBox="1">
          <a:spLocks noChangeArrowheads="1"/>
        </xdr:cNvSpPr>
      </xdr:nvSpPr>
      <xdr:spPr bwMode="auto">
        <a:xfrm>
          <a:off x="295275" y="180975"/>
          <a:ext cx="2162175" cy="29527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84B0DC" mc:Ignorable="a14" a14:legacySpreadsheetColorIndex="44">
                <a:gamma/>
                <a:shade val="8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99CCFF" mc:Ignorable="a14" a14:legacySpreadsheetColorIndex="44"/>
            </a:gs>
          </a:gsLst>
          <a:lin ang="27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Initial Inventory</a:t>
          </a:r>
          <a:endParaRPr lang="en-US"/>
        </a:p>
      </xdr:txBody>
    </xdr:sp>
    <xdr:clientData/>
  </xdr:twoCellAnchor>
  <xdr:twoCellAnchor>
    <xdr:from>
      <xdr:col>4</xdr:col>
      <xdr:colOff>447675</xdr:colOff>
      <xdr:row>1</xdr:row>
      <xdr:rowOff>19050</xdr:rowOff>
    </xdr:from>
    <xdr:to>
      <xdr:col>6</xdr:col>
      <xdr:colOff>133350</xdr:colOff>
      <xdr:row>2</xdr:row>
      <xdr:rowOff>152400</xdr:rowOff>
    </xdr:to>
    <xdr:sp macro="[0]!Resolve" textlink="">
      <xdr:nvSpPr>
        <xdr:cNvPr id="14344" name="AutoShape 8"/>
        <xdr:cNvSpPr>
          <a:spLocks noChangeArrowheads="1"/>
        </xdr:cNvSpPr>
      </xdr:nvSpPr>
      <xdr:spPr bwMode="auto">
        <a:xfrm>
          <a:off x="2828925" y="180975"/>
          <a:ext cx="1628775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Form</a:t>
          </a:r>
          <a:endParaRPr lang="en-US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1</xdr:row>
      <xdr:rowOff>0</xdr:rowOff>
    </xdr:from>
    <xdr:to>
      <xdr:col>4</xdr:col>
      <xdr:colOff>857250</xdr:colOff>
      <xdr:row>2</xdr:row>
      <xdr:rowOff>142875</xdr:rowOff>
    </xdr:to>
    <xdr:sp macro="" textlink="">
      <xdr:nvSpPr>
        <xdr:cNvPr id="17409" name="Text Box 1"/>
        <xdr:cNvSpPr txBox="1">
          <a:spLocks noChangeArrowheads="1"/>
        </xdr:cNvSpPr>
      </xdr:nvSpPr>
      <xdr:spPr bwMode="auto">
        <a:xfrm>
          <a:off x="238125" y="161925"/>
          <a:ext cx="2819400" cy="323850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84B0DC" mc:Ignorable="a14" a14:legacySpreadsheetColorIndex="44">
                <a:gamma/>
                <a:shade val="8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99CCFF" mc:Ignorable="a14" a14:legacySpreadsheetColorIndex="44"/>
            </a:gs>
          </a:gsLst>
          <a:lin ang="27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Report</a:t>
          </a:r>
          <a:endParaRPr lang="en-US"/>
        </a:p>
      </xdr:txBody>
    </xdr:sp>
    <xdr:clientData/>
  </xdr:twoCellAnchor>
  <xdr:twoCellAnchor>
    <xdr:from>
      <xdr:col>4</xdr:col>
      <xdr:colOff>990600</xdr:colOff>
      <xdr:row>1</xdr:row>
      <xdr:rowOff>9525</xdr:rowOff>
    </xdr:from>
    <xdr:to>
      <xdr:col>6</xdr:col>
      <xdr:colOff>228600</xdr:colOff>
      <xdr:row>2</xdr:row>
      <xdr:rowOff>142875</xdr:rowOff>
    </xdr:to>
    <xdr:sp macro="[0]!EndProg" textlink="">
      <xdr:nvSpPr>
        <xdr:cNvPr id="17411" name="AutoShape 3"/>
        <xdr:cNvSpPr>
          <a:spLocks noChangeArrowheads="1"/>
        </xdr:cNvSpPr>
      </xdr:nvSpPr>
      <xdr:spPr bwMode="auto">
        <a:xfrm>
          <a:off x="3190875" y="171450"/>
          <a:ext cx="1095375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End</a:t>
          </a:r>
          <a:endParaRPr lang="en-US"/>
        </a:p>
      </xdr:txBody>
    </xdr:sp>
    <xdr:clientData/>
  </xdr:twoCellAnchor>
  <xdr:twoCellAnchor>
    <xdr:from>
      <xdr:col>4</xdr:col>
      <xdr:colOff>990600</xdr:colOff>
      <xdr:row>2</xdr:row>
      <xdr:rowOff>266700</xdr:rowOff>
    </xdr:from>
    <xdr:to>
      <xdr:col>6</xdr:col>
      <xdr:colOff>228600</xdr:colOff>
      <xdr:row>4</xdr:row>
      <xdr:rowOff>104775</xdr:rowOff>
    </xdr:to>
    <xdr:sp macro="[0]!Resolve" textlink="">
      <xdr:nvSpPr>
        <xdr:cNvPr id="17414" name="AutoShape 6"/>
        <xdr:cNvSpPr>
          <a:spLocks noChangeArrowheads="1"/>
        </xdr:cNvSpPr>
      </xdr:nvSpPr>
      <xdr:spPr bwMode="auto">
        <a:xfrm>
          <a:off x="3190875" y="609600"/>
          <a:ext cx="1095375" cy="3238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Resolve</a:t>
          </a:r>
          <a:endParaRPr lang="en-US"/>
        </a:p>
      </xdr:txBody>
    </xdr:sp>
    <xdr:clientData/>
  </xdr:twoCellAnchor>
  <xdr:twoCellAnchor>
    <xdr:from>
      <xdr:col>0</xdr:col>
      <xdr:colOff>228600</xdr:colOff>
      <xdr:row>2</xdr:row>
      <xdr:rowOff>257175</xdr:rowOff>
    </xdr:from>
    <xdr:to>
      <xdr:col>2</xdr:col>
      <xdr:colOff>371475</xdr:colOff>
      <xdr:row>4</xdr:row>
      <xdr:rowOff>95250</xdr:rowOff>
    </xdr:to>
    <xdr:sp macro="[0]!ViewModel" textlink="">
      <xdr:nvSpPr>
        <xdr:cNvPr id="17417" name="AutoShape 9"/>
        <xdr:cNvSpPr>
          <a:spLocks noChangeArrowheads="1"/>
        </xdr:cNvSpPr>
      </xdr:nvSpPr>
      <xdr:spPr bwMode="auto">
        <a:xfrm>
          <a:off x="228600" y="600075"/>
          <a:ext cx="1362075" cy="3238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View Model Sheet</a:t>
          </a:r>
          <a:endParaRPr lang="en-US"/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3</xdr:col>
      <xdr:colOff>438150</xdr:colOff>
      <xdr:row>12</xdr:row>
      <xdr:rowOff>47625</xdr:rowOff>
    </xdr:to>
    <xdr:sp macro="[0]!ViewProd" textlink="">
      <xdr:nvSpPr>
        <xdr:cNvPr id="17422" name="AutoShape 14"/>
        <xdr:cNvSpPr>
          <a:spLocks noChangeArrowheads="1"/>
        </xdr:cNvSpPr>
      </xdr:nvSpPr>
      <xdr:spPr bwMode="auto">
        <a:xfrm>
          <a:off x="247650" y="1819275"/>
          <a:ext cx="1924050" cy="37147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Number to Produce</a:t>
          </a:r>
          <a:endParaRPr lang="en-US"/>
        </a:p>
      </xdr:txBody>
    </xdr:sp>
    <xdr:clientData/>
  </xdr:twoCellAnchor>
  <xdr:twoCellAnchor>
    <xdr:from>
      <xdr:col>1</xdr:col>
      <xdr:colOff>0</xdr:colOff>
      <xdr:row>12</xdr:row>
      <xdr:rowOff>95250</xdr:rowOff>
    </xdr:from>
    <xdr:to>
      <xdr:col>3</xdr:col>
      <xdr:colOff>438150</xdr:colOff>
      <xdr:row>14</xdr:row>
      <xdr:rowOff>142875</xdr:rowOff>
    </xdr:to>
    <xdr:sp macro="[0]!ViewShip" textlink="">
      <xdr:nvSpPr>
        <xdr:cNvPr id="17425" name="AutoShape 17"/>
        <xdr:cNvSpPr>
          <a:spLocks noChangeArrowheads="1"/>
        </xdr:cNvSpPr>
      </xdr:nvSpPr>
      <xdr:spPr bwMode="auto">
        <a:xfrm>
          <a:off x="247650" y="2238375"/>
          <a:ext cx="1924050" cy="37147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Number to Ship</a:t>
          </a:r>
          <a:endParaRPr lang="en-US"/>
        </a:p>
      </xdr:txBody>
    </xdr:sp>
    <xdr:clientData/>
  </xdr:twoCellAnchor>
  <xdr:twoCellAnchor>
    <xdr:from>
      <xdr:col>4</xdr:col>
      <xdr:colOff>295275</xdr:colOff>
      <xdr:row>10</xdr:row>
      <xdr:rowOff>9525</xdr:rowOff>
    </xdr:from>
    <xdr:to>
      <xdr:col>6</xdr:col>
      <xdr:colOff>361950</xdr:colOff>
      <xdr:row>12</xdr:row>
      <xdr:rowOff>38100</xdr:rowOff>
    </xdr:to>
    <xdr:sp macro="[0]!ViewShipCost" textlink="">
      <xdr:nvSpPr>
        <xdr:cNvPr id="17428" name="AutoShape 20"/>
        <xdr:cNvSpPr>
          <a:spLocks noChangeArrowheads="1"/>
        </xdr:cNvSpPr>
      </xdr:nvSpPr>
      <xdr:spPr bwMode="auto">
        <a:xfrm>
          <a:off x="2495550" y="1828800"/>
          <a:ext cx="1924050" cy="3524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Shipping Costs</a:t>
          </a:r>
          <a:endParaRPr lang="en-US"/>
        </a:p>
      </xdr:txBody>
    </xdr:sp>
    <xdr:clientData/>
  </xdr:twoCellAnchor>
  <xdr:twoCellAnchor>
    <xdr:from>
      <xdr:col>4</xdr:col>
      <xdr:colOff>295275</xdr:colOff>
      <xdr:row>12</xdr:row>
      <xdr:rowOff>76200</xdr:rowOff>
    </xdr:from>
    <xdr:to>
      <xdr:col>6</xdr:col>
      <xdr:colOff>361950</xdr:colOff>
      <xdr:row>14</xdr:row>
      <xdr:rowOff>123825</xdr:rowOff>
    </xdr:to>
    <xdr:sp macro="[0]!ViewHoldCost" textlink="">
      <xdr:nvSpPr>
        <xdr:cNvPr id="17431" name="AutoShape 23"/>
        <xdr:cNvSpPr>
          <a:spLocks noChangeArrowheads="1"/>
        </xdr:cNvSpPr>
      </xdr:nvSpPr>
      <xdr:spPr bwMode="auto">
        <a:xfrm>
          <a:off x="2495550" y="2219325"/>
          <a:ext cx="1924050" cy="37147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Holding Costs</a:t>
          </a:r>
          <a:endParaRPr lang="en-US"/>
        </a:p>
      </xdr:txBody>
    </xdr:sp>
    <xdr:clientData/>
  </xdr:twoCellAnchor>
  <xdr:twoCellAnchor>
    <xdr:from>
      <xdr:col>4</xdr:col>
      <xdr:colOff>295275</xdr:colOff>
      <xdr:row>15</xdr:row>
      <xdr:rowOff>9525</xdr:rowOff>
    </xdr:from>
    <xdr:to>
      <xdr:col>6</xdr:col>
      <xdr:colOff>361950</xdr:colOff>
      <xdr:row>17</xdr:row>
      <xdr:rowOff>57150</xdr:rowOff>
    </xdr:to>
    <xdr:sp macro="[0]!ViewProdCost" textlink="">
      <xdr:nvSpPr>
        <xdr:cNvPr id="17434" name="AutoShape 26"/>
        <xdr:cNvSpPr>
          <a:spLocks noChangeArrowheads="1"/>
        </xdr:cNvSpPr>
      </xdr:nvSpPr>
      <xdr:spPr bwMode="auto">
        <a:xfrm>
          <a:off x="2495550" y="2638425"/>
          <a:ext cx="1924050" cy="37147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Production Costs</a:t>
          </a:r>
          <a:endParaRPr lang="en-US"/>
        </a:p>
      </xdr:txBody>
    </xdr:sp>
    <xdr:clientData/>
  </xdr:twoCellAnchor>
  <xdr:twoCellAnchor>
    <xdr:from>
      <xdr:col>2</xdr:col>
      <xdr:colOff>476250</xdr:colOff>
      <xdr:row>2</xdr:row>
      <xdr:rowOff>266700</xdr:rowOff>
    </xdr:from>
    <xdr:to>
      <xdr:col>4</xdr:col>
      <xdr:colOff>866775</xdr:colOff>
      <xdr:row>4</xdr:row>
      <xdr:rowOff>95250</xdr:rowOff>
    </xdr:to>
    <xdr:sp macro="[0]!ViewDetails" textlink="">
      <xdr:nvSpPr>
        <xdr:cNvPr id="17437" name="AutoShape 29"/>
        <xdr:cNvSpPr>
          <a:spLocks noChangeArrowheads="1"/>
        </xdr:cNvSpPr>
      </xdr:nvSpPr>
      <xdr:spPr bwMode="auto">
        <a:xfrm>
          <a:off x="1695450" y="609600"/>
          <a:ext cx="1371600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View Output Details</a:t>
          </a:r>
          <a:endParaRPr lang="en-US"/>
        </a:p>
      </xdr:txBody>
    </xdr:sp>
    <xdr:clientData/>
  </xdr:twoCellAnchor>
  <xdr:twoCellAnchor editAs="oneCell">
    <xdr:from>
      <xdr:col>6</xdr:col>
      <xdr:colOff>381000</xdr:colOff>
      <xdr:row>1</xdr:row>
      <xdr:rowOff>9525</xdr:rowOff>
    </xdr:from>
    <xdr:to>
      <xdr:col>8</xdr:col>
      <xdr:colOff>514350</xdr:colOff>
      <xdr:row>4</xdr:row>
      <xdr:rowOff>133350</xdr:rowOff>
    </xdr:to>
    <xdr:pic>
      <xdr:nvPicPr>
        <xdr:cNvPr id="17441" name="Picture 33" descr="SCM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99" t="3593" r="5714" b="4790"/>
        <a:stretch>
          <a:fillRect/>
        </a:stretch>
      </xdr:blipFill>
      <xdr:spPr bwMode="auto">
        <a:xfrm>
          <a:off x="4438650" y="171450"/>
          <a:ext cx="1381125" cy="790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1</xdr:row>
      <xdr:rowOff>0</xdr:rowOff>
    </xdr:from>
    <xdr:to>
      <xdr:col>4</xdr:col>
      <xdr:colOff>447675</xdr:colOff>
      <xdr:row>2</xdr:row>
      <xdr:rowOff>171450</xdr:rowOff>
    </xdr:to>
    <xdr:sp macro="" textlink="">
      <xdr:nvSpPr>
        <xdr:cNvPr id="15361" name="Text Box 1"/>
        <xdr:cNvSpPr txBox="1">
          <a:spLocks noChangeArrowheads="1"/>
        </xdr:cNvSpPr>
      </xdr:nvSpPr>
      <xdr:spPr bwMode="auto">
        <a:xfrm>
          <a:off x="238125" y="161925"/>
          <a:ext cx="2409825" cy="3524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84B0DC" mc:Ignorable="a14" a14:legacySpreadsheetColorIndex="44">
                <a:gamma/>
                <a:shade val="8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99CCFF" mc:Ignorable="a14" a14:legacySpreadsheetColorIndex="44"/>
            </a:gs>
          </a:gsLst>
          <a:lin ang="27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Detailed Results</a:t>
          </a:r>
          <a:endParaRPr lang="en-US"/>
        </a:p>
      </xdr:txBody>
    </xdr:sp>
    <xdr:clientData/>
  </xdr:twoCellAnchor>
  <xdr:twoCellAnchor>
    <xdr:from>
      <xdr:col>4</xdr:col>
      <xdr:colOff>581025</xdr:colOff>
      <xdr:row>0</xdr:row>
      <xdr:rowOff>152400</xdr:rowOff>
    </xdr:from>
    <xdr:to>
      <xdr:col>6</xdr:col>
      <xdr:colOff>371475</xdr:colOff>
      <xdr:row>2</xdr:row>
      <xdr:rowOff>123825</xdr:rowOff>
    </xdr:to>
    <xdr:sp macro="[0]!ReturntoReport" textlink="">
      <xdr:nvSpPr>
        <xdr:cNvPr id="15363" name="AutoShape 3"/>
        <xdr:cNvSpPr>
          <a:spLocks noChangeArrowheads="1"/>
        </xdr:cNvSpPr>
      </xdr:nvSpPr>
      <xdr:spPr bwMode="auto">
        <a:xfrm>
          <a:off x="2781300" y="152400"/>
          <a:ext cx="1647825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Report</a:t>
          </a:r>
          <a:endParaRPr lang="en-US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76200</xdr:rowOff>
    </xdr:from>
    <xdr:to>
      <xdr:col>6</xdr:col>
      <xdr:colOff>28575</xdr:colOff>
      <xdr:row>2</xdr:row>
      <xdr:rowOff>66675</xdr:rowOff>
    </xdr:to>
    <xdr:sp macro="" textlink="">
      <xdr:nvSpPr>
        <xdr:cNvPr id="21505" name="Text Box 1"/>
        <xdr:cNvSpPr txBox="1">
          <a:spLocks noChangeArrowheads="1"/>
        </xdr:cNvSpPr>
      </xdr:nvSpPr>
      <xdr:spPr bwMode="auto">
        <a:xfrm>
          <a:off x="219075" y="76200"/>
          <a:ext cx="4029075" cy="3143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84B0DC" mc:Ignorable="a14" a14:legacySpreadsheetColorIndex="44">
                <a:gamma/>
                <a:shade val="8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99CCFF" mc:Ignorable="a14" a14:legacySpreadsheetColorIndex="44"/>
            </a:gs>
          </a:gsLst>
          <a:lin ang="27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Number to Produce</a:t>
          </a:r>
          <a:endParaRPr lang="en-US"/>
        </a:p>
      </xdr:txBody>
    </xdr:sp>
    <xdr:clientData/>
  </xdr:twoCellAnchor>
  <xdr:twoCellAnchor>
    <xdr:from>
      <xdr:col>6</xdr:col>
      <xdr:colOff>400050</xdr:colOff>
      <xdr:row>0</xdr:row>
      <xdr:rowOff>104775</xdr:rowOff>
    </xdr:from>
    <xdr:to>
      <xdr:col>9</xdr:col>
      <xdr:colOff>114300</xdr:colOff>
      <xdr:row>2</xdr:row>
      <xdr:rowOff>95250</xdr:rowOff>
    </xdr:to>
    <xdr:sp macro="[0]!ReturntoReport" textlink="">
      <xdr:nvSpPr>
        <xdr:cNvPr id="21510" name="AutoShape 6"/>
        <xdr:cNvSpPr>
          <a:spLocks noChangeArrowheads="1"/>
        </xdr:cNvSpPr>
      </xdr:nvSpPr>
      <xdr:spPr bwMode="auto">
        <a:xfrm>
          <a:off x="4619625" y="104775"/>
          <a:ext cx="1543050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Report</a:t>
          </a:r>
          <a:endParaRPr lang="en-US"/>
        </a:p>
      </xdr:txBody>
    </xdr:sp>
    <xdr:clientData/>
  </xdr:twoCellAnchor>
  <xdr:twoCellAnchor>
    <xdr:from>
      <xdr:col>6</xdr:col>
      <xdr:colOff>400050</xdr:colOff>
      <xdr:row>3</xdr:row>
      <xdr:rowOff>0</xdr:rowOff>
    </xdr:from>
    <xdr:to>
      <xdr:col>9</xdr:col>
      <xdr:colOff>114300</xdr:colOff>
      <xdr:row>4</xdr:row>
      <xdr:rowOff>152400</xdr:rowOff>
    </xdr:to>
    <xdr:sp macro="[0]!ViewChart" textlink="">
      <xdr:nvSpPr>
        <xdr:cNvPr id="21513" name="AutoShape 9"/>
        <xdr:cNvSpPr>
          <a:spLocks noChangeArrowheads="1"/>
        </xdr:cNvSpPr>
      </xdr:nvSpPr>
      <xdr:spPr bwMode="auto">
        <a:xfrm>
          <a:off x="4619625" y="485775"/>
          <a:ext cx="1543050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View Chart</a:t>
          </a:r>
          <a:endParaRPr lang="en-US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0.5005</cdr:x>
      <cdr:y>0</cdr:y>
    </cdr:from>
    <cdr:to>
      <cdr:x>0.729</cdr:x>
      <cdr:y>0.052</cdr:y>
    </cdr:to>
    <cdr:sp macro="[0]!ReturntoReport" textlink="">
      <cdr:nvSpPr>
        <cdr:cNvPr id="22530" name="AutoShape 2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295304" y="0"/>
          <a:ext cx="1960992" cy="303619"/>
        </a:xfrm>
        <a:prstGeom xmlns:a="http://schemas.openxmlformats.org/drawingml/2006/main" prst="bevel">
          <a:avLst>
            <a:gd name="adj" fmla="val 12500"/>
          </a:avLst>
        </a:prstGeom>
        <a:solidFill xmlns:a="http://schemas.openxmlformats.org/drawingml/2006/main">
          <a:srgbClr xmlns:mc="http://schemas.openxmlformats.org/markup-compatibility/2006" xmlns:a14="http://schemas.microsoft.com/office/drawing/2010/main" val="99CCFF" mc:Ignorable="a14" a14:legacySpreadsheetColorIndex="44"/>
        </a:solid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Report</a:t>
          </a:r>
          <a:endParaRPr lang="en-US"/>
        </a:p>
      </cdr:txBody>
    </cdr:sp>
  </cdr:relSizeAnchor>
  <cdr:relSizeAnchor xmlns:cdr="http://schemas.openxmlformats.org/drawingml/2006/chartDrawing">
    <cdr:from>
      <cdr:x>0.263</cdr:x>
      <cdr:y>0</cdr:y>
    </cdr:from>
    <cdr:to>
      <cdr:x>0.4915</cdr:x>
      <cdr:y>0.05175</cdr:y>
    </cdr:to>
    <cdr:sp macro="[0]!ReturnTable" textlink="">
      <cdr:nvSpPr>
        <cdr:cNvPr id="22533" name="AutoShape 5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257073" y="0"/>
          <a:ext cx="1960992" cy="302159"/>
        </a:xfrm>
        <a:prstGeom xmlns:a="http://schemas.openxmlformats.org/drawingml/2006/main" prst="bevel">
          <a:avLst>
            <a:gd name="adj" fmla="val 12500"/>
          </a:avLst>
        </a:prstGeom>
        <a:solidFill xmlns:a="http://schemas.openxmlformats.org/drawingml/2006/main">
          <a:srgbClr xmlns:mc="http://schemas.openxmlformats.org/markup-compatibility/2006" xmlns:a14="http://schemas.microsoft.com/office/drawing/2010/main" val="99CCFF" mc:Ignorable="a14" a14:legacySpreadsheetColorIndex="44"/>
        </a:solid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View Table</a:t>
          </a:r>
          <a:endParaRPr lang="en-US"/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0</xdr:row>
      <xdr:rowOff>133350</xdr:rowOff>
    </xdr:from>
    <xdr:to>
      <xdr:col>5</xdr:col>
      <xdr:colOff>57150</xdr:colOff>
      <xdr:row>2</xdr:row>
      <xdr:rowOff>95250</xdr:rowOff>
    </xdr:to>
    <xdr:sp macro="" textlink="">
      <xdr:nvSpPr>
        <xdr:cNvPr id="23553" name="Text Box 1"/>
        <xdr:cNvSpPr txBox="1">
          <a:spLocks noChangeArrowheads="1"/>
        </xdr:cNvSpPr>
      </xdr:nvSpPr>
      <xdr:spPr bwMode="auto">
        <a:xfrm>
          <a:off x="257175" y="133350"/>
          <a:ext cx="3524250" cy="285750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84B0DC" mc:Ignorable="a14" a14:legacySpreadsheetColorIndex="44">
                <a:gamma/>
                <a:shade val="8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99CCFF" mc:Ignorable="a14" a14:legacySpreadsheetColorIndex="44"/>
            </a:gs>
          </a:gsLst>
          <a:lin ang="27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Number to Ship</a:t>
          </a:r>
          <a:endParaRPr lang="en-US"/>
        </a:p>
      </xdr:txBody>
    </xdr:sp>
    <xdr:clientData/>
  </xdr:twoCellAnchor>
  <xdr:twoCellAnchor>
    <xdr:from>
      <xdr:col>7</xdr:col>
      <xdr:colOff>209550</xdr:colOff>
      <xdr:row>0</xdr:row>
      <xdr:rowOff>114300</xdr:rowOff>
    </xdr:from>
    <xdr:to>
      <xdr:col>9</xdr:col>
      <xdr:colOff>533400</xdr:colOff>
      <xdr:row>2</xdr:row>
      <xdr:rowOff>104775</xdr:rowOff>
    </xdr:to>
    <xdr:sp macro="[0]!ReturntoReport" textlink="">
      <xdr:nvSpPr>
        <xdr:cNvPr id="23560" name="AutoShape 8"/>
        <xdr:cNvSpPr>
          <a:spLocks noChangeArrowheads="1"/>
        </xdr:cNvSpPr>
      </xdr:nvSpPr>
      <xdr:spPr bwMode="auto">
        <a:xfrm>
          <a:off x="5762625" y="114300"/>
          <a:ext cx="1543050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Report</a:t>
          </a:r>
          <a:endParaRPr lang="en-US"/>
        </a:p>
      </xdr:txBody>
    </xdr:sp>
    <xdr:clientData/>
  </xdr:twoCellAnchor>
  <xdr:twoCellAnchor>
    <xdr:from>
      <xdr:col>7</xdr:col>
      <xdr:colOff>209550</xdr:colOff>
      <xdr:row>3</xdr:row>
      <xdr:rowOff>9525</xdr:rowOff>
    </xdr:from>
    <xdr:to>
      <xdr:col>9</xdr:col>
      <xdr:colOff>533400</xdr:colOff>
      <xdr:row>5</xdr:row>
      <xdr:rowOff>0</xdr:rowOff>
    </xdr:to>
    <xdr:sp macro="[0]!ViewChart" textlink="">
      <xdr:nvSpPr>
        <xdr:cNvPr id="23561" name="AutoShape 9"/>
        <xdr:cNvSpPr>
          <a:spLocks noChangeArrowheads="1"/>
        </xdr:cNvSpPr>
      </xdr:nvSpPr>
      <xdr:spPr bwMode="auto">
        <a:xfrm>
          <a:off x="5762625" y="495300"/>
          <a:ext cx="1543050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View Chart</a:t>
          </a:r>
          <a:endParaRPr lang="en-US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0.47</cdr:x>
      <cdr:y>0</cdr:y>
    </cdr:from>
    <cdr:to>
      <cdr:x>0.7075</cdr:x>
      <cdr:y>0.051</cdr:y>
    </cdr:to>
    <cdr:sp macro="[0]!ReturntoReport" textlink="">
      <cdr:nvSpPr>
        <cdr:cNvPr id="24583" name="AutoShape 7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33552" y="0"/>
          <a:ext cx="2038231" cy="297780"/>
        </a:xfrm>
        <a:prstGeom xmlns:a="http://schemas.openxmlformats.org/drawingml/2006/main" prst="bevel">
          <a:avLst>
            <a:gd name="adj" fmla="val 12500"/>
          </a:avLst>
        </a:prstGeom>
        <a:solidFill xmlns:a="http://schemas.openxmlformats.org/drawingml/2006/main">
          <a:srgbClr xmlns:mc="http://schemas.openxmlformats.org/markup-compatibility/2006" xmlns:a14="http://schemas.microsoft.com/office/drawing/2010/main" val="99CCFF" mc:Ignorable="a14" a14:legacySpreadsheetColorIndex="44"/>
        </a:solid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Report</a:t>
          </a:r>
          <a:endParaRPr lang="en-US"/>
        </a:p>
      </cdr:txBody>
    </cdr:sp>
  </cdr:relSizeAnchor>
  <cdr:relSizeAnchor xmlns:cdr="http://schemas.openxmlformats.org/drawingml/2006/chartDrawing">
    <cdr:from>
      <cdr:x>0.223</cdr:x>
      <cdr:y>0</cdr:y>
    </cdr:from>
    <cdr:to>
      <cdr:x>0.4605</cdr:x>
      <cdr:y>0.051</cdr:y>
    </cdr:to>
    <cdr:sp macro="[0]!ReturnTable" textlink="">
      <cdr:nvSpPr>
        <cdr:cNvPr id="24584" name="AutoShape 8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792" y="0"/>
          <a:ext cx="2038231" cy="297780"/>
        </a:xfrm>
        <a:prstGeom xmlns:a="http://schemas.openxmlformats.org/drawingml/2006/main" prst="bevel">
          <a:avLst>
            <a:gd name="adj" fmla="val 12500"/>
          </a:avLst>
        </a:prstGeom>
        <a:solidFill xmlns:a="http://schemas.openxmlformats.org/drawingml/2006/main">
          <a:srgbClr xmlns:mc="http://schemas.openxmlformats.org/markup-compatibility/2006" xmlns:a14="http://schemas.microsoft.com/office/drawing/2010/main" val="99CCFF" mc:Ignorable="a14" a14:legacySpreadsheetColorIndex="44"/>
        </a:solid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View Table</a:t>
          </a:r>
          <a:endParaRPr lang="en-US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123825</xdr:rowOff>
    </xdr:from>
    <xdr:to>
      <xdr:col>5</xdr:col>
      <xdr:colOff>742950</xdr:colOff>
      <xdr:row>2</xdr:row>
      <xdr:rowOff>85725</xdr:rowOff>
    </xdr:to>
    <xdr:sp macro="" textlink="">
      <xdr:nvSpPr>
        <xdr:cNvPr id="25601" name="Text Box 1"/>
        <xdr:cNvSpPr txBox="1">
          <a:spLocks noChangeArrowheads="1"/>
        </xdr:cNvSpPr>
      </xdr:nvSpPr>
      <xdr:spPr bwMode="auto">
        <a:xfrm>
          <a:off x="266700" y="123825"/>
          <a:ext cx="4171950" cy="285750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84B0DC" mc:Ignorable="a14" a14:legacySpreadsheetColorIndex="44">
                <a:gamma/>
                <a:shade val="8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99CCFF" mc:Ignorable="a14" a14:legacySpreadsheetColorIndex="44"/>
            </a:gs>
          </a:gsLst>
          <a:lin ang="27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Shipping Costs</a:t>
          </a:r>
          <a:endParaRPr lang="en-US"/>
        </a:p>
      </xdr:txBody>
    </xdr:sp>
    <xdr:clientData/>
  </xdr:twoCellAnchor>
  <xdr:twoCellAnchor>
    <xdr:from>
      <xdr:col>7</xdr:col>
      <xdr:colOff>123825</xdr:colOff>
      <xdr:row>0</xdr:row>
      <xdr:rowOff>95250</xdr:rowOff>
    </xdr:from>
    <xdr:to>
      <xdr:col>9</xdr:col>
      <xdr:colOff>447675</xdr:colOff>
      <xdr:row>2</xdr:row>
      <xdr:rowOff>85725</xdr:rowOff>
    </xdr:to>
    <xdr:sp macro="[0]!ReturntoReport" textlink="">
      <xdr:nvSpPr>
        <xdr:cNvPr id="25608" name="AutoShape 8"/>
        <xdr:cNvSpPr>
          <a:spLocks noChangeArrowheads="1"/>
        </xdr:cNvSpPr>
      </xdr:nvSpPr>
      <xdr:spPr bwMode="auto">
        <a:xfrm>
          <a:off x="5648325" y="95250"/>
          <a:ext cx="1543050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Report</a:t>
          </a:r>
          <a:endParaRPr lang="en-US"/>
        </a:p>
      </xdr:txBody>
    </xdr:sp>
    <xdr:clientData/>
  </xdr:twoCellAnchor>
  <xdr:twoCellAnchor>
    <xdr:from>
      <xdr:col>7</xdr:col>
      <xdr:colOff>123825</xdr:colOff>
      <xdr:row>2</xdr:row>
      <xdr:rowOff>152400</xdr:rowOff>
    </xdr:from>
    <xdr:to>
      <xdr:col>9</xdr:col>
      <xdr:colOff>447675</xdr:colOff>
      <xdr:row>4</xdr:row>
      <xdr:rowOff>142875</xdr:rowOff>
    </xdr:to>
    <xdr:sp macro="[0]!ViewChart" textlink="">
      <xdr:nvSpPr>
        <xdr:cNvPr id="25609" name="AutoShape 9"/>
        <xdr:cNvSpPr>
          <a:spLocks noChangeArrowheads="1"/>
        </xdr:cNvSpPr>
      </xdr:nvSpPr>
      <xdr:spPr bwMode="auto">
        <a:xfrm>
          <a:off x="5648325" y="476250"/>
          <a:ext cx="1543050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View Chart</a:t>
          </a:r>
          <a:endParaRPr lang="en-US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0.45725</cdr:x>
      <cdr:y>0</cdr:y>
    </cdr:from>
    <cdr:to>
      <cdr:x>0.69825</cdr:x>
      <cdr:y>0.0515</cdr:y>
    </cdr:to>
    <cdr:sp macro="[0]!ReturntoReport" textlink="">
      <cdr:nvSpPr>
        <cdr:cNvPr id="26631" name="AutoShape 7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24131" y="0"/>
          <a:ext cx="2068268" cy="300699"/>
        </a:xfrm>
        <a:prstGeom xmlns:a="http://schemas.openxmlformats.org/drawingml/2006/main" prst="bevel">
          <a:avLst>
            <a:gd name="adj" fmla="val 12500"/>
          </a:avLst>
        </a:prstGeom>
        <a:solidFill xmlns:a="http://schemas.openxmlformats.org/drawingml/2006/main">
          <a:srgbClr xmlns:mc="http://schemas.openxmlformats.org/markup-compatibility/2006" xmlns:a14="http://schemas.microsoft.com/office/drawing/2010/main" val="99CCFF" mc:Ignorable="a14" a14:legacySpreadsheetColorIndex="44"/>
        </a:solid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Report</a:t>
          </a:r>
          <a:endParaRPr lang="en-US"/>
        </a:p>
      </cdr:txBody>
    </cdr:sp>
  </cdr:relSizeAnchor>
  <cdr:relSizeAnchor xmlns:cdr="http://schemas.openxmlformats.org/drawingml/2006/chartDrawing">
    <cdr:from>
      <cdr:x>0.207</cdr:x>
      <cdr:y>0</cdr:y>
    </cdr:from>
    <cdr:to>
      <cdr:x>0.44875</cdr:x>
      <cdr:y>0.0515</cdr:y>
    </cdr:to>
    <cdr:sp macro="[0]!ReturnTable" textlink="">
      <cdr:nvSpPr>
        <cdr:cNvPr id="26632" name="AutoShape 8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776479" y="0"/>
          <a:ext cx="2074705" cy="300699"/>
        </a:xfrm>
        <a:prstGeom xmlns:a="http://schemas.openxmlformats.org/drawingml/2006/main" prst="bevel">
          <a:avLst>
            <a:gd name="adj" fmla="val 12500"/>
          </a:avLst>
        </a:prstGeom>
        <a:solidFill xmlns:a="http://schemas.openxmlformats.org/drawingml/2006/main">
          <a:srgbClr xmlns:mc="http://schemas.openxmlformats.org/markup-compatibility/2006" xmlns:a14="http://schemas.microsoft.com/office/drawing/2010/main" val="99CCFF" mc:Ignorable="a14" a14:legacySpreadsheetColorIndex="44"/>
        </a:solid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View Table</a:t>
          </a:r>
          <a:endParaRPr lang="en-US"/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123825</xdr:rowOff>
    </xdr:from>
    <xdr:to>
      <xdr:col>5</xdr:col>
      <xdr:colOff>9525</xdr:colOff>
      <xdr:row>2</xdr:row>
      <xdr:rowOff>104775</xdr:rowOff>
    </xdr:to>
    <xdr:sp macro="" textlink="">
      <xdr:nvSpPr>
        <xdr:cNvPr id="27649" name="Text Box 1"/>
        <xdr:cNvSpPr txBox="1">
          <a:spLocks noChangeArrowheads="1"/>
        </xdr:cNvSpPr>
      </xdr:nvSpPr>
      <xdr:spPr bwMode="auto">
        <a:xfrm>
          <a:off x="381000" y="123825"/>
          <a:ext cx="3743325" cy="304800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84B0DC" mc:Ignorable="a14" a14:legacySpreadsheetColorIndex="44">
                <a:gamma/>
                <a:shade val="8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99CCFF" mc:Ignorable="a14" a14:legacySpreadsheetColorIndex="44"/>
            </a:gs>
          </a:gsLst>
          <a:lin ang="27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Holding Costs</a:t>
          </a:r>
          <a:endParaRPr lang="en-US"/>
        </a:p>
      </xdr:txBody>
    </xdr:sp>
    <xdr:clientData/>
  </xdr:twoCellAnchor>
  <xdr:twoCellAnchor>
    <xdr:from>
      <xdr:col>6</xdr:col>
      <xdr:colOff>123825</xdr:colOff>
      <xdr:row>0</xdr:row>
      <xdr:rowOff>104775</xdr:rowOff>
    </xdr:from>
    <xdr:to>
      <xdr:col>8</xdr:col>
      <xdr:colOff>447675</xdr:colOff>
      <xdr:row>2</xdr:row>
      <xdr:rowOff>95250</xdr:rowOff>
    </xdr:to>
    <xdr:sp macro="[0]!ReturntoReport" textlink="">
      <xdr:nvSpPr>
        <xdr:cNvPr id="27656" name="AutoShape 8"/>
        <xdr:cNvSpPr>
          <a:spLocks noChangeArrowheads="1"/>
        </xdr:cNvSpPr>
      </xdr:nvSpPr>
      <xdr:spPr bwMode="auto">
        <a:xfrm>
          <a:off x="5153025" y="104775"/>
          <a:ext cx="1543050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Report</a:t>
          </a:r>
          <a:endParaRPr lang="en-US"/>
        </a:p>
      </xdr:txBody>
    </xdr:sp>
    <xdr:clientData/>
  </xdr:twoCellAnchor>
  <xdr:twoCellAnchor>
    <xdr:from>
      <xdr:col>6</xdr:col>
      <xdr:colOff>123825</xdr:colOff>
      <xdr:row>3</xdr:row>
      <xdr:rowOff>0</xdr:rowOff>
    </xdr:from>
    <xdr:to>
      <xdr:col>8</xdr:col>
      <xdr:colOff>447675</xdr:colOff>
      <xdr:row>4</xdr:row>
      <xdr:rowOff>152400</xdr:rowOff>
    </xdr:to>
    <xdr:sp macro="[0]!ViewChart" textlink="">
      <xdr:nvSpPr>
        <xdr:cNvPr id="27657" name="AutoShape 9"/>
        <xdr:cNvSpPr>
          <a:spLocks noChangeArrowheads="1"/>
        </xdr:cNvSpPr>
      </xdr:nvSpPr>
      <xdr:spPr bwMode="auto">
        <a:xfrm>
          <a:off x="5153025" y="485775"/>
          <a:ext cx="1543050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View Chart</a:t>
          </a:r>
          <a:endParaRPr lang="en-US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0.43625</cdr:x>
      <cdr:y>0</cdr:y>
    </cdr:from>
    <cdr:to>
      <cdr:x>0.67625</cdr:x>
      <cdr:y>0.0515</cdr:y>
    </cdr:to>
    <cdr:sp macro="[0]!ReturntoReport" textlink="">
      <cdr:nvSpPr>
        <cdr:cNvPr id="28679" name="AutoShape 7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43908" y="0"/>
          <a:ext cx="2059686" cy="300699"/>
        </a:xfrm>
        <a:prstGeom xmlns:a="http://schemas.openxmlformats.org/drawingml/2006/main" prst="bevel">
          <a:avLst>
            <a:gd name="adj" fmla="val 12500"/>
          </a:avLst>
        </a:prstGeom>
        <a:solidFill xmlns:a="http://schemas.openxmlformats.org/drawingml/2006/main">
          <a:srgbClr xmlns:mc="http://schemas.openxmlformats.org/markup-compatibility/2006" xmlns:a14="http://schemas.microsoft.com/office/drawing/2010/main" val="99CCFF" mc:Ignorable="a14" a14:legacySpreadsheetColorIndex="44"/>
        </a:solid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Report</a:t>
          </a:r>
          <a:endParaRPr lang="en-US"/>
        </a:p>
      </cdr:txBody>
    </cdr:sp>
  </cdr:relSizeAnchor>
  <cdr:relSizeAnchor xmlns:cdr="http://schemas.openxmlformats.org/drawingml/2006/chartDrawing">
    <cdr:from>
      <cdr:x>0.18575</cdr:x>
      <cdr:y>0</cdr:y>
    </cdr:from>
    <cdr:to>
      <cdr:x>0.42575</cdr:x>
      <cdr:y>0.0515</cdr:y>
    </cdr:to>
    <cdr:sp macro="[0]!ReturnTable" textlink="">
      <cdr:nvSpPr>
        <cdr:cNvPr id="28680" name="AutoShape 8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94111" y="0"/>
          <a:ext cx="2059686" cy="300699"/>
        </a:xfrm>
        <a:prstGeom xmlns:a="http://schemas.openxmlformats.org/drawingml/2006/main" prst="bevel">
          <a:avLst>
            <a:gd name="adj" fmla="val 12500"/>
          </a:avLst>
        </a:prstGeom>
        <a:solidFill xmlns:a="http://schemas.openxmlformats.org/drawingml/2006/main">
          <a:srgbClr xmlns:mc="http://schemas.openxmlformats.org/markup-compatibility/2006" xmlns:a14="http://schemas.microsoft.com/office/drawing/2010/main" val="99CCFF" mc:Ignorable="a14" a14:legacySpreadsheetColorIndex="44"/>
        </a:solid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View Table</a:t>
          </a:r>
          <a:endParaRPr lang="en-US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123825</xdr:rowOff>
    </xdr:from>
    <xdr:to>
      <xdr:col>5</xdr:col>
      <xdr:colOff>266700</xdr:colOff>
      <xdr:row>2</xdr:row>
      <xdr:rowOff>85725</xdr:rowOff>
    </xdr:to>
    <xdr:sp macro="" textlink="">
      <xdr:nvSpPr>
        <xdr:cNvPr id="29697" name="Text Box 1"/>
        <xdr:cNvSpPr txBox="1">
          <a:spLocks noChangeArrowheads="1"/>
        </xdr:cNvSpPr>
      </xdr:nvSpPr>
      <xdr:spPr bwMode="auto">
        <a:xfrm>
          <a:off x="381000" y="123825"/>
          <a:ext cx="3600450" cy="285750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84B0DC" mc:Ignorable="a14" a14:legacySpreadsheetColorIndex="44">
                <a:gamma/>
                <a:shade val="8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99CCFF" mc:Ignorable="a14" a14:legacySpreadsheetColorIndex="44"/>
            </a:gs>
          </a:gsLst>
          <a:lin ang="27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Production Costs</a:t>
          </a:r>
          <a:endParaRPr lang="en-US"/>
        </a:p>
      </xdr:txBody>
    </xdr:sp>
    <xdr:clientData/>
  </xdr:twoCellAnchor>
  <xdr:twoCellAnchor>
    <xdr:from>
      <xdr:col>6</xdr:col>
      <xdr:colOff>114300</xdr:colOff>
      <xdr:row>0</xdr:row>
      <xdr:rowOff>142875</xdr:rowOff>
    </xdr:from>
    <xdr:to>
      <xdr:col>8</xdr:col>
      <xdr:colOff>438150</xdr:colOff>
      <xdr:row>2</xdr:row>
      <xdr:rowOff>133350</xdr:rowOff>
    </xdr:to>
    <xdr:sp macro="[0]!ReturntoReport" textlink="">
      <xdr:nvSpPr>
        <xdr:cNvPr id="29704" name="AutoShape 8"/>
        <xdr:cNvSpPr>
          <a:spLocks noChangeArrowheads="1"/>
        </xdr:cNvSpPr>
      </xdr:nvSpPr>
      <xdr:spPr bwMode="auto">
        <a:xfrm>
          <a:off x="4610100" y="142875"/>
          <a:ext cx="1543050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Report</a:t>
          </a:r>
          <a:endParaRPr lang="en-US"/>
        </a:p>
      </xdr:txBody>
    </xdr:sp>
    <xdr:clientData/>
  </xdr:twoCellAnchor>
  <xdr:twoCellAnchor>
    <xdr:from>
      <xdr:col>6</xdr:col>
      <xdr:colOff>114300</xdr:colOff>
      <xdr:row>3</xdr:row>
      <xdr:rowOff>38100</xdr:rowOff>
    </xdr:from>
    <xdr:to>
      <xdr:col>8</xdr:col>
      <xdr:colOff>438150</xdr:colOff>
      <xdr:row>5</xdr:row>
      <xdr:rowOff>28575</xdr:rowOff>
    </xdr:to>
    <xdr:sp macro="[0]!ViewChart" textlink="">
      <xdr:nvSpPr>
        <xdr:cNvPr id="29705" name="AutoShape 9"/>
        <xdr:cNvSpPr>
          <a:spLocks noChangeArrowheads="1"/>
        </xdr:cNvSpPr>
      </xdr:nvSpPr>
      <xdr:spPr bwMode="auto">
        <a:xfrm>
          <a:off x="4610100" y="523875"/>
          <a:ext cx="1543050" cy="3143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View Chart</a:t>
          </a:r>
          <a:endParaRPr lang="en-US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0.4605</cdr:x>
      <cdr:y>0</cdr:y>
    </cdr:from>
    <cdr:to>
      <cdr:x>0.7015</cdr:x>
      <cdr:y>0.0515</cdr:y>
    </cdr:to>
    <cdr:sp macro="[0]!ReturntoReport" textlink="">
      <cdr:nvSpPr>
        <cdr:cNvPr id="30727" name="AutoShape 7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52023" y="0"/>
          <a:ext cx="2068268" cy="300699"/>
        </a:xfrm>
        <a:prstGeom xmlns:a="http://schemas.openxmlformats.org/drawingml/2006/main" prst="bevel">
          <a:avLst>
            <a:gd name="adj" fmla="val 12500"/>
          </a:avLst>
        </a:prstGeom>
        <a:solidFill xmlns:a="http://schemas.openxmlformats.org/drawingml/2006/main">
          <a:srgbClr xmlns:mc="http://schemas.openxmlformats.org/markup-compatibility/2006" xmlns:a14="http://schemas.microsoft.com/office/drawing/2010/main" val="99CCFF" mc:Ignorable="a14" a14:legacySpreadsheetColorIndex="44"/>
        </a:solid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Return to Report</a:t>
          </a:r>
          <a:endParaRPr lang="en-US"/>
        </a:p>
      </cdr:txBody>
    </cdr:sp>
  </cdr:relSizeAnchor>
  <cdr:relSizeAnchor xmlns:cdr="http://schemas.openxmlformats.org/drawingml/2006/chartDrawing">
    <cdr:from>
      <cdr:x>0.211</cdr:x>
      <cdr:y>0</cdr:y>
    </cdr:from>
    <cdr:to>
      <cdr:x>0.451</cdr:x>
      <cdr:y>0.0515</cdr:y>
    </cdr:to>
    <cdr:sp macro="[0]!ReturnTable" textlink="">
      <cdr:nvSpPr>
        <cdr:cNvPr id="30728" name="AutoShape 8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10807" y="0"/>
          <a:ext cx="2059686" cy="300699"/>
        </a:xfrm>
        <a:prstGeom xmlns:a="http://schemas.openxmlformats.org/drawingml/2006/main" prst="bevel">
          <a:avLst>
            <a:gd name="adj" fmla="val 12500"/>
          </a:avLst>
        </a:prstGeom>
        <a:solidFill xmlns:a="http://schemas.openxmlformats.org/drawingml/2006/main">
          <a:srgbClr xmlns:mc="http://schemas.openxmlformats.org/markup-compatibility/2006" xmlns:a14="http://schemas.microsoft.com/office/drawing/2010/main" val="99CCFF" mc:Ignorable="a14" a14:legacySpreadsheetColorIndex="44"/>
        </a:solid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View Table</a:t>
          </a:r>
          <a:endParaRPr lang="en-US"/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1</xdr:row>
      <xdr:rowOff>0</xdr:rowOff>
    </xdr:from>
    <xdr:to>
      <xdr:col>4</xdr:col>
      <xdr:colOff>733425</xdr:colOff>
      <xdr:row>2</xdr:row>
      <xdr:rowOff>95250</xdr:rowOff>
    </xdr:to>
    <xdr:sp macro="" textlink="">
      <xdr:nvSpPr>
        <xdr:cNvPr id="18433" name="Text Box 1"/>
        <xdr:cNvSpPr txBox="1">
          <a:spLocks noChangeArrowheads="1"/>
        </xdr:cNvSpPr>
      </xdr:nvSpPr>
      <xdr:spPr bwMode="auto">
        <a:xfrm>
          <a:off x="238125" y="161925"/>
          <a:ext cx="3305175" cy="276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Results: Per Product</a:t>
          </a:r>
          <a:endParaRPr lang="en-US"/>
        </a:p>
      </xdr:txBody>
    </xdr:sp>
    <xdr:clientData/>
  </xdr:twoCellAnchor>
  <xdr:twoCellAnchor>
    <xdr:from>
      <xdr:col>6</xdr:col>
      <xdr:colOff>200025</xdr:colOff>
      <xdr:row>1</xdr:row>
      <xdr:rowOff>9525</xdr:rowOff>
    </xdr:from>
    <xdr:to>
      <xdr:col>7</xdr:col>
      <xdr:colOff>114300</xdr:colOff>
      <xdr:row>2</xdr:row>
      <xdr:rowOff>142875</xdr:rowOff>
    </xdr:to>
    <xdr:grpSp>
      <xdr:nvGrpSpPr>
        <xdr:cNvPr id="18434" name="Group 2"/>
        <xdr:cNvGrpSpPr>
          <a:grpSpLocks/>
        </xdr:cNvGrpSpPr>
      </xdr:nvGrpSpPr>
      <xdr:grpSpPr bwMode="auto">
        <a:xfrm>
          <a:off x="4362450" y="171450"/>
          <a:ext cx="1238250" cy="314325"/>
          <a:chOff x="221" y="492"/>
          <a:chExt cx="95" cy="35"/>
        </a:xfrm>
      </xdr:grpSpPr>
      <xdr:sp macro="[0]!EndProg" textlink="">
        <xdr:nvSpPr>
          <xdr:cNvPr id="18435" name="AutoShape 3"/>
          <xdr:cNvSpPr>
            <a:spLocks noChangeArrowheads="1"/>
          </xdr:cNvSpPr>
        </xdr:nvSpPr>
        <xdr:spPr bwMode="auto">
          <a:xfrm>
            <a:off x="221" y="492"/>
            <a:ext cx="95" cy="35"/>
          </a:xfrm>
          <a:prstGeom prst="bevel">
            <a:avLst>
              <a:gd name="adj" fmla="val 12500"/>
            </a:avLst>
          </a:prstGeom>
          <a:solidFill>
            <a:srgbClr xmlns:mc="http://schemas.openxmlformats.org/markup-compatibility/2006" xmlns:a14="http://schemas.microsoft.com/office/drawing/2010/main" val="C0C0C0" mc:Ignorable="a14" a14:legacySpreadsheetColorIndex="22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miter lim="800000"/>
            <a:headEnd/>
            <a:tailEnd/>
          </a:ln>
        </xdr:spPr>
      </xdr:sp>
      <xdr:sp macro="[0]!EndProg" textlink="">
        <xdr:nvSpPr>
          <xdr:cNvPr id="18436" name="Text Box 4"/>
          <xdr:cNvSpPr txBox="1">
            <a:spLocks noChangeArrowheads="1"/>
          </xdr:cNvSpPr>
        </xdr:nvSpPr>
        <xdr:spPr bwMode="auto">
          <a:xfrm>
            <a:off x="233" y="498"/>
            <a:ext cx="69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End</a:t>
            </a:r>
            <a:endParaRPr lang="en-US"/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1</xdr:row>
      <xdr:rowOff>0</xdr:rowOff>
    </xdr:from>
    <xdr:to>
      <xdr:col>4</xdr:col>
      <xdr:colOff>733425</xdr:colOff>
      <xdr:row>2</xdr:row>
      <xdr:rowOff>95250</xdr:rowOff>
    </xdr:to>
    <xdr:sp macro="" textlink="">
      <xdr:nvSpPr>
        <xdr:cNvPr id="20481" name="Text Box 1"/>
        <xdr:cNvSpPr txBox="1">
          <a:spLocks noChangeArrowheads="1"/>
        </xdr:cNvSpPr>
      </xdr:nvSpPr>
      <xdr:spPr bwMode="auto">
        <a:xfrm>
          <a:off x="238125" y="161925"/>
          <a:ext cx="3305175" cy="276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Results: Per Factory</a:t>
          </a:r>
          <a:endParaRPr lang="en-US"/>
        </a:p>
      </xdr:txBody>
    </xdr:sp>
    <xdr:clientData/>
  </xdr:twoCellAnchor>
  <xdr:twoCellAnchor>
    <xdr:from>
      <xdr:col>6</xdr:col>
      <xdr:colOff>200025</xdr:colOff>
      <xdr:row>1</xdr:row>
      <xdr:rowOff>9525</xdr:rowOff>
    </xdr:from>
    <xdr:to>
      <xdr:col>7</xdr:col>
      <xdr:colOff>114300</xdr:colOff>
      <xdr:row>2</xdr:row>
      <xdr:rowOff>142875</xdr:rowOff>
    </xdr:to>
    <xdr:grpSp>
      <xdr:nvGrpSpPr>
        <xdr:cNvPr id="20482" name="Group 2"/>
        <xdr:cNvGrpSpPr>
          <a:grpSpLocks/>
        </xdr:cNvGrpSpPr>
      </xdr:nvGrpSpPr>
      <xdr:grpSpPr bwMode="auto">
        <a:xfrm>
          <a:off x="4362450" y="171450"/>
          <a:ext cx="1238250" cy="314325"/>
          <a:chOff x="221" y="492"/>
          <a:chExt cx="95" cy="35"/>
        </a:xfrm>
      </xdr:grpSpPr>
      <xdr:sp macro="[0]!EndProg" textlink="">
        <xdr:nvSpPr>
          <xdr:cNvPr id="20483" name="AutoShape 3"/>
          <xdr:cNvSpPr>
            <a:spLocks noChangeArrowheads="1"/>
          </xdr:cNvSpPr>
        </xdr:nvSpPr>
        <xdr:spPr bwMode="auto">
          <a:xfrm>
            <a:off x="221" y="492"/>
            <a:ext cx="95" cy="35"/>
          </a:xfrm>
          <a:prstGeom prst="bevel">
            <a:avLst>
              <a:gd name="adj" fmla="val 12500"/>
            </a:avLst>
          </a:prstGeom>
          <a:solidFill>
            <a:srgbClr xmlns:mc="http://schemas.openxmlformats.org/markup-compatibility/2006" xmlns:a14="http://schemas.microsoft.com/office/drawing/2010/main" val="C0C0C0" mc:Ignorable="a14" a14:legacySpreadsheetColorIndex="22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miter lim="800000"/>
            <a:headEnd/>
            <a:tailEnd/>
          </a:ln>
        </xdr:spPr>
      </xdr:sp>
      <xdr:sp macro="[0]!EndProg" textlink="">
        <xdr:nvSpPr>
          <xdr:cNvPr id="20484" name="Text Box 4"/>
          <xdr:cNvSpPr txBox="1">
            <a:spLocks noChangeArrowheads="1"/>
          </xdr:cNvSpPr>
        </xdr:nvSpPr>
        <xdr:spPr bwMode="auto">
          <a:xfrm>
            <a:off x="233" y="498"/>
            <a:ext cx="69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End</a:t>
            </a:r>
            <a:endParaRPr lang="en-US"/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helle" refreshedDate="38113.550286805556" createdVersion="1" refreshedVersion="1" recordCount="18" upgradeOnRefresh="1">
  <cacheSource type="worksheet">
    <worksheetSource ref="B5:E23" sheet="Results"/>
  </cacheSource>
  <cacheFields count="4">
    <cacheField name="Product" numFmtId="0">
      <sharedItems containsSemiMixedTypes="0" containsString="0" containsNumber="1" containsInteger="1" minValue="1" maxValue="3" count="3">
        <n v="1"/>
        <n v="2"/>
        <n v="3"/>
      </sharedItems>
    </cacheField>
    <cacheField name="Factory" numFmtId="0">
      <sharedItems containsSemiMixedTypes="0" containsString="0" containsNumber="1" containsInteger="1" minValue="1" maxValue="3" count="3">
        <n v="1"/>
        <n v="2"/>
        <n v="3"/>
      </sharedItems>
    </cacheField>
    <cacheField name="Period" numFmtId="0">
      <sharedItems containsSemiMixedTypes="0" containsString="0" containsNumber="1" containsInteger="1" minValue="1" maxValue="2" count="2">
        <n v="1"/>
        <n v="2"/>
      </sharedItems>
    </cacheField>
    <cacheField name="Number to Produce" numFmtId="0">
      <sharedItems containsSemiMixedTypes="0" containsString="0" containsNumber="1" minValue="0" maxValue="5998.9998332686382" count="12">
        <n v="0"/>
        <n v="1999.9999999995666"/>
        <n v="3999"/>
        <n v="4000"/>
        <n v="1999.9999999985"/>
        <n v="2665.9999999992224"/>
        <n v="2132.9999568854046"/>
        <n v="9.0940375230275095E-9"/>
        <n v="3334.9998415962455"/>
        <n v="2000"/>
        <n v="4264.0000048082911"/>
        <n v="5998.999833268638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helle" refreshedDate="38113.561920370368" createdVersion="1" refreshedVersion="1" recordCount="54" upgradeOnRefresh="1">
  <cacheSource type="worksheet">
    <worksheetSource ref="G5:K59" sheet="Results"/>
  </cacheSource>
  <cacheFields count="5">
    <cacheField name="Product" numFmtId="0">
      <sharedItems containsSemiMixedTypes="0" containsString="0" containsNumber="1" containsInteger="1" minValue="1" maxValue="3" count="3">
        <n v="1"/>
        <n v="2"/>
        <n v="3"/>
      </sharedItems>
    </cacheField>
    <cacheField name="Factory" numFmtId="0">
      <sharedItems containsSemiMixedTypes="0" containsString="0" containsNumber="1" containsInteger="1" minValue="1" maxValue="3" count="3">
        <n v="1"/>
        <n v="2"/>
        <n v="3"/>
      </sharedItems>
    </cacheField>
    <cacheField name="Customer" numFmtId="0">
      <sharedItems containsSemiMixedTypes="0" containsString="0" containsNumber="1" containsInteger="1" minValue="1" maxValue="3" count="3">
        <n v="1"/>
        <n v="2"/>
        <n v="3"/>
      </sharedItems>
    </cacheField>
    <cacheField name="Period" numFmtId="0">
      <sharedItems containsSemiMixedTypes="0" containsString="0" containsNumber="1" containsInteger="1" minValue="1" maxValue="2" count="2">
        <n v="1"/>
        <n v="2"/>
      </sharedItems>
    </cacheField>
    <cacheField name="Number to Ship" numFmtId="0">
      <sharedItems containsSemiMixedTypes="0" containsString="0" containsNumber="1" minValue="0" maxValue="2799.9999434066935" count="14">
        <n v="0"/>
        <n v="1999.9999999995666"/>
        <n v="1333"/>
        <n v="2000"/>
        <n v="1332.999999999322"/>
        <n v="2132.9999568854046"/>
        <n v="534.99989818955191"/>
        <n v="2799.9999434066935"/>
        <n v="2000.0000050504916"/>
        <n v="2265.9999541978468"/>
        <n v="2399.9999514921005"/>
        <n v="1998.0000506104452"/>
        <n v="2665.9999461124398"/>
        <n v="932.9999356640980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ichelle" refreshedDate="38113.567138078703" createdVersion="1" refreshedVersion="1" recordCount="27" upgradeOnRefresh="1">
  <cacheSource type="worksheet">
    <worksheetSource ref="M5:P32" sheet="Results"/>
  </cacheSource>
  <cacheFields count="4">
    <cacheField name="Product" numFmtId="0">
      <sharedItems containsSemiMixedTypes="0" containsString="0" containsNumber="1" containsInteger="1" minValue="1" maxValue="3" count="3">
        <n v="1"/>
        <n v="2"/>
        <n v="3"/>
      </sharedItems>
    </cacheField>
    <cacheField name="Factory" numFmtId="0">
      <sharedItems containsSemiMixedTypes="0" containsString="0" containsNumber="1" containsInteger="1" minValue="1" maxValue="3" count="3">
        <n v="1"/>
        <n v="2"/>
        <n v="3"/>
      </sharedItems>
    </cacheField>
    <cacheField name="Customer" numFmtId="0">
      <sharedItems containsSemiMixedTypes="0" containsString="0" containsNumber="1" containsInteger="1" minValue="1" maxValue="3" count="3">
        <n v="1"/>
        <n v="2"/>
        <n v="3"/>
      </sharedItems>
    </cacheField>
    <cacheField name="Total Shipping Cost" numFmtId="0">
      <sharedItems containsSemiMixedTypes="0" containsString="0" containsNumber="1" minValue="0" maxValue="719.99999226857778" count="12">
        <n v="299.99999999993497"/>
        <n v="0"/>
        <n v="199.95"/>
        <n v="499.95"/>
        <n v="300"/>
        <n v="499.9499999998983"/>
        <n v="319.94999353281065"/>
        <n v="80.249984728432779"/>
        <n v="719.99999226857778"/>
        <n v="699.89998585349201"/>
        <n v="699.59999950843269"/>
        <n v="139.9499903496146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Michelle" refreshedDate="38113.569728009257" createdVersion="1" refreshedVersion="1" recordCount="18" upgradeOnRefresh="1">
  <cacheSource type="worksheet">
    <worksheetSource ref="R5:U23" sheet="Results"/>
  </cacheSource>
  <cacheFields count="4">
    <cacheField name="Product" numFmtId="0">
      <sharedItems containsSemiMixedTypes="0" containsString="0" containsNumber="1" containsInteger="1" minValue="1" maxValue="3" count="3">
        <n v="1"/>
        <n v="2"/>
        <n v="3"/>
      </sharedItems>
    </cacheField>
    <cacheField name="Factory" numFmtId="0">
      <sharedItems containsSemiMixedTypes="0" containsString="0" containsNumber="1" containsInteger="1" minValue="1" maxValue="3" count="3">
        <n v="1"/>
        <n v="2"/>
        <n v="3"/>
      </sharedItems>
    </cacheField>
    <cacheField name="Period" numFmtId="0">
      <sharedItems containsSemiMixedTypes="0" containsString="0" containsNumber="1" containsInteger="1" minValue="1" maxValue="2" count="2">
        <n v="1"/>
        <n v="2"/>
      </sharedItems>
    </cacheField>
    <cacheField name="Total Holding Cost" numFmtId="0">
      <sharedItems containsSemiMixedTypes="0" containsString="0" containsNumber="1" minValue="499.9999974747542" maxValue="500.00000000454702" count="8">
        <n v="500"/>
        <n v="499.99999999925012"/>
        <n v="499.99999999995021"/>
        <n v="499.99999999994998"/>
        <n v="500.00000000454702"/>
        <n v="499.9999974747542"/>
        <n v="499.99999999999955"/>
        <n v="499.9999999999990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Michelle" refreshedDate="38113.571565393519" createdVersion="1" refreshedVersion="1" recordCount="18" upgradeOnRefresh="1">
  <cacheSource type="worksheet">
    <worksheetSource ref="W5:Z23" sheet="Results"/>
  </cacheSource>
  <cacheFields count="4">
    <cacheField name="Product" numFmtId="0">
      <sharedItems containsSemiMixedTypes="0" containsString="0" containsNumber="1" containsInteger="1" minValue="1" maxValue="3" count="3">
        <n v="1"/>
        <n v="2"/>
        <n v="3"/>
      </sharedItems>
    </cacheField>
    <cacheField name="Factory" numFmtId="0">
      <sharedItems containsSemiMixedTypes="0" containsString="0" containsNumber="1" containsInteger="1" minValue="1" maxValue="3" count="3">
        <n v="1"/>
        <n v="2"/>
        <n v="3"/>
      </sharedItems>
    </cacheField>
    <cacheField name="Period" numFmtId="0">
      <sharedItems containsSemiMixedTypes="0" containsString="0" containsNumber="1" containsInteger="1" minValue="1" maxValue="2" count="2">
        <n v="1"/>
        <n v="2"/>
      </sharedItems>
    </cacheField>
    <cacheField name="Total Production Cost" numFmtId="0">
      <sharedItems containsSemiMixedTypes="0" containsString="0" containsNumber="1" minValue="0" maxValue="1499.7499583171596" count="12">
        <n v="0"/>
        <n v="499.99999999989166"/>
        <n v="999.75"/>
        <n v="1000"/>
        <n v="499.999999999625"/>
        <n v="666.4999999998056"/>
        <n v="533.24998922135114"/>
        <n v="2.2735093807568774E-9"/>
        <n v="833.74996039906137"/>
        <n v="500"/>
        <n v="1066.0000012020728"/>
        <n v="1499.749958317159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x v="0"/>
    <x v="0"/>
    <x v="0"/>
    <x v="0"/>
  </r>
  <r>
    <x v="0"/>
    <x v="0"/>
    <x v="1"/>
    <x v="1"/>
  </r>
  <r>
    <x v="0"/>
    <x v="1"/>
    <x v="0"/>
    <x v="2"/>
  </r>
  <r>
    <x v="0"/>
    <x v="1"/>
    <x v="1"/>
    <x v="3"/>
  </r>
  <r>
    <x v="0"/>
    <x v="2"/>
    <x v="0"/>
    <x v="0"/>
  </r>
  <r>
    <x v="0"/>
    <x v="2"/>
    <x v="1"/>
    <x v="0"/>
  </r>
  <r>
    <x v="1"/>
    <x v="0"/>
    <x v="0"/>
    <x v="4"/>
  </r>
  <r>
    <x v="1"/>
    <x v="0"/>
    <x v="1"/>
    <x v="0"/>
  </r>
  <r>
    <x v="1"/>
    <x v="1"/>
    <x v="0"/>
    <x v="5"/>
  </r>
  <r>
    <x v="1"/>
    <x v="1"/>
    <x v="1"/>
    <x v="3"/>
  </r>
  <r>
    <x v="1"/>
    <x v="2"/>
    <x v="0"/>
    <x v="0"/>
  </r>
  <r>
    <x v="1"/>
    <x v="2"/>
    <x v="1"/>
    <x v="6"/>
  </r>
  <r>
    <x v="2"/>
    <x v="0"/>
    <x v="0"/>
    <x v="0"/>
  </r>
  <r>
    <x v="2"/>
    <x v="0"/>
    <x v="1"/>
    <x v="7"/>
  </r>
  <r>
    <x v="2"/>
    <x v="1"/>
    <x v="0"/>
    <x v="8"/>
  </r>
  <r>
    <x v="2"/>
    <x v="1"/>
    <x v="1"/>
    <x v="9"/>
  </r>
  <r>
    <x v="2"/>
    <x v="2"/>
    <x v="0"/>
    <x v="10"/>
  </r>
  <r>
    <x v="2"/>
    <x v="2"/>
    <x v="1"/>
    <x v="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4">
  <r>
    <x v="0"/>
    <x v="0"/>
    <x v="0"/>
    <x v="0"/>
    <x v="0"/>
  </r>
  <r>
    <x v="0"/>
    <x v="0"/>
    <x v="0"/>
    <x v="1"/>
    <x v="1"/>
  </r>
  <r>
    <x v="0"/>
    <x v="0"/>
    <x v="1"/>
    <x v="0"/>
    <x v="0"/>
  </r>
  <r>
    <x v="0"/>
    <x v="0"/>
    <x v="1"/>
    <x v="1"/>
    <x v="0"/>
  </r>
  <r>
    <x v="0"/>
    <x v="0"/>
    <x v="2"/>
    <x v="0"/>
    <x v="0"/>
  </r>
  <r>
    <x v="0"/>
    <x v="0"/>
    <x v="2"/>
    <x v="1"/>
    <x v="0"/>
  </r>
  <r>
    <x v="0"/>
    <x v="1"/>
    <x v="0"/>
    <x v="0"/>
    <x v="2"/>
  </r>
  <r>
    <x v="0"/>
    <x v="1"/>
    <x v="0"/>
    <x v="1"/>
    <x v="0"/>
  </r>
  <r>
    <x v="0"/>
    <x v="1"/>
    <x v="1"/>
    <x v="0"/>
    <x v="2"/>
  </r>
  <r>
    <x v="0"/>
    <x v="1"/>
    <x v="1"/>
    <x v="1"/>
    <x v="3"/>
  </r>
  <r>
    <x v="0"/>
    <x v="1"/>
    <x v="2"/>
    <x v="0"/>
    <x v="2"/>
  </r>
  <r>
    <x v="0"/>
    <x v="1"/>
    <x v="2"/>
    <x v="1"/>
    <x v="3"/>
  </r>
  <r>
    <x v="0"/>
    <x v="2"/>
    <x v="0"/>
    <x v="0"/>
    <x v="0"/>
  </r>
  <r>
    <x v="0"/>
    <x v="2"/>
    <x v="0"/>
    <x v="1"/>
    <x v="0"/>
  </r>
  <r>
    <x v="0"/>
    <x v="2"/>
    <x v="1"/>
    <x v="0"/>
    <x v="0"/>
  </r>
  <r>
    <x v="0"/>
    <x v="2"/>
    <x v="1"/>
    <x v="1"/>
    <x v="0"/>
  </r>
  <r>
    <x v="0"/>
    <x v="2"/>
    <x v="2"/>
    <x v="0"/>
    <x v="0"/>
  </r>
  <r>
    <x v="0"/>
    <x v="2"/>
    <x v="2"/>
    <x v="1"/>
    <x v="0"/>
  </r>
  <r>
    <x v="1"/>
    <x v="0"/>
    <x v="0"/>
    <x v="0"/>
    <x v="0"/>
  </r>
  <r>
    <x v="1"/>
    <x v="0"/>
    <x v="0"/>
    <x v="1"/>
    <x v="0"/>
  </r>
  <r>
    <x v="1"/>
    <x v="0"/>
    <x v="1"/>
    <x v="0"/>
    <x v="0"/>
  </r>
  <r>
    <x v="1"/>
    <x v="0"/>
    <x v="1"/>
    <x v="1"/>
    <x v="0"/>
  </r>
  <r>
    <x v="1"/>
    <x v="0"/>
    <x v="2"/>
    <x v="0"/>
    <x v="3"/>
  </r>
  <r>
    <x v="1"/>
    <x v="0"/>
    <x v="2"/>
    <x v="1"/>
    <x v="0"/>
  </r>
  <r>
    <x v="1"/>
    <x v="1"/>
    <x v="0"/>
    <x v="0"/>
    <x v="2"/>
  </r>
  <r>
    <x v="1"/>
    <x v="1"/>
    <x v="0"/>
    <x v="1"/>
    <x v="3"/>
  </r>
  <r>
    <x v="1"/>
    <x v="1"/>
    <x v="1"/>
    <x v="0"/>
    <x v="4"/>
  </r>
  <r>
    <x v="1"/>
    <x v="1"/>
    <x v="1"/>
    <x v="1"/>
    <x v="3"/>
  </r>
  <r>
    <x v="1"/>
    <x v="1"/>
    <x v="2"/>
    <x v="0"/>
    <x v="0"/>
  </r>
  <r>
    <x v="1"/>
    <x v="1"/>
    <x v="2"/>
    <x v="1"/>
    <x v="0"/>
  </r>
  <r>
    <x v="1"/>
    <x v="2"/>
    <x v="0"/>
    <x v="0"/>
    <x v="0"/>
  </r>
  <r>
    <x v="1"/>
    <x v="2"/>
    <x v="0"/>
    <x v="1"/>
    <x v="0"/>
  </r>
  <r>
    <x v="1"/>
    <x v="2"/>
    <x v="1"/>
    <x v="0"/>
    <x v="0"/>
  </r>
  <r>
    <x v="1"/>
    <x v="2"/>
    <x v="1"/>
    <x v="1"/>
    <x v="0"/>
  </r>
  <r>
    <x v="1"/>
    <x v="2"/>
    <x v="2"/>
    <x v="0"/>
    <x v="0"/>
  </r>
  <r>
    <x v="1"/>
    <x v="2"/>
    <x v="2"/>
    <x v="1"/>
    <x v="5"/>
  </r>
  <r>
    <x v="2"/>
    <x v="0"/>
    <x v="0"/>
    <x v="0"/>
    <x v="0"/>
  </r>
  <r>
    <x v="2"/>
    <x v="0"/>
    <x v="0"/>
    <x v="1"/>
    <x v="0"/>
  </r>
  <r>
    <x v="2"/>
    <x v="0"/>
    <x v="1"/>
    <x v="0"/>
    <x v="0"/>
  </r>
  <r>
    <x v="2"/>
    <x v="0"/>
    <x v="1"/>
    <x v="1"/>
    <x v="0"/>
  </r>
  <r>
    <x v="2"/>
    <x v="0"/>
    <x v="2"/>
    <x v="0"/>
    <x v="0"/>
  </r>
  <r>
    <x v="2"/>
    <x v="0"/>
    <x v="2"/>
    <x v="1"/>
    <x v="0"/>
  </r>
  <r>
    <x v="2"/>
    <x v="1"/>
    <x v="0"/>
    <x v="0"/>
    <x v="0"/>
  </r>
  <r>
    <x v="2"/>
    <x v="1"/>
    <x v="0"/>
    <x v="1"/>
    <x v="0"/>
  </r>
  <r>
    <x v="2"/>
    <x v="1"/>
    <x v="1"/>
    <x v="0"/>
    <x v="6"/>
  </r>
  <r>
    <x v="2"/>
    <x v="1"/>
    <x v="1"/>
    <x v="1"/>
    <x v="0"/>
  </r>
  <r>
    <x v="2"/>
    <x v="1"/>
    <x v="2"/>
    <x v="0"/>
    <x v="7"/>
  </r>
  <r>
    <x v="2"/>
    <x v="1"/>
    <x v="2"/>
    <x v="1"/>
    <x v="8"/>
  </r>
  <r>
    <x v="2"/>
    <x v="2"/>
    <x v="0"/>
    <x v="0"/>
    <x v="9"/>
  </r>
  <r>
    <x v="2"/>
    <x v="2"/>
    <x v="0"/>
    <x v="1"/>
    <x v="10"/>
  </r>
  <r>
    <x v="2"/>
    <x v="2"/>
    <x v="1"/>
    <x v="0"/>
    <x v="11"/>
  </r>
  <r>
    <x v="2"/>
    <x v="2"/>
    <x v="1"/>
    <x v="1"/>
    <x v="12"/>
  </r>
  <r>
    <x v="2"/>
    <x v="2"/>
    <x v="2"/>
    <x v="0"/>
    <x v="0"/>
  </r>
  <r>
    <x v="2"/>
    <x v="2"/>
    <x v="2"/>
    <x v="1"/>
    <x v="1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7">
  <r>
    <x v="0"/>
    <x v="0"/>
    <x v="0"/>
    <x v="0"/>
  </r>
  <r>
    <x v="0"/>
    <x v="0"/>
    <x v="1"/>
    <x v="1"/>
  </r>
  <r>
    <x v="0"/>
    <x v="0"/>
    <x v="2"/>
    <x v="1"/>
  </r>
  <r>
    <x v="0"/>
    <x v="1"/>
    <x v="0"/>
    <x v="2"/>
  </r>
  <r>
    <x v="0"/>
    <x v="1"/>
    <x v="1"/>
    <x v="3"/>
  </r>
  <r>
    <x v="0"/>
    <x v="1"/>
    <x v="2"/>
    <x v="3"/>
  </r>
  <r>
    <x v="0"/>
    <x v="2"/>
    <x v="0"/>
    <x v="1"/>
  </r>
  <r>
    <x v="0"/>
    <x v="2"/>
    <x v="1"/>
    <x v="1"/>
  </r>
  <r>
    <x v="0"/>
    <x v="2"/>
    <x v="2"/>
    <x v="1"/>
  </r>
  <r>
    <x v="1"/>
    <x v="0"/>
    <x v="0"/>
    <x v="1"/>
  </r>
  <r>
    <x v="1"/>
    <x v="0"/>
    <x v="1"/>
    <x v="1"/>
  </r>
  <r>
    <x v="1"/>
    <x v="0"/>
    <x v="2"/>
    <x v="4"/>
  </r>
  <r>
    <x v="1"/>
    <x v="1"/>
    <x v="0"/>
    <x v="3"/>
  </r>
  <r>
    <x v="1"/>
    <x v="1"/>
    <x v="1"/>
    <x v="5"/>
  </r>
  <r>
    <x v="1"/>
    <x v="1"/>
    <x v="2"/>
    <x v="1"/>
  </r>
  <r>
    <x v="1"/>
    <x v="2"/>
    <x v="0"/>
    <x v="1"/>
  </r>
  <r>
    <x v="1"/>
    <x v="2"/>
    <x v="1"/>
    <x v="1"/>
  </r>
  <r>
    <x v="1"/>
    <x v="2"/>
    <x v="2"/>
    <x v="6"/>
  </r>
  <r>
    <x v="2"/>
    <x v="0"/>
    <x v="0"/>
    <x v="1"/>
  </r>
  <r>
    <x v="2"/>
    <x v="0"/>
    <x v="1"/>
    <x v="1"/>
  </r>
  <r>
    <x v="2"/>
    <x v="0"/>
    <x v="2"/>
    <x v="1"/>
  </r>
  <r>
    <x v="2"/>
    <x v="1"/>
    <x v="0"/>
    <x v="1"/>
  </r>
  <r>
    <x v="2"/>
    <x v="1"/>
    <x v="1"/>
    <x v="7"/>
  </r>
  <r>
    <x v="2"/>
    <x v="1"/>
    <x v="2"/>
    <x v="8"/>
  </r>
  <r>
    <x v="2"/>
    <x v="2"/>
    <x v="0"/>
    <x v="9"/>
  </r>
  <r>
    <x v="2"/>
    <x v="2"/>
    <x v="1"/>
    <x v="10"/>
  </r>
  <r>
    <x v="2"/>
    <x v="2"/>
    <x v="2"/>
    <x v="1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8">
  <r>
    <x v="0"/>
    <x v="0"/>
    <x v="0"/>
    <x v="0"/>
  </r>
  <r>
    <x v="0"/>
    <x v="0"/>
    <x v="1"/>
    <x v="0"/>
  </r>
  <r>
    <x v="0"/>
    <x v="1"/>
    <x v="0"/>
    <x v="0"/>
  </r>
  <r>
    <x v="0"/>
    <x v="1"/>
    <x v="1"/>
    <x v="0"/>
  </r>
  <r>
    <x v="0"/>
    <x v="2"/>
    <x v="0"/>
    <x v="0"/>
  </r>
  <r>
    <x v="0"/>
    <x v="2"/>
    <x v="1"/>
    <x v="0"/>
  </r>
  <r>
    <x v="1"/>
    <x v="0"/>
    <x v="0"/>
    <x v="1"/>
  </r>
  <r>
    <x v="1"/>
    <x v="0"/>
    <x v="1"/>
    <x v="1"/>
  </r>
  <r>
    <x v="1"/>
    <x v="1"/>
    <x v="0"/>
    <x v="2"/>
  </r>
  <r>
    <x v="1"/>
    <x v="1"/>
    <x v="1"/>
    <x v="3"/>
  </r>
  <r>
    <x v="1"/>
    <x v="2"/>
    <x v="0"/>
    <x v="0"/>
  </r>
  <r>
    <x v="1"/>
    <x v="2"/>
    <x v="1"/>
    <x v="0"/>
  </r>
  <r>
    <x v="2"/>
    <x v="0"/>
    <x v="0"/>
    <x v="0"/>
  </r>
  <r>
    <x v="2"/>
    <x v="0"/>
    <x v="1"/>
    <x v="4"/>
  </r>
  <r>
    <x v="2"/>
    <x v="1"/>
    <x v="0"/>
    <x v="0"/>
  </r>
  <r>
    <x v="2"/>
    <x v="1"/>
    <x v="1"/>
    <x v="5"/>
  </r>
  <r>
    <x v="2"/>
    <x v="2"/>
    <x v="0"/>
    <x v="6"/>
  </r>
  <r>
    <x v="2"/>
    <x v="2"/>
    <x v="1"/>
    <x v="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8">
  <r>
    <x v="0"/>
    <x v="0"/>
    <x v="0"/>
    <x v="0"/>
  </r>
  <r>
    <x v="0"/>
    <x v="0"/>
    <x v="1"/>
    <x v="1"/>
  </r>
  <r>
    <x v="0"/>
    <x v="1"/>
    <x v="0"/>
    <x v="2"/>
  </r>
  <r>
    <x v="0"/>
    <x v="1"/>
    <x v="1"/>
    <x v="3"/>
  </r>
  <r>
    <x v="0"/>
    <x v="2"/>
    <x v="0"/>
    <x v="0"/>
  </r>
  <r>
    <x v="0"/>
    <x v="2"/>
    <x v="1"/>
    <x v="0"/>
  </r>
  <r>
    <x v="1"/>
    <x v="0"/>
    <x v="0"/>
    <x v="4"/>
  </r>
  <r>
    <x v="1"/>
    <x v="0"/>
    <x v="1"/>
    <x v="0"/>
  </r>
  <r>
    <x v="1"/>
    <x v="1"/>
    <x v="0"/>
    <x v="5"/>
  </r>
  <r>
    <x v="1"/>
    <x v="1"/>
    <x v="1"/>
    <x v="3"/>
  </r>
  <r>
    <x v="1"/>
    <x v="2"/>
    <x v="0"/>
    <x v="0"/>
  </r>
  <r>
    <x v="1"/>
    <x v="2"/>
    <x v="1"/>
    <x v="6"/>
  </r>
  <r>
    <x v="2"/>
    <x v="0"/>
    <x v="0"/>
    <x v="0"/>
  </r>
  <r>
    <x v="2"/>
    <x v="0"/>
    <x v="1"/>
    <x v="7"/>
  </r>
  <r>
    <x v="2"/>
    <x v="1"/>
    <x v="0"/>
    <x v="8"/>
  </r>
  <r>
    <x v="2"/>
    <x v="1"/>
    <x v="1"/>
    <x v="9"/>
  </r>
  <r>
    <x v="2"/>
    <x v="2"/>
    <x v="0"/>
    <x v="10"/>
  </r>
  <r>
    <x v="2"/>
    <x v="2"/>
    <x v="1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able3" cacheId="0" autoFormatId="4107" applyNumberFormats="1" applyBorderFormats="1" applyFontFormats="1" applyPatternFormats="1" applyAlignmentFormats="1" applyWidthHeightFormats="1" dataCaption="Data" updatedVersion="1" asteriskTotals="1" showMemberPropertyTips="0" useAutoFormatting="1" createdVersion="1" indent="0" compact="0" compactData="0" gridDropZones="1" chartFormat="1">
  <location ref="B4:F21" firstHeaderRow="1" firstDataRow="2" firstDataCol="2"/>
  <pivotFields count="4">
    <pivotField axis="axisRow" compact="0" outline="0" subtotalTop="0" showAll="0" insertBlankRow="1" includeNewItemsInFilter="1">
      <items count="4">
        <item x="0"/>
        <item x="1"/>
        <item x="2"/>
        <item t="default"/>
      </items>
    </pivotField>
    <pivotField axis="axisRow" compact="0" outline="0" subtotalTop="0" showAll="0" includeNewItemsInFilter="1">
      <items count="4">
        <item x="0"/>
        <item x="1"/>
        <item x="2"/>
        <item t="default"/>
      </items>
    </pivotField>
    <pivotField axis="axisCol" compact="0" outline="0" subtotalTop="0" showAll="0" includeNewItemsInFilter="1">
      <items count="3">
        <item x="0"/>
        <item x="1"/>
        <item t="default"/>
      </items>
    </pivotField>
    <pivotField dataField="1" compact="0" numFmtId="2" outline="0" subtotalTop="0" showAll="0" includeNewItemsInFilter="1">
      <items count="13">
        <item x="0"/>
        <item x="7"/>
        <item x="4"/>
        <item x="1"/>
        <item x="9"/>
        <item x="6"/>
        <item x="5"/>
        <item x="8"/>
        <item x="2"/>
        <item x="3"/>
        <item x="10"/>
        <item x="11"/>
        <item t="default"/>
      </items>
    </pivotField>
  </pivotFields>
  <rowFields count="2">
    <field x="0"/>
    <field x="1"/>
  </rowFields>
  <rowItems count="16">
    <i>
      <x/>
      <x/>
    </i>
    <i r="1">
      <x v="1"/>
    </i>
    <i r="1">
      <x v="2"/>
    </i>
    <i t="default">
      <x/>
    </i>
    <i t="blank">
      <x/>
    </i>
    <i>
      <x v="1"/>
      <x/>
    </i>
    <i r="1">
      <x v="1"/>
    </i>
    <i r="1">
      <x v="2"/>
    </i>
    <i t="default">
      <x v="1"/>
    </i>
    <i t="blank">
      <x v="1"/>
    </i>
    <i>
      <x v="2"/>
      <x/>
    </i>
    <i r="1">
      <x v="1"/>
    </i>
    <i r="1">
      <x v="2"/>
    </i>
    <i t="default">
      <x v="2"/>
    </i>
    <i t="blank">
      <x v="2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Number to Produce" fld="3" baseField="0" baseItem="0" numFmtId="2"/>
  </dataFields>
  <formats count="13">
    <format dxfId="110">
      <pivotArea outline="0" fieldPosition="0"/>
    </format>
    <format dxfId="109">
      <pivotArea dataOnly="0" labelOnly="1" outline="0" fieldPosition="0">
        <references count="1">
          <reference field="2" count="0"/>
        </references>
      </pivotArea>
    </format>
    <format dxfId="108">
      <pivotArea dataOnly="0" labelOnly="1" grandCol="1" outline="0" fieldPosition="0"/>
    </format>
    <format dxfId="107">
      <pivotArea dataOnly="0" labelOnly="1" outline="0" fieldPosition="0">
        <references count="1">
          <reference field="2" count="0"/>
        </references>
      </pivotArea>
    </format>
    <format dxfId="106">
      <pivotArea outline="0" fieldPosition="0">
        <references count="1">
          <reference field="0" count="1" selected="0">
            <x v="0"/>
          </reference>
        </references>
      </pivotArea>
    </format>
    <format dxfId="105">
      <pivotArea outline="0" fieldPosition="0">
        <references count="1">
          <reference field="0" count="1" selected="0">
            <x v="1"/>
          </reference>
        </references>
      </pivotArea>
    </format>
    <format dxfId="104">
      <pivotArea outline="0" fieldPosition="0">
        <references count="1">
          <reference field="0" count="1" selected="0">
            <x v="2"/>
          </reference>
        </references>
      </pivotArea>
    </format>
    <format dxfId="103">
      <pivotArea dataOnly="0" labelOnly="1" outline="0" fieldPosition="0">
        <references count="2">
          <reference field="0" count="1" selected="0">
            <x v="0"/>
          </reference>
          <reference field="1" count="0"/>
        </references>
      </pivotArea>
    </format>
    <format dxfId="102">
      <pivotArea dataOnly="0" labelOnly="1" outline="0" fieldPosition="0">
        <references count="2">
          <reference field="0" count="1" selected="0">
            <x v="0"/>
          </reference>
          <reference field="1" count="0"/>
        </references>
      </pivotArea>
    </format>
    <format dxfId="101">
      <pivotArea dataOnly="0" labelOnly="1" outline="0" fieldPosition="0">
        <references count="2">
          <reference field="0" count="1" selected="0">
            <x v="1"/>
          </reference>
          <reference field="1" count="0"/>
        </references>
      </pivotArea>
    </format>
    <format dxfId="100">
      <pivotArea dataOnly="0" labelOnly="1" outline="0" fieldPosition="0">
        <references count="2">
          <reference field="0" count="1" selected="0">
            <x v="1"/>
          </reference>
          <reference field="1" count="0"/>
        </references>
      </pivotArea>
    </format>
    <format dxfId="99">
      <pivotArea dataOnly="0" labelOnly="1" outline="0" fieldPosition="0">
        <references count="2">
          <reference field="0" count="1" selected="0">
            <x v="2"/>
          </reference>
          <reference field="1" count="0"/>
        </references>
      </pivotArea>
    </format>
    <format dxfId="98">
      <pivotArea dataOnly="0" labelOnly="1" outline="0" fieldPosition="0">
        <references count="2">
          <reference field="0" count="1" selected="0">
            <x v="2"/>
          </reference>
          <reference field="1" count="0"/>
        </references>
      </pivotArea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4" cacheId="1" autoFormatId="4107" applyNumberFormats="1" applyBorderFormats="1" applyFontFormats="1" applyPatternFormats="1" applyAlignmentFormats="1" applyWidthHeightFormats="1" dataCaption="Data" updatedVersion="1" showMemberPropertyTips="0" useAutoFormatting="1" itemPrintTitles="1" createdVersion="1" indent="0" compact="0" compactData="0" gridDropZones="1" chartFormat="1">
  <location ref="B4:G48" firstHeaderRow="1" firstDataRow="2" firstDataCol="3"/>
  <pivotFields count="5">
    <pivotField axis="axisRow" compact="0" outline="0" subtotalTop="0" showAll="0" insertBlankRow="1" includeNewItemsInFilter="1">
      <items count="4">
        <item x="0"/>
        <item x="1"/>
        <item x="2"/>
        <item t="default"/>
      </items>
    </pivotField>
    <pivotField axis="axisRow" compact="0" outline="0" subtotalTop="0" showAll="0" includeNewItemsInFilter="1">
      <items count="4">
        <item x="0"/>
        <item x="1"/>
        <item x="2"/>
        <item t="default"/>
      </items>
    </pivotField>
    <pivotField axis="axisRow" compact="0" outline="0" subtotalTop="0" showAll="0" includeNewItemsInFilter="1">
      <items count="4">
        <item x="0"/>
        <item x="1"/>
        <item x="2"/>
        <item t="default"/>
      </items>
    </pivotField>
    <pivotField axis="axisCol" compact="0" outline="0" subtotalTop="0" showAll="0" includeNewItemsInFilter="1">
      <items count="3">
        <item x="0"/>
        <item x="1"/>
        <item t="default"/>
      </items>
    </pivotField>
    <pivotField dataField="1" compact="0" numFmtId="2" outline="0" subtotalTop="0" showAll="0" includeNewItemsInFilter="1"/>
  </pivotFields>
  <rowFields count="3">
    <field x="0"/>
    <field x="1"/>
    <field x="2"/>
  </rowFields>
  <rowItems count="43">
    <i>
      <x/>
      <x/>
      <x/>
    </i>
    <i r="2">
      <x v="1"/>
    </i>
    <i r="2">
      <x v="2"/>
    </i>
    <i t="default" r="1">
      <x/>
    </i>
    <i r="1">
      <x v="1"/>
      <x/>
    </i>
    <i r="2">
      <x v="1"/>
    </i>
    <i r="2">
      <x v="2"/>
    </i>
    <i t="default" r="1">
      <x v="1"/>
    </i>
    <i r="1">
      <x v="2"/>
      <x/>
    </i>
    <i r="2">
      <x v="1"/>
    </i>
    <i r="2">
      <x v="2"/>
    </i>
    <i t="default" r="1">
      <x v="2"/>
    </i>
    <i t="default">
      <x/>
    </i>
    <i t="blank">
      <x/>
    </i>
    <i>
      <x v="1"/>
      <x/>
      <x/>
    </i>
    <i r="2">
      <x v="1"/>
    </i>
    <i r="2">
      <x v="2"/>
    </i>
    <i t="default" r="1">
      <x/>
    </i>
    <i r="1">
      <x v="1"/>
      <x/>
    </i>
    <i r="2">
      <x v="1"/>
    </i>
    <i r="2">
      <x v="2"/>
    </i>
    <i t="default" r="1">
      <x v="1"/>
    </i>
    <i r="1">
      <x v="2"/>
      <x/>
    </i>
    <i r="2">
      <x v="1"/>
    </i>
    <i r="2">
      <x v="2"/>
    </i>
    <i t="default" r="1">
      <x v="2"/>
    </i>
    <i t="default">
      <x v="1"/>
    </i>
    <i t="blank">
      <x v="1"/>
    </i>
    <i>
      <x v="2"/>
      <x/>
      <x/>
    </i>
    <i r="2">
      <x v="1"/>
    </i>
    <i r="2">
      <x v="2"/>
    </i>
    <i t="default" r="1">
      <x/>
    </i>
    <i r="1">
      <x v="1"/>
      <x/>
    </i>
    <i r="2">
      <x v="1"/>
    </i>
    <i r="2">
      <x v="2"/>
    </i>
    <i t="default" r="1">
      <x v="1"/>
    </i>
    <i r="1">
      <x v="2"/>
      <x/>
    </i>
    <i r="2">
      <x v="1"/>
    </i>
    <i r="2">
      <x v="2"/>
    </i>
    <i t="default" r="1">
      <x v="2"/>
    </i>
    <i t="default">
      <x v="2"/>
    </i>
    <i t="blank">
      <x v="2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Sum of Number to Ship" fld="4" baseField="0" baseItem="0" numFmtId="2"/>
  </dataFields>
  <formats count="59">
    <format dxfId="97">
      <pivotArea outline="0" fieldPosition="0">
        <references count="2">
          <reference field="0" count="1" selected="0">
            <x v="0"/>
          </reference>
          <reference field="1" count="1" selected="0">
            <x v="0"/>
          </reference>
        </references>
      </pivotArea>
    </format>
    <format dxfId="96">
      <pivotArea outline="0" fieldPosition="0">
        <references count="2">
          <reference field="0" count="1" selected="0">
            <x v="0"/>
          </reference>
          <reference field="1" count="1" selected="0">
            <x v="1"/>
          </reference>
        </references>
      </pivotArea>
    </format>
    <format dxfId="95">
      <pivotArea outline="0" fieldPosition="0">
        <references count="2">
          <reference field="0" count="1" selected="0">
            <x v="0"/>
          </reference>
          <reference field="1" count="1" selected="0">
            <x v="2"/>
          </reference>
        </references>
      </pivotArea>
    </format>
    <format dxfId="94">
      <pivotArea outline="0" fieldPosition="0">
        <references count="2">
          <reference field="0" count="1" selected="0">
            <x v="1"/>
          </reference>
          <reference field="1" count="1" selected="0">
            <x v="0"/>
          </reference>
        </references>
      </pivotArea>
    </format>
    <format dxfId="93">
      <pivotArea outline="0" fieldPosition="0">
        <references count="2">
          <reference field="0" count="1" selected="0">
            <x v="1"/>
          </reference>
          <reference field="1" count="1" selected="0">
            <x v="1"/>
          </reference>
        </references>
      </pivotArea>
    </format>
    <format dxfId="92">
      <pivotArea outline="0" fieldPosition="0">
        <references count="2">
          <reference field="0" count="1" selected="0">
            <x v="1"/>
          </reference>
          <reference field="1" count="1" selected="0">
            <x v="2"/>
          </reference>
        </references>
      </pivotArea>
    </format>
    <format dxfId="91">
      <pivotArea outline="0" fieldPosition="0">
        <references count="2">
          <reference field="0" count="1" selected="0">
            <x v="2"/>
          </reference>
          <reference field="1" count="1" selected="0">
            <x v="0"/>
          </reference>
        </references>
      </pivotArea>
    </format>
    <format dxfId="90">
      <pivotArea outline="0" fieldPosition="0">
        <references count="2">
          <reference field="0" count="1" selected="0">
            <x v="2"/>
          </reference>
          <reference field="1" count="1" selected="0">
            <x v="1"/>
          </reference>
        </references>
      </pivotArea>
    </format>
    <format dxfId="89">
      <pivotArea outline="0" fieldPosition="0">
        <references count="2">
          <reference field="0" count="1" selected="0">
            <x v="2"/>
          </reference>
          <reference field="1" count="1" selected="0">
            <x v="2"/>
          </reference>
        </references>
      </pivotArea>
    </format>
    <format dxfId="88">
      <pivotArea outline="0" fieldPosition="0"/>
    </format>
    <format dxfId="87">
      <pivotArea dataOnly="0" labelOnly="1" outline="0" fieldPosition="0">
        <references count="1">
          <reference field="0" count="0"/>
        </references>
      </pivotArea>
    </format>
    <format dxfId="86">
      <pivotArea dataOnly="0" labelOnly="1" outline="0" fieldPosition="0">
        <references count="1">
          <reference field="0" count="0" defaultSubtotal="1"/>
        </references>
      </pivotArea>
    </format>
    <format dxfId="85">
      <pivotArea dataOnly="0" labelOnly="1" grandRow="1" outline="0" fieldPosition="0"/>
    </format>
    <format dxfId="84">
      <pivotArea dataOnly="0" labelOnly="1" outline="0" fieldPosition="0">
        <references count="2">
          <reference field="0" count="1" selected="0">
            <x v="0"/>
          </reference>
          <reference field="1" count="0"/>
        </references>
      </pivotArea>
    </format>
    <format dxfId="83">
      <pivotArea dataOnly="0" labelOnly="1" outline="0" fieldPosition="0">
        <references count="2">
          <reference field="0" count="1" selected="0">
            <x v="0"/>
          </reference>
          <reference field="1" count="0" defaultSubtotal="1"/>
        </references>
      </pivotArea>
    </format>
    <format dxfId="82">
      <pivotArea dataOnly="0" labelOnly="1" outline="0" fieldPosition="0">
        <references count="2">
          <reference field="0" count="1" selected="0">
            <x v="1"/>
          </reference>
          <reference field="1" count="0"/>
        </references>
      </pivotArea>
    </format>
    <format dxfId="81">
      <pivotArea dataOnly="0" labelOnly="1" outline="0" fieldPosition="0">
        <references count="2">
          <reference field="0" count="1" selected="0">
            <x v="1"/>
          </reference>
          <reference field="1" count="0" defaultSubtotal="1"/>
        </references>
      </pivotArea>
    </format>
    <format dxfId="80">
      <pivotArea dataOnly="0" labelOnly="1" outline="0" fieldPosition="0">
        <references count="2">
          <reference field="0" count="1" selected="0">
            <x v="2"/>
          </reference>
          <reference field="1" count="0"/>
        </references>
      </pivotArea>
    </format>
    <format dxfId="79">
      <pivotArea dataOnly="0" labelOnly="1" outline="0" fieldPosition="0">
        <references count="2">
          <reference field="0" count="1" selected="0">
            <x v="2"/>
          </reference>
          <reference field="1" count="0" defaultSubtotal="1"/>
        </references>
      </pivotArea>
    </format>
    <format dxfId="7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2" count="0"/>
        </references>
      </pivotArea>
    </format>
    <format dxfId="7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2" count="0"/>
        </references>
      </pivotArea>
    </format>
    <format dxfId="7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"/>
          </reference>
          <reference field="2" count="0"/>
        </references>
      </pivotArea>
    </format>
    <format dxfId="75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0"/>
          </reference>
          <reference field="2" count="0"/>
        </references>
      </pivotArea>
    </format>
    <format dxfId="7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2" count="0"/>
        </references>
      </pivotArea>
    </format>
    <format dxfId="73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2" count="0"/>
        </references>
      </pivotArea>
    </format>
    <format dxfId="72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0"/>
          </reference>
          <reference field="2" count="0"/>
        </references>
      </pivotArea>
    </format>
    <format dxfId="71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2" count="0"/>
        </references>
      </pivotArea>
    </format>
    <format dxfId="70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2" count="0"/>
        </references>
      </pivotArea>
    </format>
    <format dxfId="69">
      <pivotArea outline="0" fieldPosition="0"/>
    </format>
    <format dxfId="68">
      <pivotArea dataOnly="0" labelOnly="1" outline="0" fieldPosition="0">
        <references count="1">
          <reference field="0" count="0"/>
        </references>
      </pivotArea>
    </format>
    <format dxfId="67">
      <pivotArea dataOnly="0" labelOnly="1" outline="0" fieldPosition="0">
        <references count="1">
          <reference field="0" count="0" defaultSubtotal="1"/>
        </references>
      </pivotArea>
    </format>
    <format dxfId="66">
      <pivotArea dataOnly="0" labelOnly="1" grandRow="1" outline="0" fieldPosition="0"/>
    </format>
    <format dxfId="65">
      <pivotArea dataOnly="0" labelOnly="1" outline="0" fieldPosition="0">
        <references count="2">
          <reference field="0" count="1" selected="0">
            <x v="0"/>
          </reference>
          <reference field="1" count="0"/>
        </references>
      </pivotArea>
    </format>
    <format dxfId="64">
      <pivotArea dataOnly="0" labelOnly="1" outline="0" fieldPosition="0">
        <references count="2">
          <reference field="0" count="1" selected="0">
            <x v="0"/>
          </reference>
          <reference field="1" count="0" defaultSubtotal="1"/>
        </references>
      </pivotArea>
    </format>
    <format dxfId="63">
      <pivotArea dataOnly="0" labelOnly="1" outline="0" fieldPosition="0">
        <references count="2">
          <reference field="0" count="1" selected="0">
            <x v="1"/>
          </reference>
          <reference field="1" count="0"/>
        </references>
      </pivotArea>
    </format>
    <format dxfId="62">
      <pivotArea dataOnly="0" labelOnly="1" outline="0" fieldPosition="0">
        <references count="2">
          <reference field="0" count="1" selected="0">
            <x v="1"/>
          </reference>
          <reference field="1" count="0" defaultSubtotal="1"/>
        </references>
      </pivotArea>
    </format>
    <format dxfId="61">
      <pivotArea dataOnly="0" labelOnly="1" outline="0" fieldPosition="0">
        <references count="2">
          <reference field="0" count="1" selected="0">
            <x v="2"/>
          </reference>
          <reference field="1" count="0"/>
        </references>
      </pivotArea>
    </format>
    <format dxfId="60">
      <pivotArea dataOnly="0" labelOnly="1" outline="0" fieldPosition="0">
        <references count="2">
          <reference field="0" count="1" selected="0">
            <x v="2"/>
          </reference>
          <reference field="1" count="0" defaultSubtotal="1"/>
        </references>
      </pivotArea>
    </format>
    <format dxfId="5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2" count="0"/>
        </references>
      </pivotArea>
    </format>
    <format dxfId="5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2" count="0"/>
        </references>
      </pivotArea>
    </format>
    <format dxfId="5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"/>
          </reference>
          <reference field="2" count="0"/>
        </references>
      </pivotArea>
    </format>
    <format dxfId="56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0"/>
          </reference>
          <reference field="2" count="0"/>
        </references>
      </pivotArea>
    </format>
    <format dxfId="55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2" count="0"/>
        </references>
      </pivotArea>
    </format>
    <format dxfId="5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2" count="0"/>
        </references>
      </pivotArea>
    </format>
    <format dxfId="53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0"/>
          </reference>
          <reference field="2" count="0"/>
        </references>
      </pivotArea>
    </format>
    <format dxfId="52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2" count="0"/>
        </references>
      </pivotArea>
    </format>
    <format dxfId="51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2" count="0"/>
        </references>
      </pivotArea>
    </format>
    <format dxfId="50">
      <pivotArea outline="0" fieldPosition="0">
        <references count="2">
          <reference field="0" count="1" selected="0">
            <x v="0"/>
          </reference>
          <reference field="1" count="1" selected="0">
            <x v="0"/>
          </reference>
        </references>
      </pivotArea>
    </format>
    <format dxfId="49">
      <pivotArea outline="0" fieldPosition="0">
        <references count="2">
          <reference field="0" count="1" selected="0">
            <x v="0"/>
          </reference>
          <reference field="1" count="1" selected="0">
            <x v="1"/>
          </reference>
        </references>
      </pivotArea>
    </format>
    <format dxfId="48">
      <pivotArea outline="0" fieldPosition="0">
        <references count="2">
          <reference field="0" count="1" selected="0">
            <x v="0"/>
          </reference>
          <reference field="1" count="1" selected="0">
            <x v="2"/>
          </reference>
        </references>
      </pivotArea>
    </format>
    <format dxfId="47">
      <pivotArea outline="0" fieldPosition="0">
        <references count="2">
          <reference field="0" count="1" selected="0">
            <x v="1"/>
          </reference>
          <reference field="1" count="1" selected="0">
            <x v="0"/>
          </reference>
        </references>
      </pivotArea>
    </format>
    <format dxfId="46">
      <pivotArea outline="0" fieldPosition="0">
        <references count="2">
          <reference field="0" count="1" selected="0">
            <x v="1"/>
          </reference>
          <reference field="1" count="1" selected="0">
            <x v="1"/>
          </reference>
        </references>
      </pivotArea>
    </format>
    <format dxfId="45">
      <pivotArea outline="0" fieldPosition="0">
        <references count="2">
          <reference field="0" count="1" selected="0">
            <x v="1"/>
          </reference>
          <reference field="1" count="1" selected="0">
            <x v="2"/>
          </reference>
        </references>
      </pivotArea>
    </format>
    <format dxfId="44">
      <pivotArea outline="0" fieldPosition="0">
        <references count="2">
          <reference field="0" count="1" selected="0">
            <x v="2"/>
          </reference>
          <reference field="1" count="1" selected="0">
            <x v="0"/>
          </reference>
        </references>
      </pivotArea>
    </format>
    <format dxfId="43">
      <pivotArea outline="0" fieldPosition="0">
        <references count="2">
          <reference field="0" count="1" selected="0">
            <x v="2"/>
          </reference>
          <reference field="1" count="1" selected="0">
            <x v="1"/>
          </reference>
        </references>
      </pivotArea>
    </format>
    <format dxfId="42">
      <pivotArea outline="0" fieldPosition="0">
        <references count="2">
          <reference field="0" count="1" selected="0">
            <x v="2"/>
          </reference>
          <reference field="1" count="1" selected="0">
            <x v="2"/>
          </reference>
        </references>
      </pivotArea>
    </format>
    <format dxfId="41">
      <pivotArea dataOnly="0" labelOnly="1" outline="0" fieldPosition="0">
        <references count="1">
          <reference field="3" count="0"/>
        </references>
      </pivotArea>
    </format>
    <format dxfId="40">
      <pivotArea dataOnly="0" labelOnly="1" grandCol="1" outline="0" fieldPosition="0"/>
    </format>
    <format dxfId="39">
      <pivotArea outline="0" fieldPosition="0"/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5" cacheId="2" autoFormatId="4107" applyNumberFormats="1" applyBorderFormats="1" applyFontFormats="1" applyPatternFormats="1" applyAlignmentFormats="1" applyWidthHeightFormats="1" dataCaption="Data" updatedVersion="1" showMemberPropertyTips="0" useAutoFormatting="1" itemPrintTitles="1" createdVersion="1" indent="0" compact="0" compactData="0" gridDropZones="1" chartFormat="1">
  <location ref="B4:G21" firstHeaderRow="1" firstDataRow="2" firstDataCol="2"/>
  <pivotFields count="4">
    <pivotField axis="axisRow" compact="0" outline="0" subtotalTop="0" showAll="0" insertBlankRow="1" includeNewItemsInFilter="1">
      <items count="4">
        <item x="0"/>
        <item x="1"/>
        <item x="2"/>
        <item t="default"/>
      </items>
    </pivotField>
    <pivotField axis="axisRow" compact="0" outline="0" subtotalTop="0" showAll="0" includeNewItemsInFilter="1">
      <items count="4">
        <item x="0"/>
        <item x="1"/>
        <item x="2"/>
        <item t="default"/>
      </items>
    </pivotField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dataField="1" compact="0" numFmtId="164" outline="0" subtotalTop="0" showAll="0" includeNewItemsInFilter="1"/>
  </pivotFields>
  <rowFields count="2">
    <field x="0"/>
    <field x="1"/>
  </rowFields>
  <rowItems count="16">
    <i>
      <x/>
      <x/>
    </i>
    <i r="1">
      <x v="1"/>
    </i>
    <i r="1">
      <x v="2"/>
    </i>
    <i t="default">
      <x/>
    </i>
    <i t="blank">
      <x/>
    </i>
    <i>
      <x v="1"/>
      <x/>
    </i>
    <i r="1">
      <x v="1"/>
    </i>
    <i r="1">
      <x v="2"/>
    </i>
    <i t="default">
      <x v="1"/>
    </i>
    <i t="blank">
      <x v="1"/>
    </i>
    <i>
      <x v="2"/>
      <x/>
    </i>
    <i r="1">
      <x v="1"/>
    </i>
    <i r="1">
      <x v="2"/>
    </i>
    <i t="default">
      <x v="2"/>
    </i>
    <i t="blank">
      <x v="2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Total Shipping Cost" fld="3" baseField="0" baseItem="0" numFmtId="164"/>
  </dataFields>
  <formats count="16">
    <format dxfId="38">
      <pivotArea outline="0" fieldPosition="0"/>
    </format>
    <format dxfId="37">
      <pivotArea outline="0" fieldPosition="0"/>
    </format>
    <format dxfId="36">
      <pivotArea dataOnly="0" labelOnly="1" outline="0" fieldPosition="0">
        <references count="1">
          <reference field="0" count="0"/>
        </references>
      </pivotArea>
    </format>
    <format dxfId="35">
      <pivotArea dataOnly="0" labelOnly="1" outline="0" fieldPosition="0">
        <references count="1">
          <reference field="0" count="0" defaultSubtotal="1"/>
        </references>
      </pivotArea>
    </format>
    <format dxfId="34">
      <pivotArea dataOnly="0" labelOnly="1" outline="0" fieldPosition="0">
        <references count="2">
          <reference field="0" count="1" selected="0">
            <x v="0"/>
          </reference>
          <reference field="1" count="0"/>
        </references>
      </pivotArea>
    </format>
    <format dxfId="33">
      <pivotArea dataOnly="0" labelOnly="1" outline="0" fieldPosition="0">
        <references count="2">
          <reference field="0" count="1" selected="0">
            <x v="1"/>
          </reference>
          <reference field="1" count="0"/>
        </references>
      </pivotArea>
    </format>
    <format dxfId="32">
      <pivotArea dataOnly="0" labelOnly="1" outline="0" fieldPosition="0">
        <references count="2">
          <reference field="0" count="1" selected="0">
            <x v="2"/>
          </reference>
          <reference field="1" count="0"/>
        </references>
      </pivotArea>
    </format>
    <format dxfId="31">
      <pivotArea dataOnly="0" labelOnly="1" outline="0" fieldPosition="0">
        <references count="1">
          <reference field="0" count="0"/>
        </references>
      </pivotArea>
    </format>
    <format dxfId="30">
      <pivotArea dataOnly="0" labelOnly="1" outline="0" fieldPosition="0">
        <references count="1">
          <reference field="0" count="0" defaultSubtotal="1"/>
        </references>
      </pivotArea>
    </format>
    <format dxfId="29">
      <pivotArea dataOnly="0" labelOnly="1" outline="0" fieldPosition="0">
        <references count="2">
          <reference field="0" count="1" selected="0">
            <x v="0"/>
          </reference>
          <reference field="1" count="0"/>
        </references>
      </pivotArea>
    </format>
    <format dxfId="28">
      <pivotArea dataOnly="0" labelOnly="1" outline="0" fieldPosition="0">
        <references count="2">
          <reference field="0" count="1" selected="0">
            <x v="1"/>
          </reference>
          <reference field="1" count="0"/>
        </references>
      </pivotArea>
    </format>
    <format dxfId="27">
      <pivotArea dataOnly="0" labelOnly="1" outline="0" fieldPosition="0">
        <references count="2">
          <reference field="0" count="1" selected="0">
            <x v="2"/>
          </reference>
          <reference field="1" count="0"/>
        </references>
      </pivotArea>
    </format>
    <format dxfId="26">
      <pivotArea dataOnly="0" labelOnly="1" outline="0" fieldPosition="0">
        <references count="1">
          <reference field="2" count="0"/>
        </references>
      </pivotArea>
    </format>
    <format dxfId="25">
      <pivotArea outline="0" fieldPosition="0">
        <references count="1">
          <reference field="0" count="1" selected="0">
            <x v="0"/>
          </reference>
        </references>
      </pivotArea>
    </format>
    <format dxfId="24">
      <pivotArea outline="0" fieldPosition="0">
        <references count="1">
          <reference field="0" count="1" selected="0">
            <x v="1"/>
          </reference>
        </references>
      </pivotArea>
    </format>
    <format dxfId="23">
      <pivotArea outline="0" fieldPosition="0">
        <references count="1">
          <reference field="0" count="1" selected="0">
            <x v="2"/>
          </reference>
        </references>
      </pivotArea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6" cacheId="3" autoFormatId="4107" applyNumberFormats="1" applyBorderFormats="1" applyFontFormats="1" applyPatternFormats="1" applyAlignmentFormats="1" applyWidthHeightFormats="1" dataCaption="Data" updatedVersion="1" showMemberPropertyTips="0" useAutoFormatting="1" itemPrintTitles="1" createdVersion="1" indent="0" compact="0" compactData="0" gridDropZones="1" chartFormat="1">
  <location ref="B4:F21" firstHeaderRow="1" firstDataRow="2" firstDataCol="2"/>
  <pivotFields count="4">
    <pivotField axis="axisRow" compact="0" outline="0" subtotalTop="0" showAll="0" insertBlankRow="1" includeNewItemsInFilter="1">
      <items count="4">
        <item x="0"/>
        <item x="1"/>
        <item x="2"/>
        <item t="default"/>
      </items>
    </pivotField>
    <pivotField axis="axisRow" compact="0" outline="0" subtotalTop="0" showAll="0" includeNewItemsInFilter="1">
      <items count="4">
        <item x="0"/>
        <item x="1"/>
        <item x="2"/>
        <item t="default"/>
      </items>
    </pivotField>
    <pivotField axis="axisCol" compact="0" outline="0" subtotalTop="0" showAll="0" includeNewItemsInFilter="1">
      <items count="3">
        <item x="0"/>
        <item x="1"/>
        <item t="default"/>
      </items>
    </pivotField>
    <pivotField dataField="1" compact="0" numFmtId="164" outline="0" subtotalTop="0" showAll="0" includeNewItemsInFilter="1"/>
  </pivotFields>
  <rowFields count="2">
    <field x="0"/>
    <field x="1"/>
  </rowFields>
  <rowItems count="16">
    <i>
      <x/>
      <x/>
    </i>
    <i r="1">
      <x v="1"/>
    </i>
    <i r="1">
      <x v="2"/>
    </i>
    <i t="default">
      <x/>
    </i>
    <i t="blank">
      <x/>
    </i>
    <i>
      <x v="1"/>
      <x/>
    </i>
    <i r="1">
      <x v="1"/>
    </i>
    <i r="1">
      <x v="2"/>
    </i>
    <i t="default">
      <x v="1"/>
    </i>
    <i t="blank">
      <x v="1"/>
    </i>
    <i>
      <x v="2"/>
      <x/>
    </i>
    <i r="1">
      <x v="1"/>
    </i>
    <i r="1">
      <x v="2"/>
    </i>
    <i t="default">
      <x v="2"/>
    </i>
    <i t="blank">
      <x v="2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Total Holding Cost" fld="3" baseField="0" baseItem="0" numFmtId="164"/>
  </dataFields>
  <formats count="5">
    <format dxfId="22">
      <pivotArea type="all" dataOnly="0" outline="0" fieldPosition="0"/>
    </format>
    <format dxfId="21">
      <pivotArea dataOnly="0" labelOnly="1" outline="0" fieldPosition="0">
        <references count="2">
          <reference field="0" count="1" selected="0">
            <x v="0"/>
          </reference>
          <reference field="1" count="0"/>
        </references>
      </pivotArea>
    </format>
    <format dxfId="20">
      <pivotArea dataOnly="0" labelOnly="1" outline="0" fieldPosition="0">
        <references count="2">
          <reference field="0" count="1" selected="0">
            <x v="1"/>
          </reference>
          <reference field="1" count="0"/>
        </references>
      </pivotArea>
    </format>
    <format dxfId="19">
      <pivotArea dataOnly="0" labelOnly="1" outline="0" fieldPosition="0">
        <references count="2">
          <reference field="0" count="1" selected="0">
            <x v="2"/>
          </reference>
          <reference field="1" count="0"/>
        </references>
      </pivotArea>
    </format>
    <format dxfId="18">
      <pivotArea outline="0" fieldPosition="0"/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7" cacheId="4" autoFormatId="4107" applyNumberFormats="1" applyBorderFormats="1" applyFontFormats="1" applyPatternFormats="1" applyAlignmentFormats="1" applyWidthHeightFormats="1" dataCaption="Data" updatedVersion="1" showMemberPropertyTips="0" useAutoFormatting="1" itemPrintTitles="1" createdVersion="1" indent="0" compact="0" compactData="0" gridDropZones="1" chartFormat="1">
  <location ref="B4:F21" firstHeaderRow="1" firstDataRow="2" firstDataCol="2"/>
  <pivotFields count="4">
    <pivotField axis="axisRow" compact="0" outline="0" subtotalTop="0" showAll="0" insertBlankRow="1" includeNewItemsInFilter="1">
      <items count="4">
        <item x="0"/>
        <item x="1"/>
        <item x="2"/>
        <item t="default"/>
      </items>
    </pivotField>
    <pivotField axis="axisRow" compact="0" outline="0" subtotalTop="0" showAll="0" includeNewItemsInFilter="1">
      <items count="4">
        <item x="0"/>
        <item x="1"/>
        <item x="2"/>
        <item t="default"/>
      </items>
    </pivotField>
    <pivotField axis="axisCol" compact="0" outline="0" subtotalTop="0" showAll="0" includeNewItemsInFilter="1">
      <items count="3">
        <item x="0"/>
        <item x="1"/>
        <item t="default"/>
      </items>
    </pivotField>
    <pivotField dataField="1" compact="0" numFmtId="164" outline="0" subtotalTop="0" showAll="0" includeNewItemsInFilter="1"/>
  </pivotFields>
  <rowFields count="2">
    <field x="0"/>
    <field x="1"/>
  </rowFields>
  <rowItems count="16">
    <i>
      <x/>
      <x/>
    </i>
    <i r="1">
      <x v="1"/>
    </i>
    <i r="1">
      <x v="2"/>
    </i>
    <i t="default">
      <x/>
    </i>
    <i t="blank">
      <x/>
    </i>
    <i>
      <x v="1"/>
      <x/>
    </i>
    <i r="1">
      <x v="1"/>
    </i>
    <i r="1">
      <x v="2"/>
    </i>
    <i t="default">
      <x v="1"/>
    </i>
    <i t="blank">
      <x v="1"/>
    </i>
    <i>
      <x v="2"/>
      <x/>
    </i>
    <i r="1">
      <x v="1"/>
    </i>
    <i r="1">
      <x v="2"/>
    </i>
    <i t="default">
      <x v="2"/>
    </i>
    <i t="blank">
      <x v="2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Total Production Cost" fld="3" baseField="0" baseItem="0" numFmtId="164"/>
  </dataFields>
  <formats count="18">
    <format dxfId="17">
      <pivotArea outline="0" fieldPosition="0"/>
    </format>
    <format dxfId="16">
      <pivotArea field="0" type="button" dataOnly="0" labelOnly="1" outline="0" axis="axisRow" fieldPosition="0"/>
    </format>
    <format dxfId="15">
      <pivotArea field="1" type="button" dataOnly="0" labelOnly="1" outline="0" axis="axisRow" fieldPosition="1"/>
    </format>
    <format dxfId="14">
      <pivotArea dataOnly="0" labelOnly="1" outline="0" fieldPosition="0">
        <references count="1">
          <reference field="0" count="0"/>
        </references>
      </pivotArea>
    </format>
    <format dxfId="13">
      <pivotArea dataOnly="0" labelOnly="1" outline="0" fieldPosition="0">
        <references count="1">
          <reference field="0" count="0" defaultSubtotal="1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2">
          <reference field="0" count="1" selected="0">
            <x v="0"/>
          </reference>
          <reference field="1" count="0"/>
        </references>
      </pivotArea>
    </format>
    <format dxfId="10">
      <pivotArea dataOnly="0" labelOnly="1" outline="0" fieldPosition="0">
        <references count="2">
          <reference field="0" count="1" selected="0">
            <x v="1"/>
          </reference>
          <reference field="1" count="0"/>
        </references>
      </pivotArea>
    </format>
    <format dxfId="9">
      <pivotArea dataOnly="0" labelOnly="1" outline="0" fieldPosition="0">
        <references count="2">
          <reference field="0" count="1" selected="0">
            <x v="2"/>
          </reference>
          <reference field="1" count="0"/>
        </references>
      </pivotArea>
    </format>
    <format dxfId="8">
      <pivotArea dataOnly="0" labelOnly="1" outline="0" fieldPosition="0">
        <references count="1">
          <reference field="2" count="0"/>
        </references>
      </pivotArea>
    </format>
    <format dxfId="7">
      <pivotArea dataOnly="0" labelOnly="1" grandCol="1" outline="0" fieldPosition="0"/>
    </format>
    <format dxfId="6">
      <pivotArea outline="0" fieldPosition="0"/>
    </format>
    <format dxfId="5">
      <pivotArea dataOnly="0" labelOnly="1" outline="0" fieldPosition="0">
        <references count="2">
          <reference field="0" count="1" selected="0">
            <x v="0"/>
          </reference>
          <reference field="1" count="0"/>
        </references>
      </pivotArea>
    </format>
    <format dxfId="4">
      <pivotArea dataOnly="0" labelOnly="1" outline="0" fieldPosition="0">
        <references count="2">
          <reference field="0" count="1" selected="0">
            <x v="1"/>
          </reference>
          <reference field="1" count="0"/>
        </references>
      </pivotArea>
    </format>
    <format dxfId="3">
      <pivotArea dataOnly="0" labelOnly="1" outline="0" fieldPosition="0">
        <references count="2">
          <reference field="0" count="1" selected="0">
            <x v="2"/>
          </reference>
          <reference field="1" count="0"/>
        </references>
      </pivotArea>
    </format>
    <format dxfId="2">
      <pivotArea outline="0" fieldPosition="0">
        <references count="1">
          <reference field="0" count="1" selected="0">
            <x v="0"/>
          </reference>
        </references>
      </pivotArea>
    </format>
    <format dxfId="1">
      <pivotArea outline="0" fieldPosition="0">
        <references count="1">
          <reference field="0" count="1" selected="0">
            <x v="1"/>
          </reference>
        </references>
      </pivotArea>
    </format>
    <format dxfId="0">
      <pivotArea outline="0" fieldPosition="0">
        <references count="1">
          <reference field="0" count="1" selected="0">
            <x v="2"/>
          </reference>
        </references>
      </pivotArea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22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25.xml"/><Relationship Id="rId1" Type="http://schemas.openxmlformats.org/officeDocument/2006/relationships/pivotTable" Target="../pivotTables/pivotTable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B5" sqref="B5"/>
    </sheetView>
  </sheetViews>
  <sheetFormatPr defaultColWidth="8.85546875" defaultRowHeight="12.75" x14ac:dyDescent="0.2"/>
  <cols>
    <col min="1" max="16384" width="8.85546875" style="1"/>
  </cols>
  <sheetData>
    <row r="1" spans="1:1" x14ac:dyDescent="0.2">
      <c r="A1" s="11" t="s">
        <v>96</v>
      </c>
    </row>
  </sheetData>
  <sheetProtection password="8C4D" sheet="1" objects="1" scenarios="1" selectLockedCells="1" selectUnlockedCells="1"/>
  <phoneticPr fontId="2" type="noConversion"/>
  <pageMargins left="0.75" right="0.75" top="1" bottom="1" header="0.5" footer="0.5"/>
  <pageSetup orientation="portrait" r:id="rId1"/>
  <headerFooter alignWithMargins="0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Q71"/>
  <sheetViews>
    <sheetView showGridLines="0" showRowColHeaders="0" workbookViewId="0">
      <selection activeCell="T45" sqref="T45"/>
    </sheetView>
  </sheetViews>
  <sheetFormatPr defaultColWidth="8.85546875" defaultRowHeight="12.75" x14ac:dyDescent="0.2"/>
  <cols>
    <col min="1" max="1" width="2.7109375" style="1" customWidth="1"/>
    <col min="2" max="16384" width="8.85546875" style="1"/>
  </cols>
  <sheetData>
    <row r="1" spans="1:12" x14ac:dyDescent="0.2">
      <c r="A1" s="11"/>
    </row>
    <row r="15" spans="1:12" x14ac:dyDescent="0.2">
      <c r="B15" s="168" t="s">
        <v>58</v>
      </c>
      <c r="C15" s="169"/>
      <c r="D15" s="169"/>
      <c r="E15" s="169"/>
      <c r="F15" s="169"/>
      <c r="G15" s="169"/>
      <c r="H15" s="169"/>
      <c r="I15" s="169"/>
      <c r="J15" s="169"/>
      <c r="K15" s="169"/>
      <c r="L15" s="170"/>
    </row>
    <row r="16" spans="1:12" x14ac:dyDescent="0.2">
      <c r="B16" s="171">
        <v>1</v>
      </c>
      <c r="C16" s="172" t="s">
        <v>65</v>
      </c>
      <c r="D16" s="172"/>
      <c r="E16" s="172"/>
      <c r="F16" s="172"/>
      <c r="G16" s="172"/>
      <c r="H16" s="172"/>
      <c r="I16" s="172"/>
      <c r="J16" s="172"/>
      <c r="K16" s="172"/>
      <c r="L16" s="173"/>
    </row>
    <row r="17" spans="2:17" x14ac:dyDescent="0.2">
      <c r="B17" s="174">
        <v>2</v>
      </c>
      <c r="C17" s="175" t="s">
        <v>66</v>
      </c>
      <c r="D17" s="175"/>
      <c r="E17" s="175"/>
      <c r="F17" s="175"/>
      <c r="G17" s="175"/>
      <c r="H17" s="175"/>
      <c r="I17" s="175"/>
      <c r="J17" s="175"/>
      <c r="K17" s="175"/>
      <c r="L17" s="176"/>
    </row>
    <row r="19" spans="2:17" x14ac:dyDescent="0.2">
      <c r="B19" s="177" t="s">
        <v>59</v>
      </c>
      <c r="C19" s="178"/>
      <c r="D19" s="178"/>
      <c r="E19" s="178"/>
      <c r="F19" s="178"/>
      <c r="G19" s="178"/>
      <c r="H19" s="178"/>
      <c r="I19" s="178"/>
      <c r="J19" s="178"/>
      <c r="K19" s="178"/>
      <c r="L19" s="178"/>
      <c r="M19" s="178"/>
      <c r="N19" s="178"/>
      <c r="O19" s="178"/>
      <c r="P19" s="178"/>
      <c r="Q19" s="179"/>
    </row>
    <row r="20" spans="2:17" x14ac:dyDescent="0.2">
      <c r="B20" s="180">
        <v>1</v>
      </c>
      <c r="C20" s="181" t="s">
        <v>67</v>
      </c>
      <c r="D20" s="182"/>
      <c r="E20" s="182"/>
      <c r="F20" s="182"/>
      <c r="G20" s="182"/>
      <c r="H20" s="182"/>
      <c r="I20" s="182"/>
      <c r="J20" s="182"/>
      <c r="K20" s="182"/>
      <c r="L20" s="182"/>
      <c r="M20" s="182"/>
      <c r="N20" s="182"/>
      <c r="O20" s="182"/>
      <c r="P20" s="182"/>
      <c r="Q20" s="183"/>
    </row>
    <row r="21" spans="2:17" x14ac:dyDescent="0.2">
      <c r="B21" s="180"/>
      <c r="C21" s="182" t="s">
        <v>70</v>
      </c>
      <c r="D21" s="182"/>
      <c r="E21" s="182"/>
      <c r="F21" s="182"/>
      <c r="G21" s="182"/>
      <c r="H21" s="182"/>
      <c r="I21" s="182"/>
      <c r="J21" s="182"/>
      <c r="K21" s="182"/>
      <c r="L21" s="182"/>
      <c r="M21" s="182"/>
      <c r="N21" s="182"/>
      <c r="O21" s="182"/>
      <c r="P21" s="182"/>
      <c r="Q21" s="183"/>
    </row>
    <row r="22" spans="2:17" x14ac:dyDescent="0.2">
      <c r="B22" s="180"/>
      <c r="C22" s="182" t="s">
        <v>71</v>
      </c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3"/>
    </row>
    <row r="23" spans="2:17" x14ac:dyDescent="0.2">
      <c r="B23" s="180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3"/>
    </row>
    <row r="24" spans="2:17" x14ac:dyDescent="0.2">
      <c r="B24" s="180"/>
      <c r="C24" s="182"/>
      <c r="D24" s="184" t="s">
        <v>68</v>
      </c>
      <c r="E24" s="184"/>
      <c r="F24" s="184" t="s">
        <v>60</v>
      </c>
      <c r="G24" s="182"/>
      <c r="H24" s="182"/>
      <c r="I24" s="182"/>
      <c r="J24" s="182"/>
      <c r="K24" s="182"/>
      <c r="L24" s="182"/>
      <c r="M24" s="182"/>
      <c r="N24" s="182"/>
      <c r="O24" s="182"/>
      <c r="P24" s="182"/>
      <c r="Q24" s="183"/>
    </row>
    <row r="25" spans="2:17" x14ac:dyDescent="0.2">
      <c r="B25" s="180"/>
      <c r="C25" s="182"/>
      <c r="D25" s="182"/>
      <c r="E25" s="182"/>
      <c r="F25" s="182"/>
      <c r="G25" s="182"/>
      <c r="H25" s="182"/>
      <c r="I25" s="182"/>
      <c r="J25" s="182"/>
      <c r="K25" s="182"/>
      <c r="L25" s="182"/>
      <c r="M25" s="182"/>
      <c r="N25" s="182"/>
      <c r="O25" s="182"/>
      <c r="P25" s="182"/>
      <c r="Q25" s="183"/>
    </row>
    <row r="26" spans="2:17" x14ac:dyDescent="0.2">
      <c r="B26" s="180">
        <v>2</v>
      </c>
      <c r="C26" s="181" t="s">
        <v>69</v>
      </c>
      <c r="D26" s="182"/>
      <c r="E26" s="182"/>
      <c r="F26" s="182"/>
      <c r="G26" s="182"/>
      <c r="H26" s="182"/>
      <c r="I26" s="182"/>
      <c r="J26" s="182"/>
      <c r="K26" s="182"/>
      <c r="L26" s="182"/>
      <c r="M26" s="182"/>
      <c r="N26" s="182"/>
      <c r="O26" s="182"/>
      <c r="P26" s="182"/>
      <c r="Q26" s="183"/>
    </row>
    <row r="27" spans="2:17" x14ac:dyDescent="0.2">
      <c r="B27" s="180"/>
      <c r="C27" s="182" t="s">
        <v>87</v>
      </c>
      <c r="D27" s="182"/>
      <c r="E27" s="182"/>
      <c r="F27" s="182"/>
      <c r="G27" s="182"/>
      <c r="H27" s="182"/>
      <c r="I27" s="182"/>
      <c r="J27" s="182"/>
      <c r="K27" s="182"/>
      <c r="L27" s="182"/>
      <c r="M27" s="182"/>
      <c r="N27" s="182"/>
      <c r="O27" s="182"/>
      <c r="P27" s="182"/>
      <c r="Q27" s="183"/>
    </row>
    <row r="28" spans="2:17" x14ac:dyDescent="0.2">
      <c r="B28" s="180"/>
      <c r="C28" s="182" t="s">
        <v>88</v>
      </c>
      <c r="D28" s="182"/>
      <c r="E28" s="182"/>
      <c r="F28" s="182"/>
      <c r="G28" s="182"/>
      <c r="H28" s="182"/>
      <c r="I28" s="182"/>
      <c r="J28" s="182"/>
      <c r="K28" s="182"/>
      <c r="L28" s="182"/>
      <c r="M28" s="182"/>
      <c r="N28" s="182"/>
      <c r="O28" s="182"/>
      <c r="P28" s="182"/>
      <c r="Q28" s="183"/>
    </row>
    <row r="29" spans="2:17" x14ac:dyDescent="0.2">
      <c r="B29" s="180"/>
      <c r="C29" s="182"/>
      <c r="D29" s="182"/>
      <c r="E29" s="182"/>
      <c r="F29" s="182"/>
      <c r="G29" s="182"/>
      <c r="H29" s="182"/>
      <c r="I29" s="182"/>
      <c r="J29" s="182"/>
      <c r="K29" s="182"/>
      <c r="L29" s="182"/>
      <c r="M29" s="182"/>
      <c r="N29" s="182"/>
      <c r="O29" s="182"/>
      <c r="P29" s="182"/>
      <c r="Q29" s="183"/>
    </row>
    <row r="30" spans="2:17" x14ac:dyDescent="0.2">
      <c r="B30" s="180"/>
      <c r="C30" s="182"/>
      <c r="D30" s="184" t="s">
        <v>74</v>
      </c>
      <c r="E30" s="184"/>
      <c r="F30" s="184" t="s">
        <v>61</v>
      </c>
      <c r="G30" s="182"/>
      <c r="H30" s="182"/>
      <c r="I30" s="182"/>
      <c r="J30" s="182"/>
      <c r="K30" s="182"/>
      <c r="L30" s="182"/>
      <c r="M30" s="182"/>
      <c r="N30" s="182"/>
      <c r="O30" s="182"/>
      <c r="P30" s="182"/>
      <c r="Q30" s="183"/>
    </row>
    <row r="31" spans="2:17" x14ac:dyDescent="0.2">
      <c r="B31" s="180"/>
      <c r="C31" s="182"/>
      <c r="D31" s="182"/>
      <c r="E31" s="182"/>
      <c r="F31" s="182"/>
      <c r="G31" s="182"/>
      <c r="H31" s="182"/>
      <c r="I31" s="182"/>
      <c r="J31" s="182"/>
      <c r="K31" s="182"/>
      <c r="L31" s="182"/>
      <c r="M31" s="182"/>
      <c r="N31" s="182"/>
      <c r="O31" s="182"/>
      <c r="P31" s="182"/>
      <c r="Q31" s="183"/>
    </row>
    <row r="32" spans="2:17" x14ac:dyDescent="0.2">
      <c r="B32" s="180">
        <v>3</v>
      </c>
      <c r="C32" s="181" t="s">
        <v>86</v>
      </c>
      <c r="D32" s="182"/>
      <c r="E32" s="182"/>
      <c r="F32" s="182"/>
      <c r="G32" s="182"/>
      <c r="H32" s="182"/>
      <c r="I32" s="182"/>
      <c r="J32" s="182"/>
      <c r="K32" s="182"/>
      <c r="L32" s="182"/>
      <c r="M32" s="182"/>
      <c r="N32" s="182"/>
      <c r="O32" s="182"/>
      <c r="P32" s="182"/>
      <c r="Q32" s="183"/>
    </row>
    <row r="33" spans="2:17" x14ac:dyDescent="0.2">
      <c r="B33" s="180"/>
      <c r="C33" s="182" t="s">
        <v>72</v>
      </c>
      <c r="D33" s="182"/>
      <c r="E33" s="182"/>
      <c r="F33" s="182"/>
      <c r="G33" s="182"/>
      <c r="H33" s="182"/>
      <c r="I33" s="182"/>
      <c r="J33" s="182"/>
      <c r="K33" s="182"/>
      <c r="L33" s="182"/>
      <c r="M33" s="182"/>
      <c r="N33" s="182"/>
      <c r="O33" s="182"/>
      <c r="P33" s="182"/>
      <c r="Q33" s="183"/>
    </row>
    <row r="34" spans="2:17" x14ac:dyDescent="0.2">
      <c r="B34" s="180"/>
      <c r="C34" s="182" t="s">
        <v>73</v>
      </c>
      <c r="D34" s="182"/>
      <c r="E34" s="182"/>
      <c r="F34" s="182"/>
      <c r="G34" s="182"/>
      <c r="H34" s="182"/>
      <c r="I34" s="182"/>
      <c r="J34" s="182"/>
      <c r="K34" s="182"/>
      <c r="L34" s="182"/>
      <c r="M34" s="182"/>
      <c r="N34" s="182"/>
      <c r="O34" s="182"/>
      <c r="P34" s="182"/>
      <c r="Q34" s="183"/>
    </row>
    <row r="35" spans="2:17" x14ac:dyDescent="0.2">
      <c r="B35" s="180"/>
      <c r="C35" s="182"/>
      <c r="D35" s="182"/>
      <c r="E35" s="182"/>
      <c r="F35" s="182"/>
      <c r="G35" s="182"/>
      <c r="H35" s="182"/>
      <c r="I35" s="182"/>
      <c r="J35" s="182"/>
      <c r="K35" s="182"/>
      <c r="L35" s="182"/>
      <c r="M35" s="182"/>
      <c r="N35" s="182"/>
      <c r="O35" s="182"/>
      <c r="P35" s="182"/>
      <c r="Q35" s="183"/>
    </row>
    <row r="36" spans="2:17" x14ac:dyDescent="0.2">
      <c r="B36" s="180"/>
      <c r="C36" s="182"/>
      <c r="D36" s="184" t="s">
        <v>75</v>
      </c>
      <c r="E36" s="184"/>
      <c r="F36" s="184"/>
      <c r="G36" s="182"/>
      <c r="H36" s="182"/>
      <c r="I36" s="182"/>
      <c r="J36" s="182"/>
      <c r="K36" s="182"/>
      <c r="L36" s="182"/>
      <c r="M36" s="182"/>
      <c r="N36" s="182"/>
      <c r="O36" s="182"/>
      <c r="P36" s="182"/>
      <c r="Q36" s="183"/>
    </row>
    <row r="37" spans="2:17" x14ac:dyDescent="0.2">
      <c r="B37" s="180"/>
      <c r="C37" s="182"/>
      <c r="D37" s="182"/>
      <c r="E37" s="182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Q37" s="183"/>
    </row>
    <row r="38" spans="2:17" x14ac:dyDescent="0.2">
      <c r="B38" s="180"/>
      <c r="C38" s="182"/>
      <c r="D38" s="184" t="s">
        <v>76</v>
      </c>
      <c r="E38" s="184"/>
      <c r="F38" s="184" t="s">
        <v>60</v>
      </c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Q38" s="183"/>
    </row>
    <row r="39" spans="2:17" x14ac:dyDescent="0.2">
      <c r="B39" s="180"/>
      <c r="C39" s="182"/>
      <c r="D39" s="182"/>
      <c r="E39" s="182"/>
      <c r="F39" s="182"/>
      <c r="G39" s="182"/>
      <c r="H39" s="182"/>
      <c r="I39" s="182"/>
      <c r="J39" s="182"/>
      <c r="K39" s="182"/>
      <c r="L39" s="182"/>
      <c r="M39" s="182"/>
      <c r="N39" s="182"/>
      <c r="O39" s="182"/>
      <c r="P39" s="182"/>
      <c r="Q39" s="183"/>
    </row>
    <row r="40" spans="2:17" x14ac:dyDescent="0.2">
      <c r="B40" s="180">
        <v>4</v>
      </c>
      <c r="C40" s="181" t="s">
        <v>77</v>
      </c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2"/>
      <c r="P40" s="182"/>
      <c r="Q40" s="183"/>
    </row>
    <row r="41" spans="2:17" x14ac:dyDescent="0.2">
      <c r="B41" s="180"/>
      <c r="C41" s="181" t="s">
        <v>85</v>
      </c>
      <c r="D41" s="182"/>
      <c r="E41" s="182"/>
      <c r="F41" s="182"/>
      <c r="G41" s="182"/>
      <c r="H41" s="182"/>
      <c r="I41" s="182"/>
      <c r="J41" s="182"/>
      <c r="K41" s="182"/>
      <c r="L41" s="182"/>
      <c r="M41" s="182"/>
      <c r="N41" s="182"/>
      <c r="O41" s="182"/>
      <c r="P41" s="182"/>
      <c r="Q41" s="183"/>
    </row>
    <row r="42" spans="2:17" x14ac:dyDescent="0.2">
      <c r="B42" s="180"/>
      <c r="C42" s="182" t="s">
        <v>78</v>
      </c>
      <c r="D42" s="182"/>
      <c r="E42" s="182"/>
      <c r="F42" s="182"/>
      <c r="G42" s="182"/>
      <c r="H42" s="182"/>
      <c r="I42" s="182"/>
      <c r="J42" s="182"/>
      <c r="K42" s="182"/>
      <c r="L42" s="182"/>
      <c r="M42" s="182"/>
      <c r="N42" s="182"/>
      <c r="O42" s="182"/>
      <c r="P42" s="182"/>
      <c r="Q42" s="183"/>
    </row>
    <row r="43" spans="2:17" x14ac:dyDescent="0.2">
      <c r="B43" s="180"/>
      <c r="C43" s="182"/>
      <c r="D43" s="182"/>
      <c r="E43" s="182"/>
      <c r="F43" s="182"/>
      <c r="G43" s="182"/>
      <c r="H43" s="182"/>
      <c r="I43" s="182"/>
      <c r="J43" s="182"/>
      <c r="K43" s="182"/>
      <c r="L43" s="182"/>
      <c r="M43" s="182"/>
      <c r="N43" s="182"/>
      <c r="O43" s="182"/>
      <c r="P43" s="182"/>
      <c r="Q43" s="183"/>
    </row>
    <row r="44" spans="2:17" x14ac:dyDescent="0.2">
      <c r="B44" s="180"/>
      <c r="C44" s="182"/>
      <c r="D44" s="184" t="s">
        <v>79</v>
      </c>
      <c r="E44" s="184"/>
      <c r="F44" s="182"/>
      <c r="G44" s="182"/>
      <c r="H44" s="182"/>
      <c r="I44" s="182"/>
      <c r="J44" s="182"/>
      <c r="K44" s="182"/>
      <c r="L44" s="182"/>
      <c r="M44" s="182"/>
      <c r="N44" s="182"/>
      <c r="O44" s="182"/>
      <c r="P44" s="182"/>
      <c r="Q44" s="183"/>
    </row>
    <row r="45" spans="2:17" x14ac:dyDescent="0.2">
      <c r="B45" s="180"/>
      <c r="C45" s="182"/>
      <c r="D45" s="182"/>
      <c r="E45" s="182"/>
      <c r="F45" s="182"/>
      <c r="G45" s="182"/>
      <c r="H45" s="182"/>
      <c r="I45" s="182"/>
      <c r="J45" s="182"/>
      <c r="K45" s="182"/>
      <c r="L45" s="182"/>
      <c r="M45" s="182"/>
      <c r="N45" s="182"/>
      <c r="O45" s="182"/>
      <c r="P45" s="182"/>
      <c r="Q45" s="183"/>
    </row>
    <row r="46" spans="2:17" x14ac:dyDescent="0.2">
      <c r="B46" s="180">
        <v>5</v>
      </c>
      <c r="C46" s="182" t="s">
        <v>62</v>
      </c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2"/>
      <c r="O46" s="182"/>
      <c r="P46" s="182"/>
      <c r="Q46" s="183"/>
    </row>
    <row r="47" spans="2:17" x14ac:dyDescent="0.2">
      <c r="B47" s="180"/>
      <c r="C47" s="182"/>
      <c r="D47" s="182"/>
      <c r="E47" s="182"/>
      <c r="F47" s="182"/>
      <c r="G47" s="182"/>
      <c r="H47" s="182"/>
      <c r="I47" s="182"/>
      <c r="J47" s="182"/>
      <c r="K47" s="182"/>
      <c r="L47" s="182"/>
      <c r="M47" s="182"/>
      <c r="N47" s="182"/>
      <c r="O47" s="182"/>
      <c r="P47" s="182"/>
      <c r="Q47" s="183"/>
    </row>
    <row r="48" spans="2:17" x14ac:dyDescent="0.2">
      <c r="B48" s="180"/>
      <c r="C48" s="182"/>
      <c r="D48" s="184" t="s">
        <v>80</v>
      </c>
      <c r="E48" s="184"/>
      <c r="F48" s="182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3"/>
    </row>
    <row r="49" spans="2:17" x14ac:dyDescent="0.2">
      <c r="B49" s="185"/>
      <c r="C49" s="186"/>
      <c r="D49" s="186"/>
      <c r="E49" s="186"/>
      <c r="F49" s="186"/>
      <c r="G49" s="186"/>
      <c r="H49" s="186"/>
      <c r="I49" s="186"/>
      <c r="J49" s="186"/>
      <c r="K49" s="186"/>
      <c r="L49" s="186"/>
      <c r="M49" s="186"/>
      <c r="N49" s="186"/>
      <c r="O49" s="186"/>
      <c r="P49" s="186"/>
      <c r="Q49" s="187"/>
    </row>
    <row r="51" spans="2:17" x14ac:dyDescent="0.2">
      <c r="B51" s="188" t="s">
        <v>63</v>
      </c>
      <c r="C51" s="189"/>
      <c r="D51" s="189"/>
      <c r="E51" s="189"/>
      <c r="F51" s="189"/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90"/>
    </row>
    <row r="52" spans="2:17" x14ac:dyDescent="0.2">
      <c r="B52" s="191">
        <v>1</v>
      </c>
      <c r="C52" s="192" t="s">
        <v>81</v>
      </c>
      <c r="D52" s="193"/>
      <c r="E52" s="193"/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4"/>
    </row>
    <row r="53" spans="2:17" x14ac:dyDescent="0.2">
      <c r="B53" s="191"/>
      <c r="C53" s="192" t="s">
        <v>84</v>
      </c>
      <c r="D53" s="193"/>
      <c r="E53" s="193"/>
      <c r="F53" s="193"/>
      <c r="G53" s="193"/>
      <c r="H53" s="193"/>
      <c r="I53" s="193"/>
      <c r="J53" s="193"/>
      <c r="K53" s="193"/>
      <c r="L53" s="193"/>
      <c r="M53" s="193"/>
      <c r="N53" s="193"/>
      <c r="O53" s="193"/>
      <c r="P53" s="193"/>
      <c r="Q53" s="194"/>
    </row>
    <row r="54" spans="2:17" x14ac:dyDescent="0.2">
      <c r="B54" s="191"/>
      <c r="C54" s="192" t="s">
        <v>82</v>
      </c>
      <c r="D54" s="193"/>
      <c r="E54" s="193"/>
      <c r="F54" s="193"/>
      <c r="G54" s="193"/>
      <c r="H54" s="193"/>
      <c r="I54" s="193"/>
      <c r="J54" s="193"/>
      <c r="K54" s="193"/>
      <c r="L54" s="193"/>
      <c r="M54" s="193"/>
      <c r="N54" s="193"/>
      <c r="O54" s="193"/>
      <c r="P54" s="193"/>
      <c r="Q54" s="194"/>
    </row>
    <row r="55" spans="2:17" x14ac:dyDescent="0.2">
      <c r="B55" s="191"/>
      <c r="C55" s="192"/>
      <c r="D55" s="193"/>
      <c r="E55" s="193"/>
      <c r="F55" s="193"/>
      <c r="G55" s="193"/>
      <c r="H55" s="193"/>
      <c r="I55" s="193"/>
      <c r="J55" s="193"/>
      <c r="K55" s="193"/>
      <c r="L55" s="193"/>
      <c r="M55" s="193"/>
      <c r="N55" s="193"/>
      <c r="O55" s="193"/>
      <c r="P55" s="193"/>
      <c r="Q55" s="194"/>
    </row>
    <row r="56" spans="2:17" x14ac:dyDescent="0.2">
      <c r="B56" s="191"/>
      <c r="C56" s="193"/>
      <c r="D56" s="195" t="s">
        <v>92</v>
      </c>
      <c r="E56" s="193"/>
      <c r="F56" s="193"/>
      <c r="G56" s="193"/>
      <c r="H56" s="193"/>
      <c r="I56" s="193"/>
      <c r="J56" s="193"/>
      <c r="K56" s="193"/>
      <c r="L56" s="193"/>
      <c r="M56" s="193"/>
      <c r="N56" s="193"/>
      <c r="O56" s="193"/>
      <c r="P56" s="193"/>
      <c r="Q56" s="194"/>
    </row>
    <row r="57" spans="2:17" x14ac:dyDescent="0.2">
      <c r="B57" s="191"/>
      <c r="C57" s="193"/>
      <c r="D57" s="193"/>
      <c r="E57" s="193"/>
      <c r="F57" s="193"/>
      <c r="G57" s="193"/>
      <c r="H57" s="193"/>
      <c r="I57" s="193"/>
      <c r="J57" s="193"/>
      <c r="K57" s="193"/>
      <c r="L57" s="193"/>
      <c r="M57" s="193"/>
      <c r="N57" s="193"/>
      <c r="O57" s="193"/>
      <c r="P57" s="193"/>
      <c r="Q57" s="194"/>
    </row>
    <row r="58" spans="2:17" x14ac:dyDescent="0.2">
      <c r="B58" s="191">
        <v>2</v>
      </c>
      <c r="C58" s="192" t="s">
        <v>89</v>
      </c>
      <c r="D58" s="193"/>
      <c r="E58" s="193"/>
      <c r="F58" s="193"/>
      <c r="G58" s="193"/>
      <c r="H58" s="193"/>
      <c r="I58" s="193"/>
      <c r="J58" s="193"/>
      <c r="K58" s="193"/>
      <c r="L58" s="193"/>
      <c r="M58" s="193"/>
      <c r="N58" s="193"/>
      <c r="O58" s="193"/>
      <c r="P58" s="193"/>
      <c r="Q58" s="194"/>
    </row>
    <row r="59" spans="2:17" x14ac:dyDescent="0.2">
      <c r="B59" s="191"/>
      <c r="C59" s="192" t="s">
        <v>83</v>
      </c>
      <c r="D59" s="193"/>
      <c r="E59" s="193"/>
      <c r="F59" s="193"/>
      <c r="G59" s="193"/>
      <c r="H59" s="193"/>
      <c r="I59" s="193"/>
      <c r="J59" s="193"/>
      <c r="K59" s="193"/>
      <c r="L59" s="193"/>
      <c r="M59" s="193"/>
      <c r="N59" s="193"/>
      <c r="O59" s="193"/>
      <c r="P59" s="193"/>
      <c r="Q59" s="194"/>
    </row>
    <row r="60" spans="2:17" x14ac:dyDescent="0.2">
      <c r="B60" s="191"/>
      <c r="C60" s="192"/>
      <c r="D60" s="193"/>
      <c r="E60" s="193"/>
      <c r="F60" s="193"/>
      <c r="G60" s="193"/>
      <c r="H60" s="193"/>
      <c r="I60" s="193"/>
      <c r="J60" s="193"/>
      <c r="K60" s="193"/>
      <c r="L60" s="193"/>
      <c r="M60" s="193"/>
      <c r="N60" s="193"/>
      <c r="O60" s="193"/>
      <c r="P60" s="193"/>
      <c r="Q60" s="194"/>
    </row>
    <row r="61" spans="2:17" x14ac:dyDescent="0.2">
      <c r="B61" s="191"/>
      <c r="C61" s="193"/>
      <c r="D61" s="195" t="s">
        <v>93</v>
      </c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O61" s="193"/>
      <c r="P61" s="193"/>
      <c r="Q61" s="194"/>
    </row>
    <row r="62" spans="2:17" x14ac:dyDescent="0.2">
      <c r="B62" s="191"/>
      <c r="C62" s="193"/>
      <c r="D62" s="193"/>
      <c r="E62" s="193"/>
      <c r="F62" s="193"/>
      <c r="G62" s="193"/>
      <c r="H62" s="193"/>
      <c r="I62" s="193"/>
      <c r="J62" s="193"/>
      <c r="K62" s="193"/>
      <c r="L62" s="193"/>
      <c r="M62" s="193"/>
      <c r="N62" s="193"/>
      <c r="O62" s="193"/>
      <c r="P62" s="193"/>
      <c r="Q62" s="194"/>
    </row>
    <row r="63" spans="2:17" x14ac:dyDescent="0.2">
      <c r="B63" s="191">
        <v>3</v>
      </c>
      <c r="C63" s="193" t="s">
        <v>90</v>
      </c>
      <c r="D63" s="193"/>
      <c r="E63" s="193"/>
      <c r="F63" s="193"/>
      <c r="G63" s="193"/>
      <c r="H63" s="193"/>
      <c r="I63" s="193"/>
      <c r="J63" s="193"/>
      <c r="K63" s="193"/>
      <c r="L63" s="193"/>
      <c r="M63" s="193"/>
      <c r="N63" s="193"/>
      <c r="O63" s="193"/>
      <c r="P63" s="193"/>
      <c r="Q63" s="194"/>
    </row>
    <row r="64" spans="2:17" x14ac:dyDescent="0.2">
      <c r="B64" s="191"/>
      <c r="C64" s="193" t="s">
        <v>91</v>
      </c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4"/>
    </row>
    <row r="65" spans="2:17" x14ac:dyDescent="0.2">
      <c r="B65" s="191"/>
      <c r="C65" s="193"/>
      <c r="D65" s="193"/>
      <c r="E65" s="193"/>
      <c r="F65" s="193"/>
      <c r="G65" s="193"/>
      <c r="H65" s="193"/>
      <c r="I65" s="193"/>
      <c r="J65" s="193"/>
      <c r="K65" s="193"/>
      <c r="L65" s="193"/>
      <c r="M65" s="193"/>
      <c r="N65" s="193"/>
      <c r="O65" s="193"/>
      <c r="P65" s="193"/>
      <c r="Q65" s="194"/>
    </row>
    <row r="66" spans="2:17" x14ac:dyDescent="0.2">
      <c r="B66" s="191"/>
      <c r="C66" s="193"/>
      <c r="D66" s="195" t="s">
        <v>94</v>
      </c>
      <c r="E66" s="193"/>
      <c r="F66" s="193"/>
      <c r="G66" s="193"/>
      <c r="H66" s="193"/>
      <c r="I66" s="193"/>
      <c r="J66" s="193"/>
      <c r="K66" s="193"/>
      <c r="L66" s="193"/>
      <c r="M66" s="193"/>
      <c r="N66" s="193"/>
      <c r="O66" s="193"/>
      <c r="P66" s="193"/>
      <c r="Q66" s="194"/>
    </row>
    <row r="67" spans="2:17" x14ac:dyDescent="0.2">
      <c r="B67" s="191"/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3"/>
      <c r="P67" s="193"/>
      <c r="Q67" s="194"/>
    </row>
    <row r="68" spans="2:17" x14ac:dyDescent="0.2">
      <c r="B68" s="191">
        <v>4</v>
      </c>
      <c r="C68" s="193" t="s">
        <v>64</v>
      </c>
      <c r="D68" s="193"/>
      <c r="E68" s="193"/>
      <c r="F68" s="193"/>
      <c r="G68" s="193"/>
      <c r="H68" s="193"/>
      <c r="I68" s="193"/>
      <c r="J68" s="193"/>
      <c r="K68" s="193"/>
      <c r="L68" s="193"/>
      <c r="M68" s="193"/>
      <c r="N68" s="193"/>
      <c r="O68" s="193"/>
      <c r="P68" s="193"/>
      <c r="Q68" s="194"/>
    </row>
    <row r="69" spans="2:17" x14ac:dyDescent="0.2">
      <c r="B69" s="191"/>
      <c r="C69" s="193"/>
      <c r="D69" s="193"/>
      <c r="E69" s="193"/>
      <c r="F69" s="193"/>
      <c r="G69" s="193"/>
      <c r="H69" s="193"/>
      <c r="I69" s="193"/>
      <c r="J69" s="193"/>
      <c r="K69" s="193"/>
      <c r="L69" s="193"/>
      <c r="M69" s="193"/>
      <c r="N69" s="193"/>
      <c r="O69" s="193"/>
      <c r="P69" s="193"/>
      <c r="Q69" s="194"/>
    </row>
    <row r="70" spans="2:17" x14ac:dyDescent="0.2">
      <c r="B70" s="191"/>
      <c r="C70" s="193"/>
      <c r="D70" s="195" t="s">
        <v>95</v>
      </c>
      <c r="E70" s="193"/>
      <c r="F70" s="193"/>
      <c r="G70" s="193"/>
      <c r="H70" s="193"/>
      <c r="I70" s="193"/>
      <c r="J70" s="193"/>
      <c r="K70" s="193"/>
      <c r="L70" s="193"/>
      <c r="M70" s="193"/>
      <c r="N70" s="193"/>
      <c r="O70" s="193"/>
      <c r="P70" s="193"/>
      <c r="Q70" s="194"/>
    </row>
    <row r="71" spans="2:17" x14ac:dyDescent="0.2">
      <c r="B71" s="196"/>
      <c r="C71" s="197"/>
      <c r="D71" s="197"/>
      <c r="E71" s="197"/>
      <c r="F71" s="197"/>
      <c r="G71" s="197"/>
      <c r="H71" s="197"/>
      <c r="I71" s="197"/>
      <c r="J71" s="197"/>
      <c r="K71" s="197"/>
      <c r="L71" s="197"/>
      <c r="M71" s="197"/>
      <c r="N71" s="197"/>
      <c r="O71" s="197"/>
      <c r="P71" s="197"/>
      <c r="Q71" s="198"/>
    </row>
  </sheetData>
  <sheetProtection selectLockedCells="1" selectUnlockedCells="1"/>
  <phoneticPr fontId="2" type="noConversion"/>
  <pageMargins left="0.75" right="0.75" top="1" bottom="1" header="0.5" footer="0.5"/>
  <pageSetup orientation="portrait" r:id="rId1"/>
  <headerFooter alignWithMargins="0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AA1005"/>
  <sheetViews>
    <sheetView showGridLines="0" showRowColHeaders="0" workbookViewId="0">
      <selection activeCell="J10" sqref="J10"/>
    </sheetView>
  </sheetViews>
  <sheetFormatPr defaultColWidth="8.85546875" defaultRowHeight="12.75" x14ac:dyDescent="0.2"/>
  <cols>
    <col min="1" max="1" width="3.5703125" style="1" customWidth="1"/>
    <col min="2" max="3" width="9.5703125" style="12" bestFit="1" customWidth="1"/>
    <col min="4" max="4" width="7" style="12" bestFit="1" customWidth="1"/>
    <col min="5" max="5" width="14.140625" style="12" customWidth="1"/>
    <col min="6" max="6" width="6.85546875" style="8" customWidth="1"/>
    <col min="7" max="7" width="15.42578125" style="13" bestFit="1" customWidth="1"/>
    <col min="8" max="8" width="11.85546875" style="1" customWidth="1"/>
    <col min="9" max="9" width="9" style="1" customWidth="1"/>
    <col min="10" max="10" width="6.140625" style="1" customWidth="1"/>
    <col min="11" max="11" width="6.28515625" style="9" customWidth="1"/>
    <col min="12" max="18" width="9.140625" style="1" customWidth="1"/>
    <col min="19" max="19" width="5.7109375" style="1" customWidth="1"/>
    <col min="20" max="21" width="8.85546875" style="1" customWidth="1"/>
    <col min="22" max="22" width="10.7109375" style="1" customWidth="1"/>
    <col min="23" max="23" width="2.7109375" style="1" customWidth="1"/>
    <col min="24" max="16384" width="8.85546875" style="1"/>
  </cols>
  <sheetData>
    <row r="4" spans="1:22" x14ac:dyDescent="0.2">
      <c r="C4" s="17"/>
      <c r="D4" s="15"/>
      <c r="E4" s="15"/>
    </row>
    <row r="5" spans="1:22" ht="13.5" thickBot="1" x14ac:dyDescent="0.25">
      <c r="B5" s="20" t="s">
        <v>1</v>
      </c>
      <c r="C5" s="20" t="s">
        <v>0</v>
      </c>
      <c r="D5" s="20" t="s">
        <v>2</v>
      </c>
      <c r="E5" s="40" t="s">
        <v>14</v>
      </c>
      <c r="F5"/>
      <c r="G5"/>
      <c r="H5"/>
      <c r="I5"/>
      <c r="J5"/>
      <c r="K5"/>
      <c r="L5"/>
    </row>
    <row r="6" spans="1:22" x14ac:dyDescent="0.2">
      <c r="A6" s="2"/>
      <c r="B6" s="21">
        <v>1</v>
      </c>
      <c r="C6" s="22">
        <v>1</v>
      </c>
      <c r="D6" s="22">
        <v>1</v>
      </c>
      <c r="E6" s="39">
        <v>1333</v>
      </c>
      <c r="F6"/>
      <c r="G6"/>
      <c r="H6"/>
      <c r="I6"/>
      <c r="J6"/>
      <c r="K6"/>
      <c r="L6"/>
    </row>
    <row r="7" spans="1:22" x14ac:dyDescent="0.2">
      <c r="A7" s="2"/>
      <c r="B7" s="23"/>
      <c r="C7" s="18"/>
      <c r="D7" s="18">
        <v>2</v>
      </c>
      <c r="E7" s="24">
        <v>2000</v>
      </c>
      <c r="F7"/>
      <c r="G7"/>
      <c r="H7"/>
      <c r="I7"/>
      <c r="J7"/>
      <c r="K7"/>
      <c r="L7"/>
    </row>
    <row r="8" spans="1:22" x14ac:dyDescent="0.2">
      <c r="A8" s="2"/>
      <c r="B8" s="23"/>
      <c r="C8" s="18">
        <v>2</v>
      </c>
      <c r="D8" s="18">
        <v>1</v>
      </c>
      <c r="E8" s="24">
        <v>1333</v>
      </c>
      <c r="F8"/>
      <c r="G8"/>
      <c r="H8"/>
      <c r="I8"/>
      <c r="J8"/>
      <c r="K8"/>
      <c r="L8"/>
    </row>
    <row r="9" spans="1:22" x14ac:dyDescent="0.2">
      <c r="A9" s="2"/>
      <c r="B9" s="23"/>
      <c r="C9" s="18"/>
      <c r="D9" s="18">
        <v>2</v>
      </c>
      <c r="E9" s="24">
        <v>2000</v>
      </c>
      <c r="F9"/>
      <c r="G9"/>
      <c r="H9"/>
      <c r="I9"/>
      <c r="J9"/>
      <c r="K9"/>
      <c r="L9"/>
    </row>
    <row r="10" spans="1:22" x14ac:dyDescent="0.2">
      <c r="A10" s="2"/>
      <c r="B10" s="23"/>
      <c r="C10" s="18">
        <v>3</v>
      </c>
      <c r="D10" s="18">
        <v>1</v>
      </c>
      <c r="E10" s="39">
        <v>1333</v>
      </c>
      <c r="F10"/>
      <c r="G10"/>
      <c r="H10"/>
      <c r="I10"/>
      <c r="J10"/>
      <c r="K10"/>
      <c r="L10"/>
    </row>
    <row r="11" spans="1:22" ht="13.5" thickBot="1" x14ac:dyDescent="0.25">
      <c r="A11" s="2"/>
      <c r="B11" s="23"/>
      <c r="C11" s="18"/>
      <c r="D11" s="18">
        <v>2</v>
      </c>
      <c r="E11" s="24">
        <v>2000</v>
      </c>
      <c r="F11"/>
      <c r="G11"/>
      <c r="H11"/>
      <c r="I11"/>
      <c r="J11"/>
      <c r="K11"/>
      <c r="L11"/>
    </row>
    <row r="12" spans="1:22" x14ac:dyDescent="0.2">
      <c r="A12" s="2"/>
      <c r="B12" s="21">
        <v>2</v>
      </c>
      <c r="C12" s="22">
        <v>1</v>
      </c>
      <c r="D12" s="22">
        <v>1</v>
      </c>
      <c r="E12" s="39">
        <v>1333</v>
      </c>
      <c r="F12"/>
      <c r="G12"/>
      <c r="H12"/>
      <c r="I12"/>
      <c r="J12"/>
      <c r="K12"/>
      <c r="L12"/>
    </row>
    <row r="13" spans="1:22" x14ac:dyDescent="0.2">
      <c r="A13" s="2"/>
      <c r="B13" s="23"/>
      <c r="C13" s="18"/>
      <c r="D13" s="18">
        <v>2</v>
      </c>
      <c r="E13" s="24">
        <v>2000</v>
      </c>
      <c r="F13"/>
      <c r="G13"/>
      <c r="H13"/>
      <c r="I13"/>
      <c r="J13"/>
      <c r="K13"/>
      <c r="L13"/>
    </row>
    <row r="14" spans="1:22" x14ac:dyDescent="0.2">
      <c r="A14" s="2"/>
      <c r="B14" s="23"/>
      <c r="C14" s="18">
        <v>2</v>
      </c>
      <c r="D14" s="18">
        <v>1</v>
      </c>
      <c r="E14" s="24">
        <v>1333</v>
      </c>
      <c r="F14"/>
      <c r="G14"/>
      <c r="H14"/>
      <c r="I14"/>
      <c r="J14"/>
      <c r="K14"/>
      <c r="L14"/>
    </row>
    <row r="15" spans="1:22" x14ac:dyDescent="0.2">
      <c r="A15" s="2"/>
      <c r="B15" s="23"/>
      <c r="C15" s="18"/>
      <c r="D15" s="18">
        <v>2</v>
      </c>
      <c r="E15" s="24">
        <v>2000</v>
      </c>
      <c r="F15"/>
      <c r="G15"/>
      <c r="H15"/>
      <c r="I15"/>
      <c r="J15"/>
      <c r="K15"/>
      <c r="L15"/>
    </row>
    <row r="16" spans="1:22" x14ac:dyDescent="0.2">
      <c r="A16" s="2"/>
      <c r="B16" s="23"/>
      <c r="C16" s="18">
        <v>3</v>
      </c>
      <c r="D16" s="18">
        <v>1</v>
      </c>
      <c r="E16" s="39">
        <v>2000</v>
      </c>
      <c r="F16"/>
      <c r="G16"/>
      <c r="H16"/>
      <c r="I16"/>
      <c r="J16"/>
      <c r="K16"/>
      <c r="L16"/>
      <c r="U16" s="2"/>
      <c r="V16" s="2"/>
    </row>
    <row r="17" spans="1:27" ht="13.5" thickBot="1" x14ac:dyDescent="0.25">
      <c r="A17" s="2"/>
      <c r="B17" s="23"/>
      <c r="C17" s="18"/>
      <c r="D17" s="18">
        <v>2</v>
      </c>
      <c r="E17" s="24">
        <v>2133</v>
      </c>
      <c r="F17"/>
      <c r="G17"/>
      <c r="H17"/>
      <c r="I17"/>
      <c r="J17"/>
      <c r="K17"/>
      <c r="L17"/>
      <c r="U17" s="2"/>
      <c r="V17" s="2"/>
    </row>
    <row r="18" spans="1:27" x14ac:dyDescent="0.2">
      <c r="A18" s="2"/>
      <c r="B18" s="21">
        <v>3</v>
      </c>
      <c r="C18" s="22">
        <v>1</v>
      </c>
      <c r="D18" s="22">
        <v>1</v>
      </c>
      <c r="E18" s="24">
        <v>2266</v>
      </c>
      <c r="F18"/>
      <c r="G18"/>
      <c r="H18"/>
      <c r="I18"/>
      <c r="J18"/>
      <c r="K18"/>
      <c r="L18"/>
      <c r="O18" s="3"/>
      <c r="U18" s="2"/>
      <c r="V18" s="2"/>
    </row>
    <row r="19" spans="1:27" x14ac:dyDescent="0.2">
      <c r="A19" s="2"/>
      <c r="B19" s="23"/>
      <c r="C19" s="18"/>
      <c r="D19" s="18">
        <v>2</v>
      </c>
      <c r="E19" s="24">
        <v>2400</v>
      </c>
      <c r="F19"/>
      <c r="G19"/>
      <c r="H19"/>
      <c r="I19"/>
      <c r="J19"/>
      <c r="K19"/>
      <c r="L19"/>
      <c r="U19" s="2"/>
      <c r="V19" s="2"/>
    </row>
    <row r="20" spans="1:27" x14ac:dyDescent="0.2">
      <c r="A20" s="2"/>
      <c r="B20" s="23"/>
      <c r="C20" s="18">
        <v>2</v>
      </c>
      <c r="D20" s="18">
        <v>1</v>
      </c>
      <c r="E20" s="39">
        <v>2533</v>
      </c>
      <c r="F20"/>
      <c r="G20"/>
      <c r="H20"/>
      <c r="I20"/>
      <c r="J20"/>
      <c r="K20"/>
      <c r="L20"/>
      <c r="U20" s="2"/>
      <c r="V20" s="2"/>
    </row>
    <row r="21" spans="1:27" x14ac:dyDescent="0.2">
      <c r="A21" s="2"/>
      <c r="B21" s="23"/>
      <c r="C21" s="18"/>
      <c r="D21" s="18">
        <v>2</v>
      </c>
      <c r="E21" s="24">
        <v>2666</v>
      </c>
      <c r="F21"/>
      <c r="G21"/>
      <c r="H21"/>
      <c r="I21"/>
      <c r="J21"/>
      <c r="K21"/>
      <c r="L21"/>
      <c r="U21" s="2"/>
      <c r="V21" s="2"/>
    </row>
    <row r="22" spans="1:27" x14ac:dyDescent="0.2">
      <c r="A22" s="2"/>
      <c r="B22" s="23"/>
      <c r="C22" s="18">
        <v>3</v>
      </c>
      <c r="D22" s="18">
        <v>1</v>
      </c>
      <c r="E22" s="24">
        <v>2800</v>
      </c>
      <c r="F22"/>
      <c r="G22"/>
      <c r="H22"/>
      <c r="I22"/>
      <c r="J22"/>
      <c r="K22"/>
      <c r="L22"/>
      <c r="U22" s="2"/>
      <c r="V22" s="2"/>
    </row>
    <row r="23" spans="1:27" x14ac:dyDescent="0.2">
      <c r="A23" s="2"/>
      <c r="B23" s="23"/>
      <c r="C23" s="18"/>
      <c r="D23" s="18">
        <v>2</v>
      </c>
      <c r="E23" s="24">
        <v>2933</v>
      </c>
      <c r="F23"/>
      <c r="G23"/>
      <c r="H23"/>
      <c r="I23"/>
      <c r="J23"/>
      <c r="K23"/>
      <c r="L23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2">
      <c r="A24" s="2"/>
      <c r="B24"/>
      <c r="C24"/>
      <c r="D24"/>
      <c r="E24"/>
      <c r="F24"/>
      <c r="G24"/>
      <c r="H24"/>
      <c r="I24"/>
      <c r="J24"/>
      <c r="K24"/>
      <c r="L24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2">
      <c r="A25" s="2"/>
      <c r="B25"/>
      <c r="C25"/>
      <c r="D25"/>
      <c r="E25"/>
      <c r="F25"/>
      <c r="G25"/>
      <c r="H25"/>
      <c r="I25"/>
      <c r="J25"/>
      <c r="K25"/>
      <c r="L25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2">
      <c r="A26" s="2"/>
      <c r="B26"/>
      <c r="C26"/>
      <c r="D26"/>
      <c r="E26"/>
      <c r="F26"/>
      <c r="G26"/>
      <c r="H26"/>
      <c r="I26"/>
      <c r="J26"/>
      <c r="K26"/>
      <c r="L26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2">
      <c r="A27" s="2"/>
      <c r="B27"/>
      <c r="C27"/>
      <c r="D27"/>
      <c r="E27"/>
      <c r="F27"/>
      <c r="G27"/>
      <c r="H27"/>
      <c r="I27"/>
      <c r="J27"/>
      <c r="K27"/>
      <c r="L27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2">
      <c r="A28" s="2"/>
      <c r="B28"/>
      <c r="C28"/>
      <c r="D28"/>
      <c r="E28"/>
      <c r="F28"/>
      <c r="G28"/>
      <c r="H28"/>
      <c r="I28"/>
      <c r="J28"/>
      <c r="K28"/>
      <c r="L28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2">
      <c r="A29" s="2"/>
      <c r="B29"/>
      <c r="C29"/>
      <c r="D29"/>
      <c r="E29"/>
      <c r="F29"/>
      <c r="G29"/>
      <c r="H29"/>
      <c r="I29"/>
      <c r="J29"/>
      <c r="K29"/>
      <c r="L29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2">
      <c r="A30" s="2"/>
      <c r="B30"/>
      <c r="C30"/>
      <c r="D30"/>
      <c r="E30"/>
      <c r="F30"/>
      <c r="G30"/>
      <c r="H30"/>
      <c r="I30"/>
      <c r="J30"/>
      <c r="K30"/>
      <c r="L30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2">
      <c r="A31" s="2"/>
      <c r="B31"/>
      <c r="C31"/>
      <c r="D31"/>
      <c r="E31"/>
      <c r="F31"/>
      <c r="G31"/>
      <c r="H31"/>
      <c r="I31"/>
      <c r="J31"/>
      <c r="K31"/>
      <c r="L31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2">
      <c r="A32" s="2"/>
      <c r="B32"/>
      <c r="C32"/>
      <c r="D32"/>
      <c r="E32"/>
      <c r="F32"/>
      <c r="G32"/>
      <c r="H32"/>
      <c r="I32"/>
      <c r="J32"/>
      <c r="K32"/>
      <c r="L3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">
      <c r="A33" s="2"/>
      <c r="B33"/>
      <c r="C33"/>
      <c r="D33"/>
      <c r="E33"/>
      <c r="F33"/>
      <c r="G33"/>
      <c r="H33"/>
      <c r="I33"/>
      <c r="J33"/>
      <c r="K33"/>
      <c r="L33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">
      <c r="A34" s="2"/>
      <c r="B34"/>
      <c r="C34"/>
      <c r="D34"/>
      <c r="E34"/>
      <c r="F34"/>
      <c r="G34"/>
      <c r="H34"/>
      <c r="I34"/>
      <c r="J34"/>
      <c r="K34"/>
      <c r="L34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">
      <c r="A35" s="2"/>
      <c r="B35"/>
      <c r="C35"/>
      <c r="D35"/>
      <c r="E35"/>
      <c r="F35"/>
      <c r="G35"/>
      <c r="H35"/>
      <c r="I35"/>
      <c r="J35"/>
      <c r="K35"/>
      <c r="L35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">
      <c r="A36" s="2"/>
      <c r="B36"/>
      <c r="C36"/>
      <c r="D36"/>
      <c r="E36"/>
      <c r="F36"/>
      <c r="G36"/>
      <c r="H36"/>
      <c r="I36"/>
      <c r="J36"/>
      <c r="K36"/>
      <c r="L36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">
      <c r="A37" s="2"/>
      <c r="B37"/>
      <c r="C37"/>
      <c r="D37"/>
      <c r="E37"/>
      <c r="F37"/>
      <c r="G37"/>
      <c r="H37"/>
      <c r="I37"/>
      <c r="J37"/>
      <c r="K37"/>
      <c r="L37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">
      <c r="A38" s="2"/>
      <c r="B38"/>
      <c r="C38"/>
      <c r="D38"/>
      <c r="E38"/>
      <c r="F38"/>
      <c r="G38"/>
      <c r="H38"/>
      <c r="I38"/>
      <c r="J38"/>
      <c r="K38"/>
      <c r="L38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">
      <c r="A39" s="2"/>
      <c r="B39"/>
      <c r="C39"/>
      <c r="D39"/>
      <c r="E39"/>
      <c r="F39"/>
      <c r="G39"/>
      <c r="H39"/>
      <c r="I39"/>
      <c r="J39"/>
      <c r="K39"/>
      <c r="L39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">
      <c r="A40" s="2"/>
      <c r="B40"/>
      <c r="C40"/>
      <c r="D40"/>
      <c r="E40"/>
      <c r="F40"/>
      <c r="G40"/>
      <c r="H40"/>
      <c r="I40"/>
      <c r="J40"/>
      <c r="K40"/>
      <c r="L40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">
      <c r="A41" s="2"/>
      <c r="B41"/>
      <c r="C41"/>
      <c r="D41"/>
      <c r="E41"/>
      <c r="F41"/>
      <c r="G41"/>
      <c r="H41"/>
      <c r="I41"/>
      <c r="J41"/>
      <c r="K41"/>
      <c r="L41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x14ac:dyDescent="0.2">
      <c r="A42" s="2"/>
      <c r="B42"/>
      <c r="C42"/>
      <c r="D42"/>
      <c r="E42"/>
      <c r="F42"/>
      <c r="G42"/>
      <c r="H42"/>
      <c r="I42"/>
      <c r="J42"/>
      <c r="K42"/>
      <c r="L4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">
      <c r="A43" s="2"/>
      <c r="B43"/>
      <c r="C43"/>
      <c r="D43"/>
      <c r="E43"/>
      <c r="F43"/>
      <c r="G43"/>
      <c r="H43"/>
      <c r="I43"/>
      <c r="J43"/>
      <c r="K43"/>
      <c r="L43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">
      <c r="A44" s="2"/>
      <c r="B44"/>
      <c r="C44"/>
      <c r="D44"/>
      <c r="E44"/>
      <c r="F44"/>
      <c r="G44"/>
      <c r="H44"/>
      <c r="I44"/>
      <c r="J44"/>
      <c r="K44"/>
      <c r="L44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x14ac:dyDescent="0.2">
      <c r="A45" s="2"/>
      <c r="B45"/>
      <c r="C45"/>
      <c r="D45"/>
      <c r="E45"/>
      <c r="F45"/>
      <c r="G45"/>
      <c r="H45"/>
      <c r="I45"/>
      <c r="J45"/>
      <c r="K45"/>
      <c r="L45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">
      <c r="A46" s="2"/>
      <c r="B46"/>
      <c r="C46"/>
      <c r="D46"/>
      <c r="E46"/>
      <c r="F46"/>
      <c r="G46"/>
      <c r="H46"/>
      <c r="I46"/>
      <c r="J46"/>
      <c r="K46"/>
      <c r="L46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x14ac:dyDescent="0.2">
      <c r="A47" s="2"/>
      <c r="B47"/>
      <c r="C47"/>
      <c r="D47"/>
      <c r="E47"/>
      <c r="F47"/>
      <c r="G47"/>
      <c r="H47"/>
      <c r="I47"/>
      <c r="J47"/>
      <c r="K47"/>
      <c r="L47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">
      <c r="A48" s="2"/>
      <c r="B48"/>
      <c r="C48"/>
      <c r="D48"/>
      <c r="E48"/>
      <c r="F48"/>
      <c r="G48"/>
      <c r="H48"/>
      <c r="I48"/>
      <c r="J48"/>
      <c r="K48"/>
      <c r="L48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">
      <c r="A49" s="2"/>
      <c r="B49"/>
      <c r="C49"/>
      <c r="D49"/>
      <c r="E49"/>
      <c r="F49"/>
      <c r="G49"/>
      <c r="H49"/>
      <c r="I49"/>
      <c r="J49"/>
      <c r="K49"/>
      <c r="L49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x14ac:dyDescent="0.2">
      <c r="A50" s="2"/>
      <c r="B50"/>
      <c r="C50"/>
      <c r="D50"/>
      <c r="E50"/>
      <c r="F50"/>
      <c r="G50"/>
      <c r="H50"/>
      <c r="I50"/>
      <c r="J50"/>
      <c r="K50"/>
      <c r="L50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">
      <c r="A51" s="2"/>
      <c r="B51"/>
      <c r="C51"/>
      <c r="D51"/>
      <c r="E51"/>
      <c r="F51"/>
      <c r="G51"/>
      <c r="H51"/>
      <c r="I51"/>
      <c r="J51"/>
      <c r="K51"/>
      <c r="L51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x14ac:dyDescent="0.2">
      <c r="A52" s="2"/>
      <c r="B52"/>
      <c r="C52"/>
      <c r="D52"/>
      <c r="E52"/>
      <c r="F52"/>
      <c r="G52"/>
      <c r="H52"/>
      <c r="I52"/>
      <c r="J52"/>
      <c r="K52"/>
      <c r="L5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">
      <c r="A53" s="2"/>
      <c r="B53"/>
      <c r="C53"/>
      <c r="D53"/>
      <c r="E53"/>
      <c r="F53"/>
      <c r="G53"/>
      <c r="H53"/>
      <c r="I53"/>
      <c r="J53"/>
      <c r="K53"/>
      <c r="L53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x14ac:dyDescent="0.2">
      <c r="A54" s="2"/>
      <c r="B54"/>
      <c r="C54"/>
      <c r="D54"/>
      <c r="E54"/>
      <c r="F54"/>
      <c r="G54"/>
      <c r="H54"/>
      <c r="I54"/>
      <c r="J54"/>
      <c r="K54"/>
      <c r="L54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">
      <c r="A55" s="7"/>
      <c r="B55"/>
      <c r="C55"/>
      <c r="D55"/>
      <c r="E55"/>
      <c r="F55"/>
      <c r="G55"/>
      <c r="H55"/>
      <c r="I55"/>
      <c r="J55"/>
      <c r="K55"/>
      <c r="L55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">
      <c r="A56" s="7"/>
      <c r="B56"/>
      <c r="C56"/>
      <c r="D56"/>
      <c r="E56"/>
      <c r="F56"/>
      <c r="G56"/>
      <c r="H56"/>
      <c r="I56"/>
      <c r="J56"/>
      <c r="K56"/>
      <c r="L56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">
      <c r="A57" s="7"/>
      <c r="B57"/>
      <c r="C57"/>
      <c r="D57"/>
      <c r="E57"/>
      <c r="F57"/>
      <c r="G57"/>
      <c r="H57"/>
      <c r="I57"/>
      <c r="J57"/>
      <c r="K57"/>
      <c r="L57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">
      <c r="A58" s="7"/>
      <c r="B58"/>
      <c r="C58"/>
      <c r="D58"/>
      <c r="E58"/>
      <c r="F58"/>
      <c r="G58"/>
      <c r="H58"/>
      <c r="I58"/>
      <c r="J58"/>
      <c r="K58"/>
      <c r="L58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">
      <c r="A59" s="7"/>
      <c r="B59"/>
      <c r="C59"/>
      <c r="D59"/>
      <c r="E59"/>
      <c r="F59"/>
      <c r="G59"/>
      <c r="H59"/>
      <c r="I59"/>
      <c r="J59"/>
      <c r="K59"/>
      <c r="L59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">
      <c r="A60" s="7"/>
      <c r="B60"/>
      <c r="C60"/>
      <c r="D60"/>
      <c r="E60"/>
      <c r="F60"/>
      <c r="G60"/>
      <c r="H60"/>
      <c r="I60"/>
      <c r="J60"/>
      <c r="K60"/>
      <c r="L60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">
      <c r="B61"/>
      <c r="C61"/>
      <c r="D61"/>
      <c r="E61"/>
      <c r="F61"/>
      <c r="G61"/>
      <c r="H61"/>
      <c r="I61"/>
      <c r="J61"/>
      <c r="K61"/>
      <c r="L61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">
      <c r="B62"/>
      <c r="C62"/>
      <c r="D62"/>
      <c r="E62"/>
      <c r="F62"/>
      <c r="G62"/>
      <c r="H62"/>
      <c r="I62"/>
      <c r="J62"/>
      <c r="K62"/>
      <c r="L6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">
      <c r="B63"/>
      <c r="C63"/>
      <c r="D63"/>
      <c r="E63"/>
      <c r="F63"/>
      <c r="G63"/>
      <c r="H63"/>
      <c r="I63"/>
      <c r="J63"/>
      <c r="K63"/>
      <c r="L63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2">
      <c r="B64"/>
      <c r="C64"/>
      <c r="D64"/>
      <c r="E64"/>
      <c r="F64"/>
      <c r="G64"/>
      <c r="H64"/>
      <c r="I64"/>
      <c r="J64"/>
      <c r="K64"/>
      <c r="L64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2:27" x14ac:dyDescent="0.2">
      <c r="B65"/>
      <c r="C65"/>
      <c r="D65"/>
      <c r="E65"/>
      <c r="F65"/>
      <c r="G65"/>
      <c r="H65"/>
      <c r="I65"/>
      <c r="J65"/>
      <c r="K65"/>
      <c r="L65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2:27" x14ac:dyDescent="0.2">
      <c r="B66"/>
      <c r="C66"/>
      <c r="D66"/>
      <c r="E66"/>
      <c r="F66"/>
      <c r="G66"/>
      <c r="H66"/>
      <c r="I66"/>
      <c r="J66"/>
      <c r="K66"/>
      <c r="L66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2:27" x14ac:dyDescent="0.2">
      <c r="B67"/>
      <c r="C67"/>
      <c r="D67"/>
      <c r="E67"/>
      <c r="F67"/>
      <c r="G67"/>
      <c r="H67"/>
      <c r="I67"/>
      <c r="J67"/>
      <c r="K67"/>
      <c r="L67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2:27" x14ac:dyDescent="0.2">
      <c r="B68"/>
      <c r="C68"/>
      <c r="D68"/>
      <c r="E68"/>
      <c r="F68"/>
      <c r="G68"/>
      <c r="H68"/>
      <c r="I68"/>
      <c r="J68"/>
      <c r="K68"/>
      <c r="L68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2:27" x14ac:dyDescent="0.2">
      <c r="B69"/>
      <c r="C69"/>
      <c r="D69"/>
      <c r="E69"/>
      <c r="F69"/>
      <c r="G69"/>
      <c r="H69"/>
      <c r="I69"/>
      <c r="J69"/>
      <c r="K69"/>
      <c r="L69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2:27" x14ac:dyDescent="0.2">
      <c r="B70"/>
      <c r="C70"/>
      <c r="D70"/>
      <c r="E70"/>
      <c r="F70"/>
      <c r="G70"/>
      <c r="H70"/>
      <c r="I70"/>
      <c r="J70"/>
      <c r="K70"/>
      <c r="L70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2:27" x14ac:dyDescent="0.2">
      <c r="B71"/>
      <c r="C71"/>
      <c r="D71"/>
      <c r="E71"/>
      <c r="F71"/>
      <c r="G71"/>
      <c r="H71"/>
      <c r="I71"/>
      <c r="J71"/>
      <c r="K71"/>
      <c r="L71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2:27" x14ac:dyDescent="0.2">
      <c r="B72"/>
      <c r="C72"/>
      <c r="D72"/>
      <c r="E72"/>
      <c r="F72"/>
      <c r="G72"/>
      <c r="H72"/>
      <c r="I72"/>
      <c r="J72"/>
      <c r="K72"/>
      <c r="L7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2:27" x14ac:dyDescent="0.2">
      <c r="B73"/>
      <c r="C73"/>
      <c r="D73"/>
      <c r="E73"/>
      <c r="F73"/>
      <c r="G73"/>
      <c r="H73"/>
      <c r="I73"/>
      <c r="J73"/>
      <c r="K73"/>
      <c r="L73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2:27" x14ac:dyDescent="0.2">
      <c r="B74"/>
      <c r="C74"/>
      <c r="D74"/>
      <c r="E74"/>
      <c r="F74"/>
      <c r="G74"/>
      <c r="H74"/>
      <c r="I74"/>
      <c r="J74"/>
      <c r="K74"/>
      <c r="L74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2:27" x14ac:dyDescent="0.2">
      <c r="B75"/>
      <c r="C75"/>
      <c r="D75"/>
      <c r="E75"/>
      <c r="F75"/>
      <c r="G75"/>
      <c r="H75"/>
      <c r="I75"/>
      <c r="J75"/>
      <c r="K75"/>
      <c r="L75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2:27" x14ac:dyDescent="0.2">
      <c r="B76"/>
      <c r="C76"/>
      <c r="D76"/>
      <c r="E76"/>
      <c r="F76"/>
      <c r="G76"/>
      <c r="H76"/>
      <c r="I76"/>
      <c r="J76"/>
      <c r="K76"/>
      <c r="L76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2:27" x14ac:dyDescent="0.2">
      <c r="B77"/>
      <c r="C77"/>
      <c r="D77"/>
      <c r="E77"/>
      <c r="F77"/>
      <c r="G77"/>
      <c r="H77"/>
      <c r="I77"/>
      <c r="J77"/>
      <c r="K77"/>
      <c r="L77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2:27" x14ac:dyDescent="0.2">
      <c r="B78"/>
      <c r="C78"/>
      <c r="D78"/>
      <c r="E78"/>
      <c r="F78"/>
      <c r="G78"/>
      <c r="H78"/>
      <c r="I78"/>
      <c r="J78"/>
      <c r="K78"/>
      <c r="L78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2:27" x14ac:dyDescent="0.2">
      <c r="B79"/>
      <c r="C79"/>
      <c r="D79"/>
      <c r="E79"/>
      <c r="F79"/>
      <c r="G79"/>
      <c r="H79"/>
      <c r="I79"/>
      <c r="J79"/>
      <c r="K79"/>
      <c r="L79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2:27" x14ac:dyDescent="0.2">
      <c r="B80"/>
      <c r="C80"/>
      <c r="D80"/>
      <c r="E80"/>
      <c r="F80"/>
      <c r="G80"/>
      <c r="H80"/>
      <c r="I80"/>
      <c r="J80"/>
      <c r="K80"/>
      <c r="L80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2:27" x14ac:dyDescent="0.2">
      <c r="B81"/>
      <c r="C81"/>
      <c r="D81"/>
      <c r="E81"/>
      <c r="F81"/>
      <c r="G81"/>
      <c r="H81"/>
      <c r="I81"/>
      <c r="J81"/>
      <c r="K81"/>
      <c r="L81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2:27" x14ac:dyDescent="0.2">
      <c r="B82"/>
      <c r="C82"/>
      <c r="D82"/>
      <c r="E82"/>
      <c r="F82"/>
      <c r="G82"/>
      <c r="H82"/>
      <c r="I82"/>
      <c r="J82"/>
      <c r="K82"/>
      <c r="L8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2:27" x14ac:dyDescent="0.2">
      <c r="B83"/>
      <c r="C83"/>
      <c r="D83"/>
      <c r="E83"/>
      <c r="F83"/>
      <c r="G83"/>
      <c r="H83"/>
      <c r="I83"/>
      <c r="J83"/>
      <c r="K83"/>
      <c r="L83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2:27" x14ac:dyDescent="0.2">
      <c r="B84"/>
      <c r="C84"/>
      <c r="D84"/>
      <c r="E84"/>
      <c r="F84"/>
      <c r="G84"/>
      <c r="H84"/>
      <c r="I84"/>
      <c r="J84"/>
      <c r="K84"/>
      <c r="L84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2:27" x14ac:dyDescent="0.2">
      <c r="B85" s="5"/>
      <c r="C85" s="14"/>
      <c r="D85" s="14"/>
      <c r="E85" s="14"/>
      <c r="F85"/>
      <c r="G85"/>
      <c r="H85"/>
      <c r="I85"/>
      <c r="J85"/>
      <c r="K85"/>
      <c r="L85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2:27" x14ac:dyDescent="0.2">
      <c r="B86" s="5"/>
      <c r="C86" s="14"/>
      <c r="D86" s="14"/>
      <c r="E86" s="14"/>
      <c r="F86"/>
      <c r="G86"/>
      <c r="H86"/>
      <c r="I86"/>
      <c r="J86"/>
      <c r="K86"/>
      <c r="L86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2:27" x14ac:dyDescent="0.2">
      <c r="B87" s="5"/>
      <c r="C87" s="14"/>
      <c r="D87" s="14"/>
      <c r="E87" s="14"/>
      <c r="F87"/>
      <c r="G87"/>
      <c r="H87"/>
      <c r="I87"/>
      <c r="J87"/>
      <c r="K87"/>
      <c r="L87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2:27" x14ac:dyDescent="0.2">
      <c r="B88" s="5"/>
      <c r="C88" s="14"/>
      <c r="D88" s="14"/>
      <c r="E88" s="14"/>
      <c r="F88"/>
      <c r="G88"/>
      <c r="H88"/>
      <c r="I88"/>
      <c r="J88"/>
      <c r="K88"/>
      <c r="L88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2:27" x14ac:dyDescent="0.2">
      <c r="B89" s="5"/>
      <c r="C89" s="14"/>
      <c r="D89" s="14"/>
      <c r="E89" s="14"/>
      <c r="F89"/>
      <c r="G89"/>
      <c r="H89"/>
      <c r="I89"/>
      <c r="J89"/>
      <c r="K89"/>
      <c r="L89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2:27" x14ac:dyDescent="0.2">
      <c r="B90" s="5"/>
      <c r="C90" s="14"/>
      <c r="D90" s="14"/>
      <c r="E90" s="14"/>
      <c r="F90"/>
      <c r="G90"/>
      <c r="H90"/>
      <c r="I90"/>
      <c r="J90"/>
      <c r="K90"/>
      <c r="L90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2:27" x14ac:dyDescent="0.2">
      <c r="B91" s="5"/>
      <c r="C91" s="14"/>
      <c r="D91" s="14"/>
      <c r="E91" s="14"/>
      <c r="F91"/>
      <c r="G91"/>
      <c r="H91"/>
      <c r="I91"/>
      <c r="J91"/>
      <c r="K91"/>
      <c r="L91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2:27" x14ac:dyDescent="0.2">
      <c r="B92" s="5"/>
      <c r="C92" s="14"/>
      <c r="D92" s="14"/>
      <c r="E92" s="14"/>
      <c r="F92"/>
      <c r="G92"/>
      <c r="H92"/>
      <c r="I92"/>
      <c r="J92"/>
      <c r="K92"/>
      <c r="L9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2:27" x14ac:dyDescent="0.2">
      <c r="B93" s="5"/>
      <c r="C93" s="14"/>
      <c r="D93" s="14"/>
      <c r="E93" s="14"/>
      <c r="F93"/>
      <c r="G93"/>
      <c r="H93"/>
      <c r="I93"/>
      <c r="J93"/>
      <c r="K93"/>
      <c r="L93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2:27" x14ac:dyDescent="0.2">
      <c r="B94" s="5"/>
      <c r="C94" s="14"/>
      <c r="D94" s="14"/>
      <c r="E94" s="14"/>
      <c r="F94"/>
      <c r="G94"/>
      <c r="H94"/>
      <c r="I94"/>
      <c r="J94"/>
      <c r="K94"/>
      <c r="L94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2:27" x14ac:dyDescent="0.2">
      <c r="B95" s="5"/>
      <c r="C95" s="14"/>
      <c r="D95" s="14"/>
      <c r="E95" s="14"/>
      <c r="F95"/>
      <c r="G95"/>
      <c r="H95"/>
      <c r="I95"/>
      <c r="J95"/>
      <c r="K95"/>
      <c r="L95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2:27" x14ac:dyDescent="0.2">
      <c r="B96" s="5"/>
      <c r="C96" s="14"/>
      <c r="D96" s="14"/>
      <c r="E96" s="14"/>
      <c r="F96"/>
      <c r="G96"/>
      <c r="H96"/>
      <c r="I96"/>
      <c r="J96"/>
      <c r="K96"/>
      <c r="L96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2:27" x14ac:dyDescent="0.2">
      <c r="B97" s="5"/>
      <c r="C97" s="14"/>
      <c r="D97" s="14"/>
      <c r="E97" s="14"/>
      <c r="F97"/>
      <c r="G97"/>
      <c r="H97"/>
      <c r="I97"/>
      <c r="J97"/>
      <c r="K97"/>
      <c r="L97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2:27" x14ac:dyDescent="0.2">
      <c r="B98" s="5"/>
      <c r="C98" s="14"/>
      <c r="D98" s="14"/>
      <c r="E98" s="14"/>
      <c r="F98"/>
      <c r="G98"/>
      <c r="H98"/>
      <c r="I98"/>
      <c r="J98"/>
      <c r="K98"/>
      <c r="L98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2:27" x14ac:dyDescent="0.2">
      <c r="B99" s="5"/>
      <c r="C99" s="14"/>
      <c r="D99" s="14"/>
      <c r="E99" s="14"/>
      <c r="F99"/>
      <c r="G99"/>
      <c r="H99"/>
      <c r="I99"/>
      <c r="J99"/>
      <c r="K99"/>
      <c r="L99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2:27" x14ac:dyDescent="0.2">
      <c r="B100" s="5"/>
      <c r="C100" s="14"/>
      <c r="D100" s="14"/>
      <c r="E100" s="14"/>
      <c r="F100"/>
      <c r="G100"/>
      <c r="H100"/>
      <c r="I100"/>
      <c r="J100"/>
      <c r="K100"/>
      <c r="L100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  <row r="101" spans="2:27" x14ac:dyDescent="0.2">
      <c r="B101" s="5"/>
      <c r="C101" s="14"/>
      <c r="D101" s="14"/>
      <c r="E101" s="14"/>
      <c r="F101"/>
      <c r="G101"/>
      <c r="H101"/>
      <c r="I101"/>
      <c r="J101"/>
      <c r="K101"/>
      <c r="L101"/>
    </row>
    <row r="102" spans="2:27" x14ac:dyDescent="0.2">
      <c r="B102" s="5"/>
      <c r="C102" s="14"/>
      <c r="D102" s="14"/>
      <c r="E102" s="14"/>
      <c r="F102"/>
      <c r="G102"/>
      <c r="H102"/>
      <c r="I102"/>
      <c r="J102"/>
      <c r="K102"/>
      <c r="L102"/>
    </row>
    <row r="103" spans="2:27" x14ac:dyDescent="0.2">
      <c r="B103" s="5"/>
      <c r="C103" s="14"/>
      <c r="D103" s="14"/>
      <c r="E103" s="14"/>
      <c r="F103"/>
      <c r="G103"/>
      <c r="H103"/>
      <c r="I103"/>
      <c r="J103"/>
      <c r="K103"/>
      <c r="L103"/>
    </row>
    <row r="104" spans="2:27" x14ac:dyDescent="0.2">
      <c r="B104" s="5"/>
      <c r="C104" s="14"/>
      <c r="D104" s="14"/>
      <c r="E104" s="14"/>
      <c r="F104"/>
      <c r="G104"/>
      <c r="H104"/>
      <c r="I104"/>
      <c r="J104"/>
      <c r="K104"/>
      <c r="L104"/>
    </row>
    <row r="105" spans="2:27" x14ac:dyDescent="0.2">
      <c r="B105" s="5"/>
      <c r="C105" s="14"/>
      <c r="D105" s="14"/>
      <c r="E105" s="14"/>
      <c r="F105"/>
      <c r="G105"/>
      <c r="H105"/>
      <c r="I105"/>
      <c r="J105"/>
      <c r="K105"/>
      <c r="L105"/>
    </row>
    <row r="106" spans="2:27" x14ac:dyDescent="0.2">
      <c r="B106" s="5"/>
      <c r="C106" s="14"/>
      <c r="D106" s="14"/>
      <c r="E106" s="14"/>
      <c r="F106"/>
      <c r="G106"/>
      <c r="H106"/>
      <c r="I106"/>
      <c r="J106"/>
      <c r="K106"/>
      <c r="L106"/>
    </row>
    <row r="107" spans="2:27" x14ac:dyDescent="0.2">
      <c r="B107" s="5"/>
      <c r="C107" s="14"/>
      <c r="D107" s="14"/>
      <c r="E107" s="14"/>
      <c r="F107" s="5"/>
      <c r="G107" s="4"/>
      <c r="H107" s="4"/>
      <c r="I107" s="2"/>
      <c r="J107" s="2"/>
      <c r="K107" s="10"/>
    </row>
    <row r="108" spans="2:27" x14ac:dyDescent="0.2">
      <c r="B108" s="5"/>
      <c r="C108" s="14"/>
      <c r="D108" s="14"/>
      <c r="E108" s="14"/>
      <c r="F108" s="5"/>
      <c r="G108" s="4"/>
      <c r="H108" s="4"/>
      <c r="I108" s="2"/>
      <c r="J108" s="2"/>
      <c r="K108" s="10"/>
    </row>
    <row r="109" spans="2:27" x14ac:dyDescent="0.2">
      <c r="B109" s="5"/>
      <c r="C109" s="14"/>
      <c r="D109" s="14"/>
      <c r="E109" s="14"/>
      <c r="F109" s="5"/>
      <c r="G109" s="4"/>
      <c r="H109" s="4"/>
      <c r="I109" s="2"/>
      <c r="J109" s="2"/>
      <c r="K109" s="10"/>
    </row>
    <row r="110" spans="2:27" x14ac:dyDescent="0.2">
      <c r="B110" s="5"/>
      <c r="C110" s="14"/>
      <c r="D110" s="14"/>
      <c r="E110" s="14"/>
      <c r="F110" s="5"/>
      <c r="G110" s="4"/>
      <c r="H110" s="4"/>
      <c r="I110" s="2"/>
      <c r="J110" s="2"/>
      <c r="K110" s="10"/>
    </row>
    <row r="111" spans="2:27" x14ac:dyDescent="0.2">
      <c r="B111" s="5"/>
      <c r="C111" s="14"/>
      <c r="D111" s="14"/>
      <c r="E111" s="14"/>
      <c r="F111" s="5"/>
      <c r="G111" s="4"/>
      <c r="H111" s="4"/>
      <c r="I111" s="2"/>
      <c r="J111" s="2"/>
      <c r="K111" s="10"/>
    </row>
    <row r="112" spans="2:27" x14ac:dyDescent="0.2">
      <c r="B112" s="5"/>
      <c r="C112" s="14"/>
      <c r="D112" s="14"/>
      <c r="E112" s="14"/>
      <c r="F112" s="5"/>
      <c r="G112" s="4"/>
      <c r="H112" s="4"/>
      <c r="I112" s="2"/>
      <c r="J112" s="2"/>
      <c r="K112" s="10"/>
    </row>
    <row r="113" spans="2:11" x14ac:dyDescent="0.2">
      <c r="B113" s="5"/>
      <c r="C113" s="14"/>
      <c r="D113" s="14"/>
      <c r="E113" s="14"/>
      <c r="F113" s="5"/>
      <c r="G113" s="4"/>
      <c r="H113" s="4"/>
      <c r="I113" s="2"/>
      <c r="J113" s="2"/>
      <c r="K113" s="10"/>
    </row>
    <row r="114" spans="2:11" x14ac:dyDescent="0.2">
      <c r="B114" s="5"/>
      <c r="C114" s="14"/>
      <c r="D114" s="14"/>
      <c r="E114" s="14"/>
      <c r="F114" s="5"/>
      <c r="G114" s="4"/>
      <c r="H114" s="4"/>
      <c r="I114" s="2"/>
      <c r="J114" s="2"/>
      <c r="K114" s="10"/>
    </row>
    <row r="115" spans="2:11" x14ac:dyDescent="0.2">
      <c r="B115" s="5"/>
      <c r="C115" s="14"/>
      <c r="D115" s="14"/>
      <c r="E115" s="14"/>
      <c r="F115" s="5"/>
      <c r="G115" s="4"/>
      <c r="H115" s="4"/>
      <c r="I115" s="2"/>
      <c r="J115" s="2"/>
      <c r="K115" s="10"/>
    </row>
    <row r="116" spans="2:11" x14ac:dyDescent="0.2">
      <c r="B116" s="5"/>
      <c r="C116" s="14"/>
      <c r="D116" s="14"/>
      <c r="E116" s="14"/>
      <c r="F116" s="5"/>
      <c r="G116" s="4"/>
      <c r="H116" s="4"/>
      <c r="I116" s="2"/>
      <c r="J116" s="2"/>
      <c r="K116" s="10"/>
    </row>
    <row r="117" spans="2:11" x14ac:dyDescent="0.2">
      <c r="B117" s="5"/>
      <c r="C117" s="14"/>
      <c r="D117" s="14"/>
      <c r="E117" s="14"/>
      <c r="F117" s="5"/>
      <c r="G117" s="4"/>
      <c r="H117" s="4"/>
      <c r="I117" s="2"/>
      <c r="J117" s="2"/>
      <c r="K117" s="10"/>
    </row>
    <row r="118" spans="2:11" x14ac:dyDescent="0.2">
      <c r="B118" s="5"/>
      <c r="C118" s="14"/>
      <c r="D118" s="14"/>
      <c r="E118" s="14"/>
      <c r="F118" s="5"/>
      <c r="G118" s="4"/>
      <c r="H118" s="4"/>
      <c r="I118" s="2"/>
      <c r="J118" s="2"/>
      <c r="K118" s="10"/>
    </row>
    <row r="119" spans="2:11" x14ac:dyDescent="0.2">
      <c r="B119" s="5"/>
      <c r="C119" s="14"/>
      <c r="D119" s="14"/>
      <c r="E119" s="14"/>
      <c r="F119" s="5"/>
      <c r="G119" s="4"/>
      <c r="H119" s="4"/>
      <c r="I119" s="2"/>
      <c r="J119" s="2"/>
      <c r="K119" s="10"/>
    </row>
    <row r="120" spans="2:11" x14ac:dyDescent="0.2">
      <c r="B120" s="5"/>
      <c r="C120" s="14"/>
      <c r="D120" s="14"/>
      <c r="E120" s="14"/>
      <c r="F120" s="5"/>
      <c r="G120" s="4"/>
      <c r="H120" s="4"/>
      <c r="I120" s="2"/>
      <c r="J120" s="2"/>
      <c r="K120" s="10"/>
    </row>
    <row r="121" spans="2:11" x14ac:dyDescent="0.2">
      <c r="B121" s="5"/>
      <c r="C121" s="14"/>
      <c r="D121" s="14"/>
      <c r="E121" s="14"/>
      <c r="F121" s="5"/>
      <c r="G121" s="4"/>
      <c r="H121" s="4"/>
      <c r="I121" s="2"/>
      <c r="J121" s="2"/>
      <c r="K121" s="10"/>
    </row>
    <row r="122" spans="2:11" x14ac:dyDescent="0.2">
      <c r="B122" s="5"/>
      <c r="C122" s="14"/>
      <c r="D122" s="14"/>
      <c r="E122" s="14"/>
      <c r="F122" s="5"/>
      <c r="G122" s="4"/>
      <c r="H122" s="4"/>
      <c r="I122" s="2"/>
      <c r="J122" s="2"/>
      <c r="K122" s="10"/>
    </row>
    <row r="123" spans="2:11" x14ac:dyDescent="0.2">
      <c r="B123" s="5"/>
      <c r="C123" s="14"/>
      <c r="D123" s="14"/>
      <c r="E123" s="14"/>
      <c r="F123" s="5"/>
      <c r="G123" s="4"/>
      <c r="H123" s="4"/>
      <c r="I123" s="2"/>
      <c r="J123" s="2"/>
      <c r="K123" s="10"/>
    </row>
    <row r="124" spans="2:11" x14ac:dyDescent="0.2">
      <c r="B124" s="5"/>
      <c r="C124" s="14"/>
      <c r="D124" s="14"/>
      <c r="E124" s="14"/>
      <c r="F124" s="5"/>
      <c r="G124" s="4"/>
      <c r="H124" s="4"/>
      <c r="I124" s="2"/>
      <c r="J124" s="2"/>
      <c r="K124" s="10"/>
    </row>
    <row r="125" spans="2:11" x14ac:dyDescent="0.2">
      <c r="B125" s="5"/>
      <c r="C125" s="14"/>
      <c r="D125" s="14"/>
      <c r="E125" s="14"/>
      <c r="F125" s="5"/>
      <c r="G125" s="4"/>
      <c r="H125" s="4"/>
      <c r="I125" s="2"/>
      <c r="J125" s="2"/>
      <c r="K125" s="10"/>
    </row>
    <row r="126" spans="2:11" x14ac:dyDescent="0.2">
      <c r="B126" s="5"/>
      <c r="C126" s="14"/>
      <c r="D126" s="14"/>
      <c r="E126" s="14"/>
      <c r="F126" s="5"/>
      <c r="G126" s="4"/>
      <c r="H126" s="4"/>
      <c r="I126" s="2"/>
      <c r="J126" s="2"/>
      <c r="K126" s="10"/>
    </row>
    <row r="127" spans="2:11" x14ac:dyDescent="0.2">
      <c r="B127" s="5"/>
      <c r="C127" s="14"/>
      <c r="D127" s="14"/>
      <c r="E127" s="14"/>
      <c r="F127" s="5"/>
      <c r="G127" s="4"/>
      <c r="H127" s="4"/>
      <c r="I127" s="2"/>
      <c r="J127" s="2"/>
      <c r="K127" s="10"/>
    </row>
    <row r="128" spans="2:11" x14ac:dyDescent="0.2">
      <c r="B128" s="5"/>
      <c r="C128" s="14"/>
      <c r="D128" s="14"/>
      <c r="E128" s="14"/>
      <c r="F128" s="5"/>
      <c r="G128" s="4"/>
      <c r="H128" s="4"/>
      <c r="I128" s="2"/>
      <c r="J128" s="2"/>
      <c r="K128" s="10"/>
    </row>
    <row r="129" spans="2:11" x14ac:dyDescent="0.2">
      <c r="B129" s="5"/>
      <c r="C129" s="14"/>
      <c r="D129" s="14"/>
      <c r="E129" s="14"/>
      <c r="F129" s="5"/>
      <c r="G129" s="4"/>
      <c r="H129" s="4"/>
      <c r="I129" s="2"/>
      <c r="J129" s="2"/>
      <c r="K129" s="10"/>
    </row>
    <row r="130" spans="2:11" x14ac:dyDescent="0.2">
      <c r="B130" s="5"/>
      <c r="C130" s="14"/>
      <c r="D130" s="14"/>
      <c r="E130" s="14"/>
      <c r="F130" s="5"/>
      <c r="G130" s="4"/>
      <c r="H130" s="4"/>
      <c r="I130" s="2"/>
      <c r="J130" s="2"/>
      <c r="K130" s="10"/>
    </row>
    <row r="131" spans="2:11" x14ac:dyDescent="0.2">
      <c r="B131" s="5"/>
      <c r="C131" s="14"/>
      <c r="D131" s="14"/>
      <c r="E131" s="14"/>
      <c r="F131" s="5"/>
      <c r="G131" s="4"/>
      <c r="H131" s="4"/>
    </row>
    <row r="132" spans="2:11" x14ac:dyDescent="0.2">
      <c r="B132" s="5"/>
      <c r="C132" s="14"/>
      <c r="D132" s="14"/>
      <c r="E132" s="14"/>
      <c r="F132" s="5"/>
      <c r="G132" s="4"/>
      <c r="H132" s="4"/>
    </row>
    <row r="133" spans="2:11" x14ac:dyDescent="0.2">
      <c r="B133" s="5"/>
      <c r="C133" s="14"/>
      <c r="D133" s="14"/>
      <c r="E133" s="14"/>
      <c r="F133" s="5"/>
      <c r="G133" s="4"/>
      <c r="H133" s="4"/>
    </row>
    <row r="134" spans="2:11" x14ac:dyDescent="0.2">
      <c r="B134" s="5"/>
      <c r="C134" s="14"/>
      <c r="D134" s="14"/>
      <c r="E134" s="14"/>
      <c r="F134" s="5"/>
      <c r="G134" s="4"/>
      <c r="H134" s="4"/>
    </row>
    <row r="135" spans="2:11" x14ac:dyDescent="0.2">
      <c r="B135" s="5"/>
      <c r="C135" s="14"/>
      <c r="D135" s="14"/>
      <c r="E135" s="14"/>
      <c r="F135" s="5"/>
      <c r="G135" s="4"/>
      <c r="H135" s="4"/>
    </row>
    <row r="136" spans="2:11" x14ac:dyDescent="0.2">
      <c r="B136" s="5"/>
      <c r="C136" s="14"/>
      <c r="D136" s="14"/>
      <c r="E136" s="14"/>
      <c r="F136" s="5"/>
      <c r="G136" s="4"/>
      <c r="H136" s="4"/>
    </row>
    <row r="137" spans="2:11" x14ac:dyDescent="0.2">
      <c r="B137" s="5"/>
      <c r="C137" s="14"/>
      <c r="D137" s="14"/>
      <c r="E137" s="14"/>
      <c r="F137" s="5"/>
      <c r="G137" s="4"/>
      <c r="H137" s="4"/>
    </row>
    <row r="138" spans="2:11" x14ac:dyDescent="0.2">
      <c r="B138" s="5"/>
      <c r="C138" s="14"/>
      <c r="D138" s="14"/>
      <c r="E138" s="14"/>
      <c r="F138" s="5"/>
      <c r="G138" s="4"/>
      <c r="H138" s="4"/>
    </row>
    <row r="139" spans="2:11" x14ac:dyDescent="0.2">
      <c r="B139" s="5"/>
      <c r="C139" s="14"/>
      <c r="D139" s="14"/>
      <c r="E139" s="14"/>
      <c r="F139" s="5"/>
      <c r="G139" s="4"/>
      <c r="H139" s="4"/>
    </row>
    <row r="140" spans="2:11" x14ac:dyDescent="0.2">
      <c r="B140" s="5"/>
      <c r="C140" s="14"/>
      <c r="D140" s="14"/>
      <c r="E140" s="14"/>
      <c r="F140" s="5"/>
      <c r="G140" s="4"/>
      <c r="H140" s="4"/>
    </row>
    <row r="141" spans="2:11" x14ac:dyDescent="0.2">
      <c r="B141" s="5"/>
      <c r="C141" s="14"/>
      <c r="D141" s="14"/>
      <c r="E141" s="14"/>
      <c r="F141" s="5"/>
      <c r="G141" s="4"/>
      <c r="H141" s="4"/>
    </row>
    <row r="142" spans="2:11" x14ac:dyDescent="0.2">
      <c r="B142" s="5"/>
      <c r="C142" s="14"/>
      <c r="D142" s="14"/>
      <c r="E142" s="14"/>
      <c r="F142" s="5"/>
      <c r="G142" s="4"/>
      <c r="H142" s="4"/>
    </row>
    <row r="143" spans="2:11" x14ac:dyDescent="0.2">
      <c r="B143" s="5"/>
      <c r="C143" s="14"/>
      <c r="D143" s="14"/>
      <c r="E143" s="14"/>
      <c r="F143" s="5"/>
      <c r="G143" s="4"/>
      <c r="H143" s="4"/>
    </row>
    <row r="144" spans="2:11" x14ac:dyDescent="0.2">
      <c r="B144" s="5"/>
      <c r="C144" s="14"/>
      <c r="D144" s="14"/>
      <c r="E144" s="14"/>
      <c r="F144" s="5"/>
      <c r="G144" s="4"/>
      <c r="H144" s="4"/>
    </row>
    <row r="145" spans="2:8" x14ac:dyDescent="0.2">
      <c r="B145" s="5"/>
      <c r="C145" s="14"/>
      <c r="D145" s="14"/>
      <c r="E145" s="14"/>
      <c r="F145" s="5"/>
      <c r="G145" s="4"/>
      <c r="H145" s="4"/>
    </row>
    <row r="146" spans="2:8" x14ac:dyDescent="0.2">
      <c r="B146" s="5"/>
      <c r="C146" s="14"/>
      <c r="D146" s="14"/>
      <c r="E146" s="14"/>
      <c r="F146" s="5"/>
      <c r="G146" s="4"/>
      <c r="H146" s="4"/>
    </row>
    <row r="147" spans="2:8" x14ac:dyDescent="0.2">
      <c r="B147" s="5"/>
      <c r="C147" s="14"/>
      <c r="D147" s="14"/>
      <c r="E147" s="14"/>
      <c r="F147" s="5"/>
      <c r="G147" s="4"/>
      <c r="H147" s="4"/>
    </row>
    <row r="148" spans="2:8" x14ac:dyDescent="0.2">
      <c r="B148" s="5"/>
      <c r="C148" s="14"/>
      <c r="D148" s="14"/>
      <c r="E148" s="14"/>
      <c r="F148" s="5"/>
      <c r="G148" s="4"/>
      <c r="H148" s="4"/>
    </row>
    <row r="149" spans="2:8" x14ac:dyDescent="0.2">
      <c r="B149" s="5"/>
      <c r="C149" s="14"/>
      <c r="D149" s="14"/>
      <c r="E149" s="14"/>
      <c r="F149" s="5"/>
      <c r="G149" s="4"/>
      <c r="H149" s="4"/>
    </row>
    <row r="150" spans="2:8" x14ac:dyDescent="0.2">
      <c r="B150" s="5"/>
      <c r="C150" s="14"/>
      <c r="D150" s="14"/>
      <c r="E150" s="14"/>
      <c r="F150" s="5"/>
      <c r="G150" s="4"/>
      <c r="H150" s="4"/>
    </row>
    <row r="151" spans="2:8" x14ac:dyDescent="0.2">
      <c r="B151" s="5"/>
      <c r="C151" s="14"/>
      <c r="D151" s="14"/>
      <c r="E151" s="14"/>
      <c r="F151" s="5"/>
      <c r="G151" s="4"/>
      <c r="H151" s="4"/>
    </row>
    <row r="152" spans="2:8" x14ac:dyDescent="0.2">
      <c r="B152" s="5"/>
      <c r="C152" s="5"/>
      <c r="D152" s="5"/>
      <c r="E152" s="5"/>
      <c r="F152" s="5"/>
      <c r="G152" s="4"/>
      <c r="H152" s="4"/>
    </row>
    <row r="153" spans="2:8" x14ac:dyDescent="0.2">
      <c r="B153" s="5"/>
      <c r="C153" s="5"/>
      <c r="D153" s="5"/>
      <c r="E153" s="5"/>
      <c r="F153" s="5"/>
      <c r="G153" s="4"/>
      <c r="H153" s="4"/>
    </row>
    <row r="154" spans="2:8" x14ac:dyDescent="0.2">
      <c r="B154" s="5"/>
      <c r="C154" s="5"/>
      <c r="D154" s="5"/>
      <c r="E154" s="5"/>
      <c r="F154" s="5"/>
      <c r="G154" s="4"/>
      <c r="H154" s="4"/>
    </row>
    <row r="155" spans="2:8" x14ac:dyDescent="0.2">
      <c r="B155" s="5"/>
      <c r="C155" s="5"/>
      <c r="D155" s="5"/>
      <c r="E155" s="5"/>
      <c r="F155" s="5"/>
      <c r="G155" s="4"/>
      <c r="H155" s="4"/>
    </row>
    <row r="156" spans="2:8" x14ac:dyDescent="0.2">
      <c r="B156" s="5"/>
      <c r="C156" s="5"/>
      <c r="D156" s="5"/>
      <c r="E156" s="5"/>
      <c r="F156" s="5"/>
      <c r="G156" s="4"/>
      <c r="H156" s="4"/>
    </row>
    <row r="157" spans="2:8" x14ac:dyDescent="0.2">
      <c r="B157" s="5"/>
      <c r="C157" s="5"/>
      <c r="D157" s="5"/>
      <c r="E157" s="5"/>
      <c r="F157" s="5"/>
      <c r="G157" s="4"/>
      <c r="H157" s="4"/>
    </row>
    <row r="158" spans="2:8" x14ac:dyDescent="0.2">
      <c r="B158" s="5"/>
      <c r="C158" s="5"/>
      <c r="D158" s="5"/>
      <c r="E158" s="5"/>
      <c r="F158" s="5"/>
      <c r="G158" s="4"/>
      <c r="H158" s="4"/>
    </row>
    <row r="159" spans="2:8" x14ac:dyDescent="0.2">
      <c r="B159" s="5"/>
      <c r="C159" s="5"/>
      <c r="D159" s="5"/>
      <c r="E159" s="5"/>
      <c r="F159" s="5"/>
      <c r="G159" s="4"/>
      <c r="H159" s="4"/>
    </row>
    <row r="160" spans="2:8" x14ac:dyDescent="0.2">
      <c r="B160" s="5"/>
      <c r="C160" s="5"/>
      <c r="D160" s="5"/>
      <c r="E160" s="5"/>
      <c r="F160" s="5"/>
      <c r="G160" s="4"/>
      <c r="H160" s="4"/>
    </row>
    <row r="161" spans="2:8" x14ac:dyDescent="0.2">
      <c r="B161" s="5"/>
      <c r="C161" s="5"/>
      <c r="D161" s="5"/>
      <c r="E161" s="5"/>
      <c r="F161" s="5"/>
      <c r="G161" s="4"/>
      <c r="H161" s="4"/>
    </row>
    <row r="162" spans="2:8" x14ac:dyDescent="0.2">
      <c r="B162" s="5"/>
      <c r="C162" s="5"/>
      <c r="D162" s="5"/>
      <c r="E162" s="5"/>
      <c r="F162" s="5"/>
      <c r="G162" s="4"/>
      <c r="H162" s="4"/>
    </row>
    <row r="163" spans="2:8" x14ac:dyDescent="0.2">
      <c r="B163" s="5"/>
      <c r="C163" s="5"/>
      <c r="D163" s="5"/>
      <c r="E163" s="5"/>
      <c r="F163" s="5"/>
      <c r="G163" s="4"/>
      <c r="H163" s="4"/>
    </row>
    <row r="164" spans="2:8" x14ac:dyDescent="0.2">
      <c r="B164" s="5"/>
      <c r="C164" s="5"/>
      <c r="D164" s="5"/>
      <c r="E164" s="5"/>
      <c r="F164" s="5"/>
      <c r="G164" s="4"/>
      <c r="H164" s="4"/>
    </row>
    <row r="165" spans="2:8" x14ac:dyDescent="0.2">
      <c r="B165" s="5"/>
      <c r="C165" s="5"/>
      <c r="D165" s="5"/>
      <c r="E165" s="5"/>
      <c r="F165" s="5"/>
      <c r="G165" s="4"/>
      <c r="H165" s="4"/>
    </row>
    <row r="166" spans="2:8" x14ac:dyDescent="0.2">
      <c r="B166" s="5"/>
      <c r="C166" s="5"/>
      <c r="D166" s="5"/>
      <c r="E166" s="5"/>
      <c r="F166" s="5"/>
      <c r="G166" s="4"/>
      <c r="H166" s="4"/>
    </row>
    <row r="167" spans="2:8" x14ac:dyDescent="0.2">
      <c r="B167" s="5"/>
      <c r="C167" s="5"/>
      <c r="D167" s="5"/>
      <c r="E167" s="5"/>
      <c r="F167" s="5"/>
      <c r="G167" s="4"/>
      <c r="H167" s="4"/>
    </row>
    <row r="168" spans="2:8" x14ac:dyDescent="0.2">
      <c r="B168" s="5"/>
      <c r="C168" s="5"/>
      <c r="D168" s="5"/>
      <c r="E168" s="5"/>
      <c r="F168" s="5"/>
      <c r="G168" s="4"/>
      <c r="H168" s="4"/>
    </row>
    <row r="169" spans="2:8" x14ac:dyDescent="0.2">
      <c r="B169" s="5"/>
      <c r="C169" s="5"/>
      <c r="D169" s="5"/>
      <c r="E169" s="5"/>
      <c r="F169" s="5"/>
      <c r="G169" s="4"/>
      <c r="H169" s="4"/>
    </row>
    <row r="170" spans="2:8" x14ac:dyDescent="0.2">
      <c r="B170" s="5"/>
      <c r="C170" s="5"/>
      <c r="D170" s="5"/>
      <c r="E170" s="5"/>
      <c r="F170" s="5"/>
      <c r="G170" s="4"/>
      <c r="H170" s="4"/>
    </row>
    <row r="171" spans="2:8" x14ac:dyDescent="0.2">
      <c r="B171" s="5"/>
      <c r="C171" s="5"/>
      <c r="D171" s="5"/>
      <c r="E171" s="5"/>
      <c r="F171" s="5"/>
      <c r="G171" s="4"/>
      <c r="H171" s="4"/>
    </row>
    <row r="172" spans="2:8" x14ac:dyDescent="0.2">
      <c r="B172" s="5"/>
      <c r="C172" s="5"/>
      <c r="D172" s="5"/>
      <c r="E172" s="5"/>
      <c r="F172" s="5"/>
      <c r="G172" s="4"/>
      <c r="H172" s="4"/>
    </row>
    <row r="173" spans="2:8" x14ac:dyDescent="0.2">
      <c r="B173" s="5"/>
      <c r="C173" s="5"/>
      <c r="D173" s="5"/>
      <c r="E173" s="5"/>
      <c r="F173" s="5"/>
      <c r="G173" s="4"/>
      <c r="H173" s="4"/>
    </row>
    <row r="174" spans="2:8" x14ac:dyDescent="0.2">
      <c r="B174" s="5"/>
      <c r="C174" s="5"/>
      <c r="D174" s="5"/>
      <c r="E174" s="5"/>
      <c r="F174" s="5"/>
      <c r="G174" s="4"/>
      <c r="H174" s="4"/>
    </row>
    <row r="175" spans="2:8" x14ac:dyDescent="0.2">
      <c r="B175" s="5"/>
      <c r="C175" s="5"/>
      <c r="D175" s="5"/>
      <c r="E175" s="5"/>
      <c r="F175" s="5"/>
      <c r="G175" s="4"/>
      <c r="H175" s="4"/>
    </row>
    <row r="176" spans="2:8" x14ac:dyDescent="0.2">
      <c r="B176" s="5"/>
      <c r="C176" s="5"/>
      <c r="D176" s="5"/>
      <c r="E176" s="5"/>
      <c r="F176" s="5"/>
      <c r="G176" s="4"/>
      <c r="H176" s="4"/>
    </row>
    <row r="177" spans="2:8" x14ac:dyDescent="0.2">
      <c r="B177" s="5"/>
      <c r="C177" s="5"/>
      <c r="D177" s="5"/>
      <c r="E177" s="5"/>
      <c r="F177" s="5"/>
      <c r="G177" s="4"/>
      <c r="H177" s="4"/>
    </row>
    <row r="178" spans="2:8" x14ac:dyDescent="0.2">
      <c r="B178" s="5"/>
      <c r="C178" s="5"/>
      <c r="D178" s="5"/>
      <c r="E178" s="5"/>
      <c r="F178" s="5"/>
      <c r="G178" s="4"/>
      <c r="H178" s="4"/>
    </row>
    <row r="179" spans="2:8" x14ac:dyDescent="0.2">
      <c r="B179" s="5"/>
      <c r="C179" s="5"/>
      <c r="D179" s="5"/>
      <c r="E179" s="5"/>
      <c r="F179" s="5"/>
      <c r="G179" s="4"/>
      <c r="H179" s="4"/>
    </row>
    <row r="180" spans="2:8" x14ac:dyDescent="0.2">
      <c r="B180" s="5"/>
      <c r="C180" s="5"/>
      <c r="D180" s="5"/>
      <c r="E180" s="5"/>
      <c r="F180" s="5"/>
      <c r="G180" s="4"/>
      <c r="H180" s="4"/>
    </row>
    <row r="181" spans="2:8" x14ac:dyDescent="0.2">
      <c r="B181" s="5"/>
      <c r="C181" s="5"/>
      <c r="D181" s="5"/>
      <c r="E181" s="5"/>
      <c r="F181" s="5"/>
      <c r="G181" s="4"/>
      <c r="H181" s="4"/>
    </row>
    <row r="182" spans="2:8" x14ac:dyDescent="0.2">
      <c r="B182" s="5"/>
      <c r="C182" s="5"/>
      <c r="D182" s="5"/>
      <c r="E182" s="5"/>
      <c r="F182" s="5"/>
      <c r="G182" s="4"/>
      <c r="H182" s="4"/>
    </row>
    <row r="183" spans="2:8" x14ac:dyDescent="0.2">
      <c r="B183" s="5"/>
      <c r="C183" s="5"/>
      <c r="D183" s="5"/>
      <c r="E183" s="5"/>
      <c r="F183" s="5"/>
      <c r="G183" s="4"/>
      <c r="H183" s="4"/>
    </row>
    <row r="184" spans="2:8" x14ac:dyDescent="0.2">
      <c r="B184" s="5"/>
      <c r="C184" s="5"/>
      <c r="D184" s="5"/>
      <c r="E184" s="5"/>
      <c r="F184" s="5"/>
      <c r="G184" s="4"/>
      <c r="H184" s="4"/>
    </row>
    <row r="185" spans="2:8" x14ac:dyDescent="0.2">
      <c r="B185" s="5"/>
      <c r="C185" s="5"/>
      <c r="D185" s="5"/>
      <c r="E185" s="5"/>
      <c r="F185" s="5"/>
      <c r="G185" s="4"/>
      <c r="H185" s="4"/>
    </row>
    <row r="186" spans="2:8" x14ac:dyDescent="0.2">
      <c r="B186" s="5"/>
      <c r="C186" s="5"/>
      <c r="D186" s="5"/>
      <c r="E186" s="5"/>
      <c r="F186" s="5"/>
      <c r="G186" s="4"/>
      <c r="H186" s="4"/>
    </row>
    <row r="187" spans="2:8" x14ac:dyDescent="0.2">
      <c r="B187" s="5"/>
      <c r="C187" s="5"/>
      <c r="D187" s="5"/>
      <c r="E187" s="5"/>
      <c r="F187" s="5"/>
      <c r="G187" s="4"/>
      <c r="H187" s="4"/>
    </row>
    <row r="188" spans="2:8" x14ac:dyDescent="0.2">
      <c r="B188" s="5"/>
      <c r="C188" s="5"/>
      <c r="D188" s="5"/>
      <c r="E188" s="5"/>
      <c r="F188" s="5"/>
      <c r="G188" s="4"/>
      <c r="H188" s="4"/>
    </row>
    <row r="189" spans="2:8" x14ac:dyDescent="0.2">
      <c r="B189" s="5"/>
      <c r="C189" s="5"/>
      <c r="D189" s="5"/>
      <c r="E189" s="5"/>
      <c r="F189" s="5"/>
      <c r="G189" s="4"/>
      <c r="H189" s="4"/>
    </row>
    <row r="190" spans="2:8" x14ac:dyDescent="0.2">
      <c r="B190" s="5"/>
      <c r="C190" s="5"/>
      <c r="D190" s="5"/>
      <c r="E190" s="5"/>
      <c r="F190" s="5"/>
      <c r="G190" s="4"/>
      <c r="H190" s="4"/>
    </row>
    <row r="191" spans="2:8" x14ac:dyDescent="0.2">
      <c r="B191" s="5"/>
      <c r="C191" s="5"/>
      <c r="D191" s="5"/>
      <c r="E191" s="5"/>
      <c r="F191" s="5"/>
      <c r="G191" s="4"/>
      <c r="H191" s="4"/>
    </row>
    <row r="192" spans="2:8" x14ac:dyDescent="0.2">
      <c r="B192" s="5"/>
      <c r="C192" s="5"/>
      <c r="D192" s="5"/>
      <c r="E192" s="5"/>
      <c r="F192" s="5"/>
      <c r="G192" s="4"/>
      <c r="H192" s="4"/>
    </row>
    <row r="193" spans="2:8" x14ac:dyDescent="0.2">
      <c r="B193" s="5"/>
      <c r="C193" s="5"/>
      <c r="D193" s="5"/>
      <c r="E193" s="5"/>
      <c r="F193" s="5"/>
      <c r="G193" s="4"/>
      <c r="H193" s="4"/>
    </row>
    <row r="194" spans="2:8" x14ac:dyDescent="0.2">
      <c r="B194" s="5"/>
      <c r="C194" s="5"/>
      <c r="D194" s="5"/>
      <c r="E194" s="5"/>
      <c r="F194" s="5"/>
      <c r="G194" s="4"/>
      <c r="H194" s="4"/>
    </row>
    <row r="195" spans="2:8" x14ac:dyDescent="0.2">
      <c r="B195" s="5"/>
      <c r="C195" s="5"/>
      <c r="D195" s="5"/>
      <c r="E195" s="5"/>
      <c r="F195" s="5"/>
      <c r="G195" s="4"/>
      <c r="H195" s="4"/>
    </row>
    <row r="196" spans="2:8" x14ac:dyDescent="0.2">
      <c r="B196" s="5"/>
      <c r="C196" s="5"/>
      <c r="D196" s="5"/>
      <c r="E196" s="5"/>
      <c r="F196" s="5"/>
      <c r="G196" s="4"/>
      <c r="H196" s="4"/>
    </row>
    <row r="197" spans="2:8" x14ac:dyDescent="0.2">
      <c r="B197" s="5"/>
      <c r="C197" s="5"/>
      <c r="D197" s="5"/>
      <c r="E197" s="5"/>
      <c r="F197" s="5"/>
      <c r="G197" s="4"/>
      <c r="H197" s="4"/>
    </row>
    <row r="198" spans="2:8" x14ac:dyDescent="0.2">
      <c r="B198" s="5"/>
      <c r="C198" s="5"/>
      <c r="D198" s="5"/>
      <c r="E198" s="5"/>
      <c r="F198" s="5"/>
      <c r="G198" s="4"/>
      <c r="H198" s="4"/>
    </row>
    <row r="199" spans="2:8" x14ac:dyDescent="0.2">
      <c r="B199" s="5"/>
      <c r="C199" s="5"/>
      <c r="D199" s="5"/>
      <c r="E199" s="5"/>
      <c r="F199" s="5"/>
      <c r="G199" s="4"/>
      <c r="H199" s="4"/>
    </row>
    <row r="200" spans="2:8" x14ac:dyDescent="0.2">
      <c r="B200" s="5"/>
      <c r="C200" s="5"/>
      <c r="D200" s="5"/>
      <c r="E200" s="5"/>
      <c r="F200" s="5"/>
      <c r="G200" s="4"/>
      <c r="H200" s="4"/>
    </row>
    <row r="201" spans="2:8" x14ac:dyDescent="0.2">
      <c r="B201" s="5"/>
      <c r="C201" s="5"/>
      <c r="D201" s="5"/>
      <c r="E201" s="5"/>
      <c r="F201" s="5"/>
      <c r="G201" s="4"/>
      <c r="H201" s="4"/>
    </row>
    <row r="202" spans="2:8" x14ac:dyDescent="0.2">
      <c r="B202" s="5"/>
      <c r="C202" s="5"/>
      <c r="D202" s="5"/>
      <c r="E202" s="5"/>
      <c r="F202" s="5"/>
      <c r="G202" s="4"/>
      <c r="H202" s="4"/>
    </row>
    <row r="203" spans="2:8" x14ac:dyDescent="0.2">
      <c r="B203" s="5"/>
      <c r="C203" s="5"/>
      <c r="D203" s="5"/>
      <c r="E203" s="5"/>
      <c r="F203" s="5"/>
      <c r="G203" s="4"/>
      <c r="H203" s="4"/>
    </row>
    <row r="204" spans="2:8" x14ac:dyDescent="0.2">
      <c r="B204" s="5"/>
      <c r="C204" s="5"/>
      <c r="D204" s="5"/>
      <c r="E204" s="5"/>
      <c r="F204" s="5"/>
      <c r="G204" s="4"/>
      <c r="H204" s="4"/>
    </row>
    <row r="205" spans="2:8" x14ac:dyDescent="0.2">
      <c r="B205" s="5"/>
      <c r="C205" s="5"/>
      <c r="D205" s="5"/>
      <c r="E205" s="5"/>
      <c r="F205" s="5"/>
      <c r="G205" s="4"/>
      <c r="H205" s="4"/>
    </row>
    <row r="206" spans="2:8" x14ac:dyDescent="0.2">
      <c r="B206" s="5"/>
      <c r="C206" s="5"/>
      <c r="D206" s="5"/>
      <c r="E206" s="5"/>
      <c r="F206" s="5"/>
      <c r="G206" s="4"/>
      <c r="H206" s="4"/>
    </row>
    <row r="207" spans="2:8" x14ac:dyDescent="0.2">
      <c r="B207" s="5"/>
      <c r="C207" s="5"/>
      <c r="D207" s="5"/>
      <c r="E207" s="5"/>
      <c r="F207" s="5"/>
      <c r="G207" s="4"/>
      <c r="H207" s="4"/>
    </row>
    <row r="208" spans="2:8" x14ac:dyDescent="0.2">
      <c r="B208" s="5"/>
      <c r="C208" s="5"/>
      <c r="D208" s="5"/>
      <c r="E208" s="5"/>
      <c r="F208" s="5"/>
      <c r="G208" s="4"/>
      <c r="H208" s="4"/>
    </row>
    <row r="209" spans="2:8" x14ac:dyDescent="0.2">
      <c r="B209" s="5"/>
      <c r="C209" s="5"/>
      <c r="D209" s="5"/>
      <c r="E209" s="5"/>
      <c r="F209" s="5"/>
      <c r="G209" s="4"/>
      <c r="H209" s="4"/>
    </row>
    <row r="210" spans="2:8" x14ac:dyDescent="0.2">
      <c r="B210" s="5"/>
      <c r="C210" s="5"/>
      <c r="D210" s="5"/>
      <c r="E210" s="5"/>
      <c r="F210" s="5"/>
      <c r="G210" s="4"/>
      <c r="H210" s="4"/>
    </row>
    <row r="211" spans="2:8" x14ac:dyDescent="0.2">
      <c r="B211" s="5"/>
      <c r="C211" s="5"/>
      <c r="D211" s="5"/>
      <c r="E211" s="5"/>
      <c r="F211" s="5"/>
      <c r="G211" s="4"/>
      <c r="H211" s="4"/>
    </row>
    <row r="212" spans="2:8" x14ac:dyDescent="0.2">
      <c r="B212" s="5"/>
      <c r="C212" s="5"/>
      <c r="D212" s="5"/>
      <c r="E212" s="5"/>
      <c r="F212" s="5"/>
      <c r="G212" s="4"/>
      <c r="H212" s="4"/>
    </row>
    <row r="213" spans="2:8" x14ac:dyDescent="0.2">
      <c r="B213" s="5"/>
      <c r="C213" s="5"/>
      <c r="D213" s="5"/>
      <c r="E213" s="5"/>
      <c r="F213" s="5"/>
      <c r="G213" s="4"/>
      <c r="H213" s="4"/>
    </row>
    <row r="214" spans="2:8" x14ac:dyDescent="0.2">
      <c r="B214" s="5"/>
      <c r="C214" s="5"/>
      <c r="D214" s="5"/>
      <c r="E214" s="5"/>
      <c r="F214" s="5"/>
      <c r="G214" s="4"/>
      <c r="H214" s="4"/>
    </row>
    <row r="215" spans="2:8" x14ac:dyDescent="0.2">
      <c r="B215" s="5"/>
      <c r="C215" s="5"/>
      <c r="D215" s="5"/>
      <c r="E215" s="5"/>
      <c r="F215" s="5"/>
      <c r="G215" s="4"/>
      <c r="H215" s="4"/>
    </row>
    <row r="216" spans="2:8" x14ac:dyDescent="0.2">
      <c r="B216" s="5"/>
      <c r="C216" s="5"/>
      <c r="D216" s="5"/>
      <c r="E216" s="5"/>
      <c r="F216" s="5"/>
      <c r="G216" s="4"/>
      <c r="H216" s="4"/>
    </row>
    <row r="217" spans="2:8" x14ac:dyDescent="0.2">
      <c r="B217" s="5"/>
      <c r="C217" s="5"/>
      <c r="D217" s="5"/>
      <c r="E217" s="5"/>
      <c r="F217" s="5"/>
      <c r="G217" s="4"/>
      <c r="H217" s="4"/>
    </row>
    <row r="218" spans="2:8" x14ac:dyDescent="0.2">
      <c r="B218" s="5"/>
      <c r="C218" s="5"/>
      <c r="D218" s="5"/>
      <c r="E218" s="5"/>
      <c r="F218" s="5"/>
      <c r="G218" s="4"/>
      <c r="H218" s="4"/>
    </row>
    <row r="219" spans="2:8" x14ac:dyDescent="0.2">
      <c r="B219" s="5"/>
      <c r="C219" s="5"/>
      <c r="D219" s="5"/>
      <c r="E219" s="5"/>
      <c r="F219" s="5"/>
      <c r="G219" s="4"/>
      <c r="H219" s="4"/>
    </row>
    <row r="220" spans="2:8" x14ac:dyDescent="0.2">
      <c r="B220" s="5"/>
      <c r="C220" s="5"/>
      <c r="D220" s="5"/>
      <c r="E220" s="5"/>
      <c r="F220" s="5"/>
      <c r="G220" s="4"/>
      <c r="H220" s="4"/>
    </row>
    <row r="221" spans="2:8" x14ac:dyDescent="0.2">
      <c r="B221" s="5"/>
      <c r="C221" s="5"/>
      <c r="D221" s="5"/>
      <c r="E221" s="5"/>
      <c r="F221" s="5"/>
      <c r="G221" s="4"/>
      <c r="H221" s="4"/>
    </row>
    <row r="222" spans="2:8" x14ac:dyDescent="0.2">
      <c r="B222" s="5"/>
      <c r="C222" s="5"/>
      <c r="D222" s="5"/>
      <c r="E222" s="5"/>
      <c r="F222" s="5"/>
      <c r="G222" s="4"/>
      <c r="H222" s="4"/>
    </row>
    <row r="223" spans="2:8" x14ac:dyDescent="0.2">
      <c r="B223" s="5"/>
      <c r="C223" s="5"/>
      <c r="D223" s="5"/>
      <c r="E223" s="5"/>
      <c r="F223" s="5"/>
      <c r="G223" s="4"/>
      <c r="H223" s="4"/>
    </row>
    <row r="224" spans="2:8" x14ac:dyDescent="0.2">
      <c r="B224" s="5"/>
      <c r="C224" s="5"/>
      <c r="D224" s="5"/>
      <c r="E224" s="5"/>
      <c r="F224" s="5"/>
      <c r="G224" s="4"/>
      <c r="H224" s="4"/>
    </row>
    <row r="225" spans="2:8" x14ac:dyDescent="0.2">
      <c r="B225" s="5"/>
      <c r="C225" s="5"/>
      <c r="D225" s="5"/>
      <c r="E225" s="5"/>
      <c r="F225" s="5"/>
      <c r="G225" s="4"/>
      <c r="H225" s="4"/>
    </row>
    <row r="226" spans="2:8" x14ac:dyDescent="0.2">
      <c r="B226" s="5"/>
      <c r="C226" s="5"/>
      <c r="D226" s="5"/>
      <c r="E226" s="5"/>
      <c r="F226" s="5"/>
      <c r="G226" s="4"/>
      <c r="H226" s="4"/>
    </row>
    <row r="227" spans="2:8" x14ac:dyDescent="0.2">
      <c r="B227" s="5"/>
      <c r="C227" s="5"/>
      <c r="D227" s="5"/>
      <c r="E227" s="5"/>
      <c r="F227" s="5"/>
      <c r="G227" s="4"/>
      <c r="H227" s="4"/>
    </row>
    <row r="228" spans="2:8" x14ac:dyDescent="0.2">
      <c r="B228" s="5"/>
      <c r="C228" s="5"/>
      <c r="D228" s="5"/>
      <c r="E228" s="5"/>
      <c r="F228" s="5"/>
      <c r="G228" s="4"/>
      <c r="H228" s="4"/>
    </row>
    <row r="229" spans="2:8" x14ac:dyDescent="0.2">
      <c r="B229" s="5"/>
      <c r="C229" s="5"/>
      <c r="D229" s="5"/>
      <c r="E229" s="5"/>
      <c r="F229" s="5"/>
      <c r="G229" s="4"/>
      <c r="H229" s="4"/>
    </row>
    <row r="230" spans="2:8" x14ac:dyDescent="0.2">
      <c r="B230" s="5"/>
      <c r="C230" s="5"/>
      <c r="D230" s="5"/>
      <c r="E230" s="5"/>
      <c r="F230" s="5"/>
      <c r="G230" s="4"/>
      <c r="H230" s="4"/>
    </row>
    <row r="231" spans="2:8" x14ac:dyDescent="0.2">
      <c r="B231" s="5"/>
      <c r="C231" s="5"/>
      <c r="D231" s="5"/>
      <c r="E231" s="5"/>
      <c r="F231" s="5"/>
      <c r="G231" s="4"/>
      <c r="H231" s="4"/>
    </row>
    <row r="232" spans="2:8" x14ac:dyDescent="0.2">
      <c r="B232" s="5"/>
      <c r="C232" s="5"/>
      <c r="D232" s="5"/>
      <c r="E232" s="5"/>
      <c r="F232" s="5"/>
      <c r="G232" s="4"/>
      <c r="H232" s="4"/>
    </row>
    <row r="233" spans="2:8" x14ac:dyDescent="0.2">
      <c r="B233" s="5"/>
      <c r="C233" s="5"/>
      <c r="D233" s="5"/>
      <c r="E233" s="5"/>
      <c r="F233" s="5"/>
      <c r="G233" s="4"/>
      <c r="H233" s="4"/>
    </row>
    <row r="234" spans="2:8" x14ac:dyDescent="0.2">
      <c r="B234" s="5"/>
      <c r="C234" s="5"/>
      <c r="D234" s="5"/>
      <c r="E234" s="5"/>
      <c r="F234" s="5"/>
      <c r="G234" s="4"/>
      <c r="H234" s="4"/>
    </row>
    <row r="235" spans="2:8" x14ac:dyDescent="0.2">
      <c r="B235" s="5"/>
      <c r="C235" s="5"/>
      <c r="D235" s="5"/>
      <c r="E235" s="5"/>
      <c r="F235" s="5"/>
      <c r="G235" s="4"/>
      <c r="H235" s="4"/>
    </row>
    <row r="236" spans="2:8" x14ac:dyDescent="0.2">
      <c r="B236" s="5"/>
      <c r="C236" s="5"/>
      <c r="D236" s="5"/>
      <c r="E236" s="5"/>
      <c r="F236" s="5"/>
      <c r="G236" s="4"/>
      <c r="H236" s="4"/>
    </row>
    <row r="237" spans="2:8" x14ac:dyDescent="0.2">
      <c r="B237" s="5"/>
      <c r="C237" s="5"/>
      <c r="D237" s="5"/>
      <c r="E237" s="5"/>
      <c r="F237" s="5"/>
      <c r="G237" s="4"/>
      <c r="H237" s="4"/>
    </row>
    <row r="238" spans="2:8" x14ac:dyDescent="0.2">
      <c r="B238" s="5"/>
      <c r="C238" s="5"/>
      <c r="D238" s="5"/>
      <c r="E238" s="5"/>
      <c r="F238" s="5"/>
      <c r="G238" s="4"/>
      <c r="H238" s="4"/>
    </row>
    <row r="239" spans="2:8" x14ac:dyDescent="0.2">
      <c r="B239" s="5"/>
      <c r="C239" s="5"/>
      <c r="D239" s="5"/>
      <c r="E239" s="5"/>
      <c r="F239" s="5"/>
      <c r="G239" s="4"/>
      <c r="H239" s="4"/>
    </row>
    <row r="240" spans="2:8" x14ac:dyDescent="0.2">
      <c r="B240" s="5"/>
      <c r="C240" s="5"/>
      <c r="D240" s="5"/>
      <c r="E240" s="5"/>
      <c r="F240" s="5"/>
      <c r="G240" s="4"/>
      <c r="H240" s="4"/>
    </row>
    <row r="241" spans="2:8" x14ac:dyDescent="0.2">
      <c r="B241" s="5"/>
      <c r="C241" s="5"/>
      <c r="D241" s="5"/>
      <c r="E241" s="5"/>
      <c r="F241" s="5"/>
      <c r="G241" s="4"/>
      <c r="H241" s="4"/>
    </row>
    <row r="242" spans="2:8" x14ac:dyDescent="0.2">
      <c r="B242" s="5"/>
      <c r="C242" s="5"/>
      <c r="D242" s="5"/>
      <c r="E242" s="5"/>
      <c r="F242" s="5"/>
      <c r="G242" s="4"/>
      <c r="H242" s="4"/>
    </row>
    <row r="243" spans="2:8" x14ac:dyDescent="0.2">
      <c r="B243" s="5"/>
      <c r="C243" s="5"/>
      <c r="D243" s="5"/>
      <c r="E243" s="5"/>
      <c r="F243" s="5"/>
      <c r="G243" s="4"/>
      <c r="H243" s="4"/>
    </row>
    <row r="244" spans="2:8" x14ac:dyDescent="0.2">
      <c r="B244" s="5"/>
      <c r="C244" s="5"/>
      <c r="D244" s="5"/>
      <c r="E244" s="5"/>
      <c r="F244" s="5"/>
      <c r="G244" s="4"/>
      <c r="H244" s="4"/>
    </row>
    <row r="245" spans="2:8" x14ac:dyDescent="0.2">
      <c r="B245" s="5"/>
      <c r="C245" s="5"/>
      <c r="D245" s="5"/>
      <c r="E245" s="5"/>
      <c r="F245" s="5"/>
      <c r="G245" s="4"/>
      <c r="H245" s="4"/>
    </row>
    <row r="246" spans="2:8" x14ac:dyDescent="0.2">
      <c r="B246" s="5"/>
      <c r="C246" s="5"/>
      <c r="D246" s="5"/>
      <c r="E246" s="5"/>
      <c r="F246" s="5"/>
      <c r="G246" s="4"/>
      <c r="H246" s="4"/>
    </row>
    <row r="247" spans="2:8" x14ac:dyDescent="0.2">
      <c r="B247" s="5"/>
      <c r="C247" s="5"/>
      <c r="D247" s="5"/>
      <c r="E247" s="5"/>
      <c r="F247" s="5"/>
      <c r="G247" s="4"/>
      <c r="H247" s="4"/>
    </row>
    <row r="248" spans="2:8" x14ac:dyDescent="0.2">
      <c r="B248" s="5"/>
      <c r="C248" s="5"/>
      <c r="D248" s="5"/>
      <c r="E248" s="5"/>
      <c r="F248" s="5"/>
      <c r="G248" s="4"/>
      <c r="H248" s="4"/>
    </row>
    <row r="249" spans="2:8" x14ac:dyDescent="0.2">
      <c r="B249" s="5"/>
      <c r="C249" s="5"/>
      <c r="D249" s="5"/>
      <c r="E249" s="5"/>
      <c r="F249" s="5"/>
      <c r="G249" s="4"/>
      <c r="H249" s="4"/>
    </row>
    <row r="250" spans="2:8" x14ac:dyDescent="0.2">
      <c r="B250" s="5"/>
      <c r="C250" s="5"/>
      <c r="D250" s="5"/>
      <c r="E250" s="5"/>
      <c r="F250" s="5"/>
      <c r="G250" s="4"/>
      <c r="H250" s="4"/>
    </row>
    <row r="251" spans="2:8" x14ac:dyDescent="0.2">
      <c r="B251" s="5"/>
      <c r="C251" s="5"/>
      <c r="D251" s="5"/>
      <c r="E251" s="5"/>
      <c r="F251" s="5"/>
      <c r="G251" s="4"/>
      <c r="H251" s="4"/>
    </row>
    <row r="252" spans="2:8" x14ac:dyDescent="0.2">
      <c r="B252" s="5"/>
      <c r="C252" s="5"/>
      <c r="D252" s="5"/>
      <c r="E252" s="5"/>
      <c r="F252" s="5"/>
      <c r="G252" s="4"/>
      <c r="H252" s="4"/>
    </row>
    <row r="253" spans="2:8" x14ac:dyDescent="0.2">
      <c r="B253" s="5"/>
      <c r="C253" s="5"/>
      <c r="D253" s="5"/>
      <c r="E253" s="5"/>
      <c r="F253" s="5"/>
      <c r="G253" s="4"/>
      <c r="H253" s="4"/>
    </row>
    <row r="254" spans="2:8" x14ac:dyDescent="0.2">
      <c r="B254" s="5"/>
      <c r="C254" s="5"/>
      <c r="D254" s="5"/>
      <c r="E254" s="5"/>
      <c r="F254" s="5"/>
      <c r="G254" s="4"/>
      <c r="H254" s="4"/>
    </row>
    <row r="255" spans="2:8" x14ac:dyDescent="0.2">
      <c r="B255" s="5"/>
      <c r="C255" s="5"/>
      <c r="D255" s="5"/>
      <c r="E255" s="5"/>
      <c r="F255" s="5"/>
      <c r="G255" s="4"/>
      <c r="H255" s="4"/>
    </row>
    <row r="256" spans="2:8" x14ac:dyDescent="0.2">
      <c r="B256" s="5"/>
      <c r="C256" s="5"/>
      <c r="D256" s="5"/>
      <c r="E256" s="5"/>
      <c r="F256" s="5"/>
      <c r="G256" s="4"/>
      <c r="H256" s="4"/>
    </row>
    <row r="257" spans="2:8" x14ac:dyDescent="0.2">
      <c r="B257" s="5"/>
      <c r="C257" s="5"/>
      <c r="D257" s="5"/>
      <c r="E257" s="5"/>
      <c r="F257" s="5"/>
      <c r="G257" s="4"/>
      <c r="H257" s="4"/>
    </row>
    <row r="258" spans="2:8" x14ac:dyDescent="0.2">
      <c r="B258" s="5"/>
      <c r="C258" s="5"/>
      <c r="D258" s="5"/>
      <c r="E258" s="5"/>
      <c r="F258" s="5"/>
      <c r="G258" s="4"/>
      <c r="H258" s="4"/>
    </row>
    <row r="259" spans="2:8" x14ac:dyDescent="0.2">
      <c r="B259" s="5"/>
      <c r="C259" s="5"/>
      <c r="D259" s="5"/>
      <c r="E259" s="5"/>
      <c r="F259" s="5"/>
      <c r="G259" s="4"/>
      <c r="H259" s="4"/>
    </row>
    <row r="260" spans="2:8" x14ac:dyDescent="0.2">
      <c r="B260" s="5"/>
      <c r="C260" s="5"/>
      <c r="D260" s="5"/>
      <c r="E260" s="5"/>
      <c r="F260" s="5"/>
      <c r="G260" s="4"/>
      <c r="H260" s="4"/>
    </row>
    <row r="261" spans="2:8" x14ac:dyDescent="0.2">
      <c r="B261" s="5"/>
      <c r="C261" s="5"/>
      <c r="D261" s="5"/>
      <c r="E261" s="5"/>
      <c r="F261" s="5"/>
      <c r="G261" s="4"/>
      <c r="H261" s="4"/>
    </row>
    <row r="262" spans="2:8" x14ac:dyDescent="0.2">
      <c r="B262" s="5"/>
      <c r="C262" s="5"/>
      <c r="D262" s="5"/>
      <c r="E262" s="5"/>
      <c r="F262" s="5"/>
      <c r="G262" s="4"/>
      <c r="H262" s="4"/>
    </row>
    <row r="263" spans="2:8" x14ac:dyDescent="0.2">
      <c r="B263" s="5"/>
      <c r="C263" s="5"/>
      <c r="D263" s="5"/>
      <c r="E263" s="5"/>
      <c r="F263" s="5"/>
      <c r="G263" s="4"/>
      <c r="H263" s="4"/>
    </row>
    <row r="264" spans="2:8" x14ac:dyDescent="0.2">
      <c r="B264" s="5"/>
      <c r="C264" s="5"/>
      <c r="D264" s="5"/>
      <c r="E264" s="5"/>
      <c r="F264" s="5"/>
      <c r="G264" s="4"/>
      <c r="H264" s="4"/>
    </row>
    <row r="265" spans="2:8" x14ac:dyDescent="0.2">
      <c r="B265" s="5"/>
      <c r="C265" s="5"/>
      <c r="D265" s="5"/>
      <c r="E265" s="5"/>
      <c r="F265" s="5"/>
      <c r="G265" s="4"/>
      <c r="H265" s="4"/>
    </row>
    <row r="266" spans="2:8" x14ac:dyDescent="0.2">
      <c r="B266" s="5"/>
      <c r="C266" s="5"/>
      <c r="D266" s="5"/>
      <c r="E266" s="5"/>
      <c r="F266" s="5"/>
      <c r="G266" s="4"/>
      <c r="H266" s="4"/>
    </row>
    <row r="267" spans="2:8" x14ac:dyDescent="0.2">
      <c r="B267" s="5"/>
      <c r="C267" s="5"/>
      <c r="D267" s="5"/>
      <c r="E267" s="5"/>
      <c r="F267" s="5"/>
      <c r="G267" s="4"/>
      <c r="H267" s="4"/>
    </row>
    <row r="268" spans="2:8" x14ac:dyDescent="0.2">
      <c r="B268" s="5"/>
      <c r="C268" s="5"/>
      <c r="D268" s="5"/>
      <c r="E268" s="5"/>
      <c r="F268" s="5"/>
      <c r="G268" s="4"/>
      <c r="H268" s="4"/>
    </row>
    <row r="269" spans="2:8" x14ac:dyDescent="0.2">
      <c r="B269" s="5"/>
      <c r="C269" s="5"/>
      <c r="D269" s="5"/>
      <c r="E269" s="5"/>
      <c r="F269" s="5"/>
      <c r="G269" s="4"/>
      <c r="H269" s="4"/>
    </row>
    <row r="270" spans="2:8" x14ac:dyDescent="0.2">
      <c r="B270" s="5"/>
      <c r="C270" s="5"/>
      <c r="D270" s="5"/>
      <c r="E270" s="5"/>
      <c r="F270" s="5"/>
      <c r="G270" s="4"/>
      <c r="H270" s="4"/>
    </row>
    <row r="271" spans="2:8" x14ac:dyDescent="0.2">
      <c r="B271" s="5"/>
      <c r="C271" s="5"/>
      <c r="D271" s="5"/>
      <c r="E271" s="5"/>
      <c r="F271" s="5"/>
      <c r="G271" s="4"/>
      <c r="H271" s="4"/>
    </row>
    <row r="272" spans="2:8" x14ac:dyDescent="0.2">
      <c r="B272" s="5"/>
      <c r="C272" s="5"/>
      <c r="D272" s="5"/>
      <c r="E272" s="5"/>
      <c r="F272" s="5"/>
      <c r="G272" s="4"/>
      <c r="H272" s="4"/>
    </row>
    <row r="273" spans="2:8" x14ac:dyDescent="0.2">
      <c r="B273" s="5"/>
      <c r="C273" s="5"/>
      <c r="D273" s="5"/>
      <c r="E273" s="5"/>
      <c r="F273" s="5"/>
      <c r="G273" s="4"/>
      <c r="H273" s="4"/>
    </row>
    <row r="274" spans="2:8" x14ac:dyDescent="0.2">
      <c r="B274" s="5"/>
      <c r="C274" s="5"/>
      <c r="D274" s="5"/>
      <c r="E274" s="5"/>
      <c r="F274" s="5"/>
      <c r="G274" s="4"/>
      <c r="H274" s="4"/>
    </row>
    <row r="275" spans="2:8" x14ac:dyDescent="0.2">
      <c r="B275" s="5"/>
      <c r="C275" s="5"/>
      <c r="D275" s="5"/>
      <c r="E275" s="5"/>
      <c r="F275" s="5"/>
      <c r="G275" s="4"/>
      <c r="H275" s="4"/>
    </row>
    <row r="276" spans="2:8" x14ac:dyDescent="0.2">
      <c r="B276" s="5"/>
      <c r="C276" s="5"/>
      <c r="D276" s="5"/>
      <c r="E276" s="5"/>
      <c r="F276" s="5"/>
      <c r="G276" s="4"/>
      <c r="H276" s="4"/>
    </row>
    <row r="277" spans="2:8" x14ac:dyDescent="0.2">
      <c r="B277" s="5"/>
      <c r="C277" s="5"/>
      <c r="D277" s="5"/>
      <c r="E277" s="5"/>
      <c r="F277" s="5"/>
      <c r="G277" s="4"/>
      <c r="H277" s="4"/>
    </row>
    <row r="278" spans="2:8" x14ac:dyDescent="0.2">
      <c r="B278" s="5"/>
      <c r="C278" s="5"/>
      <c r="D278" s="5"/>
      <c r="E278" s="5"/>
      <c r="F278" s="5"/>
      <c r="G278" s="4"/>
      <c r="H278" s="4"/>
    </row>
    <row r="279" spans="2:8" x14ac:dyDescent="0.2">
      <c r="B279" s="5"/>
      <c r="C279" s="5"/>
      <c r="D279" s="5"/>
      <c r="E279" s="5"/>
      <c r="F279" s="5"/>
      <c r="G279" s="4"/>
      <c r="H279" s="4"/>
    </row>
    <row r="280" spans="2:8" x14ac:dyDescent="0.2">
      <c r="B280" s="5"/>
      <c r="C280" s="5"/>
      <c r="D280" s="5"/>
      <c r="E280" s="5"/>
      <c r="F280" s="5"/>
      <c r="G280" s="4"/>
      <c r="H280" s="4"/>
    </row>
    <row r="281" spans="2:8" x14ac:dyDescent="0.2">
      <c r="B281" s="5"/>
      <c r="C281" s="5"/>
      <c r="D281" s="5"/>
      <c r="E281" s="5"/>
      <c r="F281" s="5"/>
      <c r="G281" s="4"/>
      <c r="H281" s="4"/>
    </row>
    <row r="282" spans="2:8" x14ac:dyDescent="0.2">
      <c r="B282" s="5"/>
      <c r="C282" s="5"/>
      <c r="D282" s="5"/>
      <c r="E282" s="5"/>
      <c r="F282" s="5"/>
      <c r="G282" s="4"/>
      <c r="H282" s="4"/>
    </row>
    <row r="283" spans="2:8" x14ac:dyDescent="0.2">
      <c r="B283" s="5"/>
      <c r="C283" s="5"/>
      <c r="D283" s="5"/>
      <c r="E283" s="5"/>
      <c r="F283" s="5"/>
      <c r="G283" s="4"/>
      <c r="H283" s="4"/>
    </row>
    <row r="284" spans="2:8" x14ac:dyDescent="0.2">
      <c r="B284" s="5"/>
      <c r="C284" s="5"/>
      <c r="D284" s="5"/>
      <c r="E284" s="5"/>
      <c r="F284" s="5"/>
      <c r="G284" s="4"/>
      <c r="H284" s="4"/>
    </row>
    <row r="285" spans="2:8" x14ac:dyDescent="0.2">
      <c r="B285" s="5"/>
      <c r="C285" s="5"/>
      <c r="D285" s="5"/>
      <c r="E285" s="5"/>
      <c r="F285" s="5"/>
      <c r="G285" s="4"/>
      <c r="H285" s="4"/>
    </row>
    <row r="286" spans="2:8" x14ac:dyDescent="0.2">
      <c r="B286" s="5"/>
      <c r="C286" s="5"/>
      <c r="D286" s="5"/>
      <c r="E286" s="5"/>
      <c r="F286" s="5"/>
      <c r="G286" s="4"/>
      <c r="H286" s="4"/>
    </row>
    <row r="287" spans="2:8" x14ac:dyDescent="0.2">
      <c r="B287" s="5"/>
      <c r="C287" s="5"/>
      <c r="D287" s="5"/>
      <c r="E287" s="5"/>
      <c r="F287" s="5"/>
      <c r="G287" s="4"/>
      <c r="H287" s="4"/>
    </row>
    <row r="288" spans="2:8" x14ac:dyDescent="0.2">
      <c r="B288" s="5"/>
      <c r="C288" s="5"/>
      <c r="D288" s="5"/>
      <c r="E288" s="5"/>
      <c r="F288" s="5"/>
      <c r="G288" s="4"/>
      <c r="H288" s="4"/>
    </row>
    <row r="289" spans="2:8" x14ac:dyDescent="0.2">
      <c r="B289" s="5"/>
      <c r="C289" s="5"/>
      <c r="D289" s="5"/>
      <c r="E289" s="5"/>
      <c r="F289" s="5"/>
      <c r="G289" s="4"/>
      <c r="H289" s="4"/>
    </row>
    <row r="290" spans="2:8" x14ac:dyDescent="0.2">
      <c r="B290" s="5"/>
      <c r="C290" s="5"/>
      <c r="D290" s="5"/>
      <c r="E290" s="5"/>
      <c r="F290" s="5"/>
      <c r="G290" s="4"/>
      <c r="H290" s="4"/>
    </row>
    <row r="291" spans="2:8" x14ac:dyDescent="0.2">
      <c r="B291" s="5"/>
      <c r="C291" s="5"/>
      <c r="D291" s="5"/>
      <c r="E291" s="5"/>
      <c r="F291" s="5"/>
      <c r="G291" s="4"/>
      <c r="H291" s="4"/>
    </row>
    <row r="292" spans="2:8" x14ac:dyDescent="0.2">
      <c r="B292" s="5"/>
      <c r="C292" s="5"/>
      <c r="D292" s="5"/>
      <c r="E292" s="5"/>
      <c r="F292" s="5"/>
      <c r="G292" s="4"/>
      <c r="H292" s="4"/>
    </row>
    <row r="293" spans="2:8" x14ac:dyDescent="0.2">
      <c r="B293" s="5"/>
      <c r="C293" s="5"/>
      <c r="D293" s="5"/>
      <c r="E293" s="5"/>
      <c r="F293" s="5"/>
      <c r="G293" s="4"/>
      <c r="H293" s="4"/>
    </row>
    <row r="294" spans="2:8" x14ac:dyDescent="0.2">
      <c r="B294" s="5"/>
      <c r="C294" s="5"/>
      <c r="D294" s="5"/>
      <c r="E294" s="5"/>
      <c r="F294" s="5"/>
      <c r="G294" s="4"/>
      <c r="H294" s="4"/>
    </row>
    <row r="295" spans="2:8" x14ac:dyDescent="0.2">
      <c r="B295" s="5"/>
      <c r="C295" s="5"/>
      <c r="D295" s="5"/>
      <c r="E295" s="5"/>
      <c r="F295" s="5"/>
      <c r="G295" s="4"/>
      <c r="H295" s="4"/>
    </row>
    <row r="296" spans="2:8" x14ac:dyDescent="0.2">
      <c r="B296" s="5"/>
      <c r="C296" s="5"/>
      <c r="D296" s="5"/>
      <c r="E296" s="5"/>
      <c r="F296" s="5"/>
      <c r="G296" s="4"/>
      <c r="H296" s="4"/>
    </row>
    <row r="297" spans="2:8" x14ac:dyDescent="0.2">
      <c r="B297" s="5"/>
      <c r="C297" s="5"/>
      <c r="D297" s="5"/>
      <c r="E297" s="5"/>
      <c r="F297" s="5"/>
      <c r="G297" s="4"/>
      <c r="H297" s="4"/>
    </row>
    <row r="298" spans="2:8" x14ac:dyDescent="0.2">
      <c r="B298" s="5"/>
      <c r="C298" s="5"/>
      <c r="D298" s="5"/>
      <c r="E298" s="5"/>
      <c r="F298" s="5"/>
      <c r="G298" s="4"/>
      <c r="H298" s="4"/>
    </row>
    <row r="299" spans="2:8" x14ac:dyDescent="0.2">
      <c r="B299" s="5"/>
      <c r="C299" s="5"/>
      <c r="D299" s="5"/>
      <c r="E299" s="5"/>
      <c r="F299" s="5"/>
      <c r="G299" s="4"/>
      <c r="H299" s="4"/>
    </row>
    <row r="300" spans="2:8" x14ac:dyDescent="0.2">
      <c r="B300" s="5"/>
      <c r="C300" s="5"/>
      <c r="D300" s="5"/>
      <c r="E300" s="5"/>
      <c r="F300" s="5"/>
      <c r="G300" s="4"/>
      <c r="H300" s="4"/>
    </row>
    <row r="301" spans="2:8" x14ac:dyDescent="0.2">
      <c r="B301" s="5"/>
      <c r="C301" s="5"/>
      <c r="D301" s="5"/>
      <c r="E301" s="5"/>
      <c r="F301" s="5"/>
      <c r="G301" s="4"/>
      <c r="H301" s="4"/>
    </row>
    <row r="302" spans="2:8" x14ac:dyDescent="0.2">
      <c r="B302" s="5"/>
      <c r="C302" s="5"/>
      <c r="D302" s="5"/>
      <c r="E302" s="5"/>
      <c r="F302" s="5"/>
      <c r="G302" s="4"/>
      <c r="H302" s="4"/>
    </row>
    <row r="303" spans="2:8" x14ac:dyDescent="0.2">
      <c r="B303" s="5"/>
      <c r="C303" s="5"/>
      <c r="D303" s="5"/>
      <c r="E303" s="5"/>
      <c r="F303" s="5"/>
      <c r="G303" s="4"/>
      <c r="H303" s="4"/>
    </row>
    <row r="304" spans="2:8" x14ac:dyDescent="0.2">
      <c r="B304" s="5"/>
      <c r="C304" s="5"/>
      <c r="D304" s="5"/>
      <c r="E304" s="5"/>
      <c r="F304" s="5"/>
      <c r="G304" s="4"/>
      <c r="H304" s="4"/>
    </row>
    <row r="305" spans="2:8" x14ac:dyDescent="0.2">
      <c r="B305" s="5"/>
      <c r="C305" s="5"/>
      <c r="D305" s="5"/>
      <c r="E305" s="5"/>
      <c r="F305" s="5"/>
      <c r="G305" s="4"/>
      <c r="H305" s="4"/>
    </row>
    <row r="306" spans="2:8" x14ac:dyDescent="0.2">
      <c r="B306" s="5"/>
      <c r="C306" s="5"/>
      <c r="D306" s="5"/>
      <c r="E306" s="5"/>
      <c r="F306" s="5"/>
      <c r="G306" s="4"/>
      <c r="H306" s="4"/>
    </row>
    <row r="307" spans="2:8" x14ac:dyDescent="0.2">
      <c r="B307" s="5"/>
      <c r="C307" s="5"/>
      <c r="D307" s="5"/>
      <c r="E307" s="5"/>
      <c r="F307" s="5"/>
      <c r="G307" s="4"/>
      <c r="H307" s="4"/>
    </row>
    <row r="308" spans="2:8" x14ac:dyDescent="0.2">
      <c r="B308" s="5"/>
      <c r="C308" s="5"/>
      <c r="D308" s="5"/>
      <c r="E308" s="5"/>
      <c r="F308" s="5"/>
      <c r="G308" s="4"/>
      <c r="H308" s="4"/>
    </row>
    <row r="309" spans="2:8" x14ac:dyDescent="0.2">
      <c r="B309" s="5"/>
      <c r="C309" s="5"/>
      <c r="D309" s="5"/>
      <c r="E309" s="5"/>
      <c r="F309" s="5"/>
      <c r="G309" s="4"/>
      <c r="H309" s="4"/>
    </row>
    <row r="310" spans="2:8" x14ac:dyDescent="0.2">
      <c r="B310" s="5"/>
      <c r="C310" s="5"/>
      <c r="D310" s="5"/>
      <c r="E310" s="5"/>
      <c r="F310" s="5"/>
      <c r="G310" s="4"/>
      <c r="H310" s="4"/>
    </row>
    <row r="311" spans="2:8" x14ac:dyDescent="0.2">
      <c r="B311" s="5"/>
      <c r="C311" s="5"/>
      <c r="D311" s="5"/>
      <c r="E311" s="5"/>
      <c r="F311" s="5"/>
      <c r="G311" s="4"/>
      <c r="H311" s="4"/>
    </row>
    <row r="312" spans="2:8" x14ac:dyDescent="0.2">
      <c r="B312" s="5"/>
      <c r="C312" s="5"/>
      <c r="D312" s="5"/>
      <c r="E312" s="5"/>
      <c r="F312" s="5"/>
      <c r="G312" s="4"/>
      <c r="H312" s="4"/>
    </row>
    <row r="313" spans="2:8" x14ac:dyDescent="0.2">
      <c r="B313" s="5"/>
      <c r="C313" s="5"/>
      <c r="D313" s="5"/>
      <c r="E313" s="5"/>
      <c r="F313" s="5"/>
      <c r="G313" s="4"/>
      <c r="H313" s="4"/>
    </row>
    <row r="314" spans="2:8" x14ac:dyDescent="0.2">
      <c r="B314" s="5"/>
      <c r="C314" s="5"/>
      <c r="D314" s="5"/>
      <c r="E314" s="5"/>
      <c r="F314" s="5"/>
      <c r="G314" s="4"/>
      <c r="H314" s="4"/>
    </row>
    <row r="315" spans="2:8" x14ac:dyDescent="0.2">
      <c r="B315" s="5"/>
      <c r="C315" s="5"/>
      <c r="D315" s="5"/>
      <c r="E315" s="5"/>
      <c r="F315" s="5"/>
      <c r="G315" s="4"/>
      <c r="H315" s="4"/>
    </row>
    <row r="316" spans="2:8" x14ac:dyDescent="0.2">
      <c r="B316" s="5"/>
      <c r="C316" s="5"/>
      <c r="D316" s="5"/>
      <c r="E316" s="5"/>
      <c r="F316" s="5"/>
      <c r="G316" s="4"/>
      <c r="H316" s="4"/>
    </row>
    <row r="317" spans="2:8" x14ac:dyDescent="0.2">
      <c r="B317" s="5"/>
      <c r="C317" s="5"/>
      <c r="D317" s="5"/>
      <c r="E317" s="5"/>
      <c r="F317" s="5"/>
      <c r="G317" s="4"/>
      <c r="H317" s="4"/>
    </row>
    <row r="318" spans="2:8" x14ac:dyDescent="0.2">
      <c r="B318" s="5"/>
      <c r="C318" s="5"/>
      <c r="D318" s="5"/>
      <c r="E318" s="5"/>
      <c r="F318" s="5"/>
      <c r="G318" s="4"/>
      <c r="H318" s="4"/>
    </row>
    <row r="319" spans="2:8" x14ac:dyDescent="0.2">
      <c r="B319" s="5"/>
      <c r="C319" s="5"/>
      <c r="D319" s="5"/>
      <c r="E319" s="5"/>
      <c r="F319" s="5"/>
      <c r="G319" s="4"/>
      <c r="H319" s="4"/>
    </row>
    <row r="320" spans="2:8" x14ac:dyDescent="0.2">
      <c r="B320" s="5"/>
      <c r="C320" s="5"/>
      <c r="D320" s="5"/>
      <c r="E320" s="5"/>
      <c r="F320" s="5"/>
      <c r="G320" s="4"/>
      <c r="H320" s="4"/>
    </row>
    <row r="321" spans="2:8" x14ac:dyDescent="0.2">
      <c r="B321" s="5"/>
      <c r="C321" s="5"/>
      <c r="D321" s="5"/>
      <c r="E321" s="5"/>
      <c r="F321" s="5"/>
      <c r="G321" s="4"/>
      <c r="H321" s="4"/>
    </row>
    <row r="322" spans="2:8" x14ac:dyDescent="0.2">
      <c r="B322" s="5"/>
      <c r="C322" s="5"/>
      <c r="D322" s="5"/>
      <c r="E322" s="5"/>
      <c r="F322" s="5"/>
      <c r="G322" s="4"/>
      <c r="H322" s="4"/>
    </row>
    <row r="323" spans="2:8" x14ac:dyDescent="0.2">
      <c r="B323" s="5"/>
      <c r="C323" s="5"/>
      <c r="D323" s="5"/>
      <c r="E323" s="5"/>
      <c r="F323" s="5"/>
      <c r="G323" s="4"/>
      <c r="H323" s="4"/>
    </row>
    <row r="324" spans="2:8" x14ac:dyDescent="0.2">
      <c r="B324" s="5"/>
      <c r="C324" s="5"/>
      <c r="D324" s="5"/>
      <c r="E324" s="5"/>
      <c r="F324" s="5"/>
      <c r="G324" s="4"/>
      <c r="H324" s="4"/>
    </row>
    <row r="325" spans="2:8" x14ac:dyDescent="0.2">
      <c r="B325" s="5"/>
      <c r="C325" s="5"/>
      <c r="D325" s="5"/>
      <c r="E325" s="5"/>
      <c r="F325" s="5"/>
      <c r="G325" s="4"/>
      <c r="H325" s="4"/>
    </row>
    <row r="326" spans="2:8" x14ac:dyDescent="0.2">
      <c r="B326" s="5"/>
      <c r="C326" s="5"/>
      <c r="D326" s="5"/>
      <c r="E326" s="5"/>
      <c r="F326" s="5"/>
      <c r="G326" s="4"/>
      <c r="H326" s="4"/>
    </row>
    <row r="327" spans="2:8" x14ac:dyDescent="0.2">
      <c r="B327" s="5"/>
      <c r="C327" s="5"/>
      <c r="D327" s="5"/>
      <c r="E327" s="5"/>
      <c r="F327" s="5"/>
      <c r="G327" s="4"/>
      <c r="H327" s="4"/>
    </row>
    <row r="328" spans="2:8" x14ac:dyDescent="0.2">
      <c r="B328" s="5"/>
      <c r="C328" s="5"/>
      <c r="D328" s="5"/>
      <c r="E328" s="5"/>
      <c r="F328" s="5"/>
      <c r="G328" s="4"/>
      <c r="H328" s="4"/>
    </row>
    <row r="329" spans="2:8" x14ac:dyDescent="0.2">
      <c r="B329" s="5"/>
      <c r="C329" s="5"/>
      <c r="D329" s="5"/>
      <c r="E329" s="5"/>
      <c r="F329" s="5"/>
      <c r="G329" s="4"/>
      <c r="H329" s="4"/>
    </row>
    <row r="330" spans="2:8" x14ac:dyDescent="0.2">
      <c r="B330" s="5"/>
      <c r="C330" s="5"/>
      <c r="D330" s="5"/>
      <c r="E330" s="5"/>
      <c r="F330" s="5"/>
      <c r="G330" s="4"/>
      <c r="H330" s="4"/>
    </row>
    <row r="331" spans="2:8" x14ac:dyDescent="0.2">
      <c r="B331" s="5"/>
      <c r="C331" s="5"/>
      <c r="D331" s="5"/>
      <c r="E331" s="5"/>
      <c r="F331" s="5"/>
      <c r="G331" s="4"/>
      <c r="H331" s="4"/>
    </row>
    <row r="332" spans="2:8" x14ac:dyDescent="0.2">
      <c r="B332" s="5"/>
      <c r="C332" s="5"/>
      <c r="D332" s="5"/>
      <c r="E332" s="5"/>
      <c r="F332" s="5"/>
      <c r="G332" s="4"/>
      <c r="H332" s="4"/>
    </row>
    <row r="333" spans="2:8" x14ac:dyDescent="0.2">
      <c r="B333" s="5"/>
      <c r="C333" s="5"/>
      <c r="D333" s="5"/>
      <c r="E333" s="5"/>
      <c r="F333" s="5"/>
      <c r="G333" s="4"/>
      <c r="H333" s="4"/>
    </row>
    <row r="334" spans="2:8" x14ac:dyDescent="0.2">
      <c r="B334" s="5"/>
      <c r="C334" s="5"/>
      <c r="D334" s="5"/>
      <c r="E334" s="5"/>
      <c r="F334" s="5"/>
      <c r="G334" s="4"/>
      <c r="H334" s="4"/>
    </row>
    <row r="335" spans="2:8" x14ac:dyDescent="0.2">
      <c r="B335" s="5"/>
      <c r="C335" s="5"/>
      <c r="D335" s="5"/>
      <c r="E335" s="5"/>
      <c r="F335" s="5"/>
      <c r="G335" s="4"/>
      <c r="H335" s="4"/>
    </row>
    <row r="336" spans="2:8" x14ac:dyDescent="0.2">
      <c r="B336" s="5"/>
      <c r="C336" s="5"/>
      <c r="D336" s="5"/>
      <c r="E336" s="5"/>
      <c r="F336" s="5"/>
      <c r="G336" s="4"/>
      <c r="H336" s="4"/>
    </row>
    <row r="337" spans="2:8" x14ac:dyDescent="0.2">
      <c r="B337" s="5"/>
      <c r="C337" s="5"/>
      <c r="D337" s="5"/>
      <c r="E337" s="5"/>
      <c r="F337" s="5"/>
      <c r="G337" s="4"/>
      <c r="H337" s="4"/>
    </row>
    <row r="338" spans="2:8" x14ac:dyDescent="0.2">
      <c r="B338" s="5"/>
      <c r="C338" s="5"/>
      <c r="D338" s="5"/>
      <c r="E338" s="5"/>
      <c r="F338" s="5"/>
      <c r="G338" s="4"/>
      <c r="H338" s="4"/>
    </row>
    <row r="339" spans="2:8" x14ac:dyDescent="0.2">
      <c r="B339" s="5"/>
      <c r="C339" s="5"/>
      <c r="D339" s="5"/>
      <c r="E339" s="5"/>
      <c r="F339" s="5"/>
      <c r="G339" s="4"/>
      <c r="H339" s="4"/>
    </row>
    <row r="340" spans="2:8" x14ac:dyDescent="0.2">
      <c r="B340" s="5"/>
      <c r="C340" s="5"/>
      <c r="D340" s="5"/>
      <c r="E340" s="5"/>
      <c r="F340" s="5"/>
      <c r="G340" s="4"/>
      <c r="H340" s="4"/>
    </row>
    <row r="341" spans="2:8" x14ac:dyDescent="0.2">
      <c r="B341" s="5"/>
      <c r="C341" s="5"/>
      <c r="D341" s="5"/>
      <c r="E341" s="5"/>
      <c r="F341" s="5"/>
      <c r="G341" s="4"/>
      <c r="H341" s="4"/>
    </row>
    <row r="342" spans="2:8" x14ac:dyDescent="0.2">
      <c r="B342" s="5"/>
      <c r="C342" s="5"/>
      <c r="D342" s="5"/>
      <c r="E342" s="5"/>
      <c r="F342" s="5"/>
      <c r="G342" s="4"/>
      <c r="H342" s="4"/>
    </row>
    <row r="343" spans="2:8" x14ac:dyDescent="0.2">
      <c r="B343" s="5"/>
      <c r="C343" s="5"/>
      <c r="D343" s="5"/>
      <c r="E343" s="5"/>
      <c r="F343" s="5"/>
      <c r="G343" s="4"/>
      <c r="H343" s="4"/>
    </row>
    <row r="344" spans="2:8" x14ac:dyDescent="0.2">
      <c r="B344" s="5"/>
      <c r="C344" s="5"/>
      <c r="D344" s="5"/>
      <c r="E344" s="5"/>
      <c r="F344" s="5"/>
      <c r="G344" s="4"/>
      <c r="H344" s="4"/>
    </row>
    <row r="345" spans="2:8" x14ac:dyDescent="0.2">
      <c r="B345" s="5"/>
      <c r="C345" s="5"/>
      <c r="D345" s="5"/>
      <c r="E345" s="5"/>
      <c r="F345" s="5"/>
      <c r="G345" s="4"/>
      <c r="H345" s="4"/>
    </row>
    <row r="346" spans="2:8" x14ac:dyDescent="0.2">
      <c r="B346" s="5"/>
      <c r="C346" s="5"/>
      <c r="D346" s="5"/>
      <c r="E346" s="5"/>
      <c r="F346" s="5"/>
      <c r="G346" s="4"/>
      <c r="H346" s="4"/>
    </row>
    <row r="347" spans="2:8" x14ac:dyDescent="0.2">
      <c r="B347" s="5"/>
      <c r="C347" s="5"/>
      <c r="D347" s="5"/>
      <c r="E347" s="5"/>
      <c r="F347" s="5"/>
      <c r="G347" s="4"/>
      <c r="H347" s="4"/>
    </row>
    <row r="348" spans="2:8" x14ac:dyDescent="0.2">
      <c r="B348" s="5"/>
      <c r="C348" s="5"/>
      <c r="D348" s="5"/>
      <c r="E348" s="5"/>
      <c r="F348" s="5"/>
      <c r="G348" s="4"/>
      <c r="H348" s="4"/>
    </row>
    <row r="349" spans="2:8" x14ac:dyDescent="0.2">
      <c r="B349" s="5"/>
      <c r="C349" s="5"/>
      <c r="D349" s="5"/>
      <c r="E349" s="5"/>
      <c r="F349" s="5"/>
      <c r="G349" s="4"/>
      <c r="H349" s="4"/>
    </row>
    <row r="350" spans="2:8" x14ac:dyDescent="0.2">
      <c r="B350" s="5"/>
      <c r="C350" s="5"/>
      <c r="D350" s="5"/>
      <c r="E350" s="5"/>
      <c r="F350" s="5"/>
      <c r="G350" s="4"/>
      <c r="H350" s="4"/>
    </row>
    <row r="351" spans="2:8" x14ac:dyDescent="0.2">
      <c r="B351" s="5"/>
      <c r="C351" s="5"/>
      <c r="D351" s="5"/>
      <c r="E351" s="5"/>
      <c r="F351" s="5"/>
      <c r="G351" s="4"/>
      <c r="H351" s="4"/>
    </row>
    <row r="352" spans="2:8" x14ac:dyDescent="0.2">
      <c r="B352" s="5"/>
      <c r="C352" s="5"/>
      <c r="D352" s="5"/>
      <c r="E352" s="5"/>
      <c r="F352" s="5"/>
      <c r="G352" s="4"/>
      <c r="H352" s="4"/>
    </row>
    <row r="353" spans="2:8" x14ac:dyDescent="0.2">
      <c r="B353" s="5"/>
      <c r="C353" s="5"/>
      <c r="D353" s="5"/>
      <c r="E353" s="5"/>
      <c r="F353" s="5"/>
      <c r="G353" s="4"/>
      <c r="H353" s="4"/>
    </row>
    <row r="354" spans="2:8" x14ac:dyDescent="0.2">
      <c r="B354" s="5"/>
      <c r="C354" s="5"/>
      <c r="D354" s="5"/>
      <c r="E354" s="5"/>
      <c r="F354" s="5"/>
      <c r="G354" s="4"/>
      <c r="H354" s="4"/>
    </row>
    <row r="355" spans="2:8" x14ac:dyDescent="0.2">
      <c r="B355" s="5"/>
      <c r="C355" s="5"/>
      <c r="D355" s="5"/>
      <c r="E355" s="5"/>
      <c r="F355" s="5"/>
      <c r="G355" s="4"/>
      <c r="H355" s="4"/>
    </row>
    <row r="356" spans="2:8" x14ac:dyDescent="0.2">
      <c r="B356" s="5"/>
      <c r="C356" s="5"/>
      <c r="D356" s="5"/>
      <c r="E356" s="5"/>
      <c r="F356" s="5"/>
      <c r="G356" s="4"/>
      <c r="H356" s="4"/>
    </row>
    <row r="357" spans="2:8" x14ac:dyDescent="0.2">
      <c r="B357" s="5"/>
      <c r="C357" s="5"/>
      <c r="D357" s="5"/>
      <c r="E357" s="5"/>
      <c r="F357" s="5"/>
      <c r="G357" s="4"/>
      <c r="H357" s="4"/>
    </row>
    <row r="358" spans="2:8" x14ac:dyDescent="0.2">
      <c r="B358" s="5"/>
      <c r="C358" s="5"/>
      <c r="D358" s="5"/>
      <c r="E358" s="5"/>
      <c r="F358" s="5"/>
      <c r="G358" s="4"/>
      <c r="H358" s="4"/>
    </row>
    <row r="359" spans="2:8" x14ac:dyDescent="0.2">
      <c r="B359" s="5"/>
      <c r="C359" s="5"/>
      <c r="D359" s="5"/>
      <c r="E359" s="5"/>
      <c r="F359" s="5"/>
      <c r="G359" s="4"/>
      <c r="H359" s="4"/>
    </row>
    <row r="360" spans="2:8" x14ac:dyDescent="0.2">
      <c r="B360" s="5"/>
      <c r="C360" s="5"/>
      <c r="D360" s="5"/>
      <c r="E360" s="5"/>
      <c r="F360" s="5"/>
      <c r="G360" s="4"/>
      <c r="H360" s="4"/>
    </row>
    <row r="361" spans="2:8" x14ac:dyDescent="0.2">
      <c r="B361" s="5"/>
      <c r="C361" s="5"/>
      <c r="D361" s="5"/>
      <c r="E361" s="5"/>
      <c r="F361" s="5"/>
      <c r="G361" s="4"/>
      <c r="H361" s="4"/>
    </row>
    <row r="362" spans="2:8" x14ac:dyDescent="0.2">
      <c r="B362" s="5"/>
      <c r="C362" s="5"/>
      <c r="D362" s="5"/>
      <c r="E362" s="5"/>
      <c r="F362" s="5"/>
      <c r="G362" s="4"/>
      <c r="H362" s="4"/>
    </row>
    <row r="363" spans="2:8" x14ac:dyDescent="0.2">
      <c r="B363" s="5"/>
      <c r="C363" s="5"/>
      <c r="D363" s="5"/>
      <c r="E363" s="5"/>
      <c r="F363" s="5"/>
      <c r="G363" s="4"/>
      <c r="H363" s="4"/>
    </row>
    <row r="364" spans="2:8" x14ac:dyDescent="0.2">
      <c r="B364" s="5"/>
      <c r="C364" s="5"/>
      <c r="D364" s="5"/>
      <c r="E364" s="5"/>
      <c r="F364" s="5"/>
      <c r="G364" s="4"/>
      <c r="H364" s="4"/>
    </row>
    <row r="365" spans="2:8" x14ac:dyDescent="0.2">
      <c r="B365" s="5"/>
      <c r="C365" s="5"/>
      <c r="D365" s="5"/>
      <c r="E365" s="5"/>
      <c r="F365" s="5"/>
      <c r="G365" s="4"/>
      <c r="H365" s="4"/>
    </row>
    <row r="366" spans="2:8" x14ac:dyDescent="0.2">
      <c r="B366" s="5"/>
      <c r="C366" s="5"/>
      <c r="D366" s="5"/>
      <c r="E366" s="5"/>
      <c r="F366" s="5"/>
      <c r="G366" s="4"/>
      <c r="H366" s="4"/>
    </row>
    <row r="367" spans="2:8" x14ac:dyDescent="0.2">
      <c r="B367" s="5"/>
      <c r="C367" s="5"/>
      <c r="D367" s="5"/>
      <c r="E367" s="5"/>
      <c r="F367" s="5"/>
      <c r="G367" s="4"/>
      <c r="H367" s="4"/>
    </row>
    <row r="368" spans="2:8" x14ac:dyDescent="0.2">
      <c r="B368" s="5"/>
      <c r="C368" s="5"/>
      <c r="D368" s="5"/>
      <c r="E368" s="5"/>
      <c r="F368" s="5"/>
      <c r="G368" s="4"/>
      <c r="H368" s="4"/>
    </row>
    <row r="369" spans="2:8" x14ac:dyDescent="0.2">
      <c r="B369" s="5"/>
      <c r="C369" s="5"/>
      <c r="D369" s="5"/>
      <c r="E369" s="5"/>
      <c r="F369" s="5"/>
      <c r="G369" s="4"/>
      <c r="H369" s="4"/>
    </row>
    <row r="370" spans="2:8" x14ac:dyDescent="0.2">
      <c r="B370" s="5"/>
      <c r="C370" s="5"/>
      <c r="D370" s="5"/>
      <c r="E370" s="5"/>
      <c r="F370" s="5"/>
      <c r="G370" s="4"/>
      <c r="H370" s="4"/>
    </row>
    <row r="371" spans="2:8" x14ac:dyDescent="0.2">
      <c r="B371" s="5"/>
      <c r="C371" s="5"/>
      <c r="D371" s="5"/>
      <c r="E371" s="5"/>
      <c r="F371" s="5"/>
      <c r="G371" s="4"/>
      <c r="H371" s="4"/>
    </row>
    <row r="372" spans="2:8" x14ac:dyDescent="0.2">
      <c r="B372" s="5"/>
      <c r="C372" s="5"/>
      <c r="D372" s="5"/>
      <c r="E372" s="5"/>
      <c r="F372" s="5"/>
      <c r="G372" s="4"/>
      <c r="H372" s="4"/>
    </row>
    <row r="373" spans="2:8" x14ac:dyDescent="0.2">
      <c r="B373" s="5"/>
      <c r="C373" s="5"/>
      <c r="D373" s="5"/>
      <c r="E373" s="5"/>
      <c r="F373" s="5"/>
      <c r="G373" s="4"/>
      <c r="H373" s="4"/>
    </row>
    <row r="374" spans="2:8" x14ac:dyDescent="0.2">
      <c r="B374" s="5"/>
      <c r="C374" s="5"/>
      <c r="D374" s="5"/>
      <c r="E374" s="5"/>
      <c r="F374" s="5"/>
      <c r="G374" s="4"/>
      <c r="H374" s="4"/>
    </row>
    <row r="375" spans="2:8" x14ac:dyDescent="0.2">
      <c r="B375" s="5"/>
      <c r="C375" s="5"/>
      <c r="D375" s="5"/>
      <c r="E375" s="5"/>
      <c r="F375" s="5"/>
      <c r="G375" s="4"/>
      <c r="H375" s="4"/>
    </row>
    <row r="376" spans="2:8" x14ac:dyDescent="0.2">
      <c r="B376" s="5"/>
      <c r="C376" s="5"/>
      <c r="D376" s="5"/>
      <c r="E376" s="5"/>
      <c r="F376" s="5"/>
      <c r="G376" s="4"/>
      <c r="H376" s="4"/>
    </row>
    <row r="377" spans="2:8" x14ac:dyDescent="0.2">
      <c r="B377" s="5"/>
      <c r="C377" s="5"/>
      <c r="D377" s="5"/>
      <c r="E377" s="5"/>
      <c r="F377" s="5"/>
      <c r="G377" s="4"/>
      <c r="H377" s="4"/>
    </row>
    <row r="378" spans="2:8" x14ac:dyDescent="0.2">
      <c r="B378" s="5"/>
      <c r="C378" s="5"/>
      <c r="D378" s="5"/>
      <c r="E378" s="5"/>
      <c r="F378" s="5"/>
      <c r="G378" s="4"/>
      <c r="H378" s="4"/>
    </row>
    <row r="379" spans="2:8" x14ac:dyDescent="0.2">
      <c r="B379" s="5"/>
      <c r="C379" s="5"/>
      <c r="D379" s="5"/>
      <c r="E379" s="5"/>
      <c r="F379" s="5"/>
      <c r="G379" s="4"/>
      <c r="H379" s="4"/>
    </row>
    <row r="380" spans="2:8" x14ac:dyDescent="0.2">
      <c r="B380" s="5"/>
      <c r="C380" s="5"/>
      <c r="D380" s="5"/>
      <c r="E380" s="5"/>
      <c r="F380" s="5"/>
      <c r="G380" s="4"/>
      <c r="H380" s="4"/>
    </row>
    <row r="381" spans="2:8" x14ac:dyDescent="0.2">
      <c r="B381" s="5"/>
      <c r="C381" s="5"/>
      <c r="D381" s="5"/>
      <c r="E381" s="5"/>
      <c r="F381" s="5"/>
      <c r="G381" s="4"/>
      <c r="H381" s="4"/>
    </row>
    <row r="382" spans="2:8" x14ac:dyDescent="0.2">
      <c r="B382" s="5"/>
      <c r="C382" s="5"/>
      <c r="D382" s="5"/>
      <c r="E382" s="5"/>
      <c r="F382" s="5"/>
      <c r="G382" s="4"/>
      <c r="H382" s="4"/>
    </row>
    <row r="383" spans="2:8" x14ac:dyDescent="0.2">
      <c r="B383" s="5"/>
      <c r="C383" s="5"/>
      <c r="D383" s="5"/>
      <c r="E383" s="5"/>
      <c r="F383" s="5"/>
      <c r="G383" s="4"/>
      <c r="H383" s="4"/>
    </row>
    <row r="384" spans="2:8" x14ac:dyDescent="0.2">
      <c r="B384" s="5"/>
      <c r="C384" s="5"/>
      <c r="D384" s="5"/>
      <c r="E384" s="5"/>
      <c r="F384" s="5"/>
      <c r="G384" s="4"/>
      <c r="H384" s="4"/>
    </row>
    <row r="385" spans="2:8" x14ac:dyDescent="0.2">
      <c r="B385" s="5"/>
      <c r="C385" s="5"/>
      <c r="D385" s="5"/>
      <c r="E385" s="5"/>
      <c r="F385" s="5"/>
      <c r="G385" s="4"/>
      <c r="H385" s="4"/>
    </row>
    <row r="386" spans="2:8" x14ac:dyDescent="0.2">
      <c r="B386" s="5"/>
      <c r="C386" s="5"/>
      <c r="D386" s="5"/>
      <c r="E386" s="5"/>
      <c r="F386" s="5"/>
      <c r="G386" s="4"/>
      <c r="H386" s="4"/>
    </row>
    <row r="387" spans="2:8" x14ac:dyDescent="0.2">
      <c r="B387" s="5"/>
      <c r="C387" s="5"/>
      <c r="D387" s="5"/>
      <c r="E387" s="5"/>
      <c r="F387" s="5"/>
      <c r="G387" s="4"/>
      <c r="H387" s="4"/>
    </row>
    <row r="388" spans="2:8" x14ac:dyDescent="0.2">
      <c r="B388" s="5"/>
      <c r="C388" s="5"/>
      <c r="D388" s="5"/>
      <c r="E388" s="5"/>
      <c r="F388" s="5"/>
      <c r="G388" s="4"/>
      <c r="H388" s="4"/>
    </row>
    <row r="389" spans="2:8" x14ac:dyDescent="0.2">
      <c r="B389" s="5"/>
      <c r="C389" s="5"/>
      <c r="D389" s="5"/>
      <c r="E389" s="5"/>
      <c r="F389" s="5"/>
      <c r="G389" s="4"/>
      <c r="H389" s="4"/>
    </row>
    <row r="390" spans="2:8" x14ac:dyDescent="0.2">
      <c r="B390" s="5"/>
      <c r="C390" s="5"/>
      <c r="D390" s="5"/>
      <c r="E390" s="5"/>
      <c r="F390" s="5"/>
      <c r="G390" s="4"/>
      <c r="H390" s="4"/>
    </row>
    <row r="391" spans="2:8" x14ac:dyDescent="0.2">
      <c r="B391" s="5"/>
      <c r="C391" s="5"/>
      <c r="D391" s="5"/>
      <c r="E391" s="5"/>
      <c r="F391" s="5"/>
      <c r="G391" s="4"/>
      <c r="H391" s="4"/>
    </row>
    <row r="392" spans="2:8" x14ac:dyDescent="0.2">
      <c r="B392" s="5"/>
      <c r="C392" s="5"/>
      <c r="D392" s="5"/>
      <c r="E392" s="5"/>
      <c r="F392" s="5"/>
      <c r="G392" s="4"/>
      <c r="H392" s="4"/>
    </row>
    <row r="393" spans="2:8" x14ac:dyDescent="0.2">
      <c r="B393" s="5"/>
      <c r="C393" s="5"/>
      <c r="D393" s="5"/>
      <c r="E393" s="5"/>
      <c r="F393" s="5"/>
      <c r="G393" s="4"/>
      <c r="H393" s="4"/>
    </row>
    <row r="394" spans="2:8" x14ac:dyDescent="0.2">
      <c r="B394" s="5"/>
      <c r="C394" s="5"/>
      <c r="D394" s="5"/>
      <c r="E394" s="5"/>
      <c r="F394" s="5"/>
      <c r="G394" s="4"/>
      <c r="H394" s="4"/>
    </row>
    <row r="395" spans="2:8" x14ac:dyDescent="0.2">
      <c r="B395" s="5"/>
      <c r="C395" s="5"/>
      <c r="D395" s="5"/>
      <c r="E395" s="5"/>
      <c r="F395" s="5"/>
      <c r="G395" s="4"/>
      <c r="H395" s="4"/>
    </row>
    <row r="396" spans="2:8" x14ac:dyDescent="0.2">
      <c r="B396" s="5"/>
      <c r="C396" s="5"/>
      <c r="D396" s="5"/>
      <c r="E396" s="5"/>
      <c r="F396" s="5"/>
      <c r="G396" s="4"/>
      <c r="H396" s="4"/>
    </row>
    <row r="397" spans="2:8" x14ac:dyDescent="0.2">
      <c r="B397" s="5"/>
      <c r="C397" s="5"/>
      <c r="D397" s="5"/>
      <c r="E397" s="5"/>
      <c r="F397" s="5"/>
      <c r="G397" s="4"/>
      <c r="H397" s="4"/>
    </row>
    <row r="398" spans="2:8" x14ac:dyDescent="0.2">
      <c r="B398" s="5"/>
      <c r="C398" s="5"/>
      <c r="D398" s="5"/>
      <c r="E398" s="5"/>
      <c r="F398" s="5"/>
      <c r="G398" s="4"/>
      <c r="H398" s="4"/>
    </row>
    <row r="399" spans="2:8" x14ac:dyDescent="0.2">
      <c r="B399" s="5"/>
      <c r="C399" s="5"/>
      <c r="D399" s="5"/>
      <c r="E399" s="5"/>
      <c r="F399" s="5"/>
      <c r="G399" s="4"/>
      <c r="H399" s="4"/>
    </row>
    <row r="400" spans="2:8" x14ac:dyDescent="0.2">
      <c r="B400" s="5"/>
      <c r="C400" s="5"/>
      <c r="D400" s="5"/>
      <c r="E400" s="5"/>
      <c r="F400" s="5"/>
      <c r="G400" s="4"/>
      <c r="H400" s="4"/>
    </row>
    <row r="401" spans="2:8" x14ac:dyDescent="0.2">
      <c r="B401" s="5"/>
      <c r="C401" s="5"/>
      <c r="D401" s="5"/>
      <c r="E401" s="5"/>
      <c r="F401" s="5"/>
      <c r="G401" s="4"/>
      <c r="H401" s="4"/>
    </row>
    <row r="402" spans="2:8" x14ac:dyDescent="0.2">
      <c r="B402" s="5"/>
      <c r="C402" s="5"/>
      <c r="D402" s="5"/>
      <c r="E402" s="5"/>
      <c r="F402" s="5"/>
      <c r="G402" s="4"/>
      <c r="H402" s="4"/>
    </row>
    <row r="403" spans="2:8" x14ac:dyDescent="0.2">
      <c r="B403" s="5"/>
      <c r="C403" s="5"/>
      <c r="D403" s="5"/>
      <c r="E403" s="5"/>
      <c r="F403" s="5"/>
      <c r="G403" s="4"/>
      <c r="H403" s="4"/>
    </row>
    <row r="404" spans="2:8" x14ac:dyDescent="0.2">
      <c r="B404" s="5"/>
      <c r="C404" s="5"/>
      <c r="D404" s="5"/>
      <c r="E404" s="5"/>
      <c r="F404" s="5"/>
      <c r="G404" s="4"/>
      <c r="H404" s="4"/>
    </row>
    <row r="405" spans="2:8" x14ac:dyDescent="0.2">
      <c r="B405" s="5"/>
      <c r="C405" s="5"/>
      <c r="D405" s="5"/>
      <c r="E405" s="5"/>
      <c r="F405" s="5"/>
      <c r="G405" s="4"/>
      <c r="H405" s="4"/>
    </row>
    <row r="406" spans="2:8" x14ac:dyDescent="0.2">
      <c r="B406" s="5"/>
      <c r="C406" s="5"/>
      <c r="D406" s="5"/>
      <c r="E406" s="5"/>
      <c r="F406" s="5"/>
      <c r="G406" s="4"/>
      <c r="H406" s="4"/>
    </row>
    <row r="407" spans="2:8" x14ac:dyDescent="0.2">
      <c r="B407" s="5"/>
      <c r="C407" s="5"/>
      <c r="D407" s="5"/>
      <c r="E407" s="5"/>
      <c r="F407" s="5"/>
      <c r="G407" s="4"/>
      <c r="H407" s="4"/>
    </row>
    <row r="408" spans="2:8" x14ac:dyDescent="0.2">
      <c r="B408" s="5"/>
      <c r="C408" s="5"/>
      <c r="D408" s="5"/>
      <c r="E408" s="5"/>
      <c r="F408" s="5"/>
      <c r="G408" s="4"/>
      <c r="H408" s="4"/>
    </row>
    <row r="409" spans="2:8" x14ac:dyDescent="0.2">
      <c r="B409" s="5"/>
      <c r="C409" s="5"/>
      <c r="D409" s="5"/>
      <c r="E409" s="5"/>
      <c r="F409" s="5"/>
      <c r="G409" s="4"/>
      <c r="H409" s="4"/>
    </row>
    <row r="410" spans="2:8" x14ac:dyDescent="0.2">
      <c r="B410" s="5"/>
      <c r="C410" s="5"/>
      <c r="D410" s="5"/>
      <c r="E410" s="5"/>
      <c r="F410" s="5"/>
      <c r="G410" s="4"/>
      <c r="H410" s="4"/>
    </row>
    <row r="411" spans="2:8" x14ac:dyDescent="0.2">
      <c r="B411" s="5"/>
      <c r="C411" s="5"/>
      <c r="D411" s="5"/>
      <c r="E411" s="5"/>
      <c r="F411" s="5"/>
      <c r="G411" s="4"/>
      <c r="H411" s="4"/>
    </row>
    <row r="412" spans="2:8" x14ac:dyDescent="0.2">
      <c r="B412" s="5"/>
      <c r="C412" s="5"/>
      <c r="D412" s="5"/>
      <c r="E412" s="5"/>
      <c r="F412" s="5"/>
      <c r="G412" s="4"/>
      <c r="H412" s="4"/>
    </row>
    <row r="413" spans="2:8" x14ac:dyDescent="0.2">
      <c r="B413" s="5"/>
      <c r="C413" s="5"/>
      <c r="D413" s="5"/>
      <c r="E413" s="5"/>
      <c r="F413" s="5"/>
      <c r="G413" s="4"/>
      <c r="H413" s="4"/>
    </row>
    <row r="414" spans="2:8" x14ac:dyDescent="0.2">
      <c r="B414" s="5"/>
      <c r="C414" s="5"/>
      <c r="D414" s="5"/>
      <c r="E414" s="5"/>
      <c r="F414" s="5"/>
      <c r="G414" s="4"/>
      <c r="H414" s="4"/>
    </row>
    <row r="415" spans="2:8" x14ac:dyDescent="0.2">
      <c r="B415" s="5"/>
      <c r="C415" s="5"/>
      <c r="D415" s="5"/>
      <c r="E415" s="5"/>
      <c r="F415" s="5"/>
      <c r="G415" s="4"/>
      <c r="H415" s="4"/>
    </row>
    <row r="416" spans="2:8" x14ac:dyDescent="0.2">
      <c r="B416" s="5"/>
      <c r="C416" s="5"/>
      <c r="D416" s="5"/>
      <c r="E416" s="5"/>
      <c r="F416" s="5"/>
      <c r="G416" s="4"/>
      <c r="H416" s="4"/>
    </row>
    <row r="417" spans="2:8" x14ac:dyDescent="0.2">
      <c r="B417" s="5"/>
      <c r="C417" s="5"/>
      <c r="D417" s="5"/>
      <c r="E417" s="5"/>
      <c r="F417" s="5"/>
      <c r="G417" s="4"/>
      <c r="H417" s="4"/>
    </row>
    <row r="418" spans="2:8" x14ac:dyDescent="0.2">
      <c r="B418" s="5"/>
      <c r="C418" s="5"/>
      <c r="D418" s="5"/>
      <c r="E418" s="5"/>
      <c r="F418" s="5"/>
      <c r="G418" s="4"/>
      <c r="H418" s="4"/>
    </row>
    <row r="419" spans="2:8" x14ac:dyDescent="0.2">
      <c r="B419" s="5"/>
      <c r="C419" s="5"/>
      <c r="D419" s="5"/>
      <c r="E419" s="5"/>
      <c r="F419" s="5"/>
      <c r="G419" s="4"/>
      <c r="H419" s="4"/>
    </row>
    <row r="420" spans="2:8" x14ac:dyDescent="0.2">
      <c r="B420" s="5"/>
      <c r="C420" s="5"/>
      <c r="D420" s="5"/>
      <c r="E420" s="5"/>
      <c r="F420" s="5"/>
      <c r="G420" s="4"/>
      <c r="H420" s="4"/>
    </row>
    <row r="421" spans="2:8" x14ac:dyDescent="0.2">
      <c r="B421" s="5"/>
      <c r="C421" s="5"/>
      <c r="D421" s="5"/>
      <c r="E421" s="5"/>
      <c r="F421" s="5"/>
      <c r="G421" s="4"/>
      <c r="H421" s="4"/>
    </row>
    <row r="422" spans="2:8" x14ac:dyDescent="0.2">
      <c r="B422" s="5"/>
      <c r="C422" s="5"/>
      <c r="D422" s="5"/>
      <c r="E422" s="5"/>
      <c r="F422" s="5"/>
      <c r="G422" s="4"/>
      <c r="H422" s="4"/>
    </row>
    <row r="423" spans="2:8" x14ac:dyDescent="0.2">
      <c r="B423" s="5"/>
      <c r="C423" s="5"/>
      <c r="D423" s="5"/>
      <c r="E423" s="5"/>
      <c r="F423" s="5"/>
      <c r="G423" s="4"/>
      <c r="H423" s="4"/>
    </row>
    <row r="424" spans="2:8" x14ac:dyDescent="0.2">
      <c r="B424" s="5"/>
      <c r="C424" s="5"/>
      <c r="D424" s="5"/>
      <c r="E424" s="5"/>
      <c r="F424" s="5"/>
      <c r="G424" s="4"/>
      <c r="H424" s="4"/>
    </row>
    <row r="425" spans="2:8" x14ac:dyDescent="0.2">
      <c r="B425" s="5"/>
      <c r="C425" s="5"/>
      <c r="D425" s="5"/>
      <c r="E425" s="5"/>
      <c r="F425" s="5"/>
      <c r="G425" s="4"/>
      <c r="H425" s="4"/>
    </row>
    <row r="426" spans="2:8" x14ac:dyDescent="0.2">
      <c r="B426" s="5"/>
      <c r="C426" s="5"/>
      <c r="D426" s="5"/>
      <c r="E426" s="5"/>
      <c r="F426" s="5"/>
      <c r="G426" s="4"/>
      <c r="H426" s="4"/>
    </row>
    <row r="427" spans="2:8" x14ac:dyDescent="0.2">
      <c r="B427" s="5"/>
      <c r="C427" s="5"/>
      <c r="D427" s="5"/>
      <c r="E427" s="5"/>
      <c r="F427" s="5"/>
      <c r="G427" s="4"/>
      <c r="H427" s="4"/>
    </row>
    <row r="428" spans="2:8" x14ac:dyDescent="0.2">
      <c r="B428" s="5"/>
      <c r="C428" s="5"/>
      <c r="D428" s="5"/>
      <c r="E428" s="5"/>
      <c r="F428" s="5"/>
      <c r="G428" s="4"/>
      <c r="H428" s="4"/>
    </row>
    <row r="429" spans="2:8" x14ac:dyDescent="0.2">
      <c r="B429" s="5"/>
      <c r="C429" s="5"/>
      <c r="D429" s="5"/>
      <c r="E429" s="5"/>
      <c r="F429" s="5"/>
      <c r="G429" s="4"/>
      <c r="H429" s="4"/>
    </row>
    <row r="430" spans="2:8" x14ac:dyDescent="0.2">
      <c r="B430" s="5"/>
      <c r="C430" s="5"/>
      <c r="D430" s="5"/>
      <c r="E430" s="5"/>
      <c r="F430" s="5"/>
      <c r="G430" s="4"/>
      <c r="H430" s="4"/>
    </row>
    <row r="431" spans="2:8" x14ac:dyDescent="0.2">
      <c r="B431" s="5"/>
      <c r="C431" s="5"/>
      <c r="D431" s="5"/>
      <c r="E431" s="5"/>
      <c r="F431" s="5"/>
      <c r="G431" s="4"/>
      <c r="H431" s="4"/>
    </row>
    <row r="432" spans="2:8" x14ac:dyDescent="0.2">
      <c r="B432" s="5"/>
      <c r="C432" s="5"/>
      <c r="D432" s="5"/>
      <c r="E432" s="5"/>
      <c r="F432" s="5"/>
      <c r="G432" s="4"/>
      <c r="H432" s="4"/>
    </row>
    <row r="433" spans="2:8" x14ac:dyDescent="0.2">
      <c r="B433" s="5"/>
      <c r="C433" s="5"/>
      <c r="D433" s="5"/>
      <c r="E433" s="5"/>
      <c r="F433" s="5"/>
      <c r="G433" s="4"/>
      <c r="H433" s="4"/>
    </row>
    <row r="434" spans="2:8" x14ac:dyDescent="0.2">
      <c r="B434" s="5"/>
      <c r="C434" s="5"/>
      <c r="D434" s="5"/>
      <c r="E434" s="5"/>
      <c r="F434" s="5"/>
      <c r="G434" s="4"/>
      <c r="H434" s="4"/>
    </row>
    <row r="435" spans="2:8" x14ac:dyDescent="0.2">
      <c r="B435" s="5"/>
      <c r="C435" s="5"/>
      <c r="D435" s="5"/>
      <c r="E435" s="5"/>
      <c r="F435" s="5"/>
      <c r="G435" s="4"/>
      <c r="H435" s="4"/>
    </row>
    <row r="436" spans="2:8" x14ac:dyDescent="0.2">
      <c r="B436" s="5"/>
      <c r="C436" s="5"/>
      <c r="D436" s="5"/>
      <c r="E436" s="5"/>
      <c r="F436" s="5"/>
      <c r="G436" s="4"/>
      <c r="H436" s="4"/>
    </row>
    <row r="437" spans="2:8" x14ac:dyDescent="0.2">
      <c r="B437" s="5"/>
      <c r="C437" s="5"/>
      <c r="D437" s="5"/>
      <c r="E437" s="5"/>
      <c r="F437" s="5"/>
      <c r="G437" s="4"/>
      <c r="H437" s="4"/>
    </row>
    <row r="438" spans="2:8" x14ac:dyDescent="0.2">
      <c r="B438" s="5"/>
      <c r="C438" s="5"/>
      <c r="D438" s="5"/>
      <c r="E438" s="5"/>
      <c r="F438" s="5"/>
      <c r="G438" s="4"/>
      <c r="H438" s="4"/>
    </row>
    <row r="439" spans="2:8" x14ac:dyDescent="0.2">
      <c r="B439" s="5"/>
      <c r="C439" s="5"/>
      <c r="D439" s="5"/>
      <c r="E439" s="5"/>
      <c r="F439" s="5"/>
      <c r="G439" s="4"/>
      <c r="H439" s="4"/>
    </row>
    <row r="440" spans="2:8" x14ac:dyDescent="0.2">
      <c r="B440" s="5"/>
      <c r="C440" s="5"/>
      <c r="D440" s="5"/>
      <c r="E440" s="5"/>
      <c r="F440" s="5"/>
      <c r="G440" s="4"/>
      <c r="H440" s="4"/>
    </row>
    <row r="441" spans="2:8" x14ac:dyDescent="0.2">
      <c r="B441" s="5"/>
      <c r="C441" s="5"/>
      <c r="D441" s="5"/>
      <c r="E441" s="5"/>
      <c r="F441" s="5"/>
      <c r="G441" s="4"/>
      <c r="H441" s="4"/>
    </row>
    <row r="442" spans="2:8" x14ac:dyDescent="0.2">
      <c r="B442" s="5"/>
      <c r="C442" s="5"/>
      <c r="D442" s="5"/>
      <c r="E442" s="5"/>
      <c r="F442" s="5"/>
      <c r="G442" s="4"/>
      <c r="H442" s="4"/>
    </row>
    <row r="443" spans="2:8" x14ac:dyDescent="0.2">
      <c r="B443" s="5"/>
      <c r="C443" s="5"/>
      <c r="D443" s="5"/>
      <c r="E443" s="5"/>
      <c r="F443" s="5"/>
      <c r="G443" s="4"/>
      <c r="H443" s="4"/>
    </row>
    <row r="444" spans="2:8" x14ac:dyDescent="0.2">
      <c r="B444" s="5"/>
      <c r="C444" s="5"/>
      <c r="D444" s="5"/>
      <c r="E444" s="5"/>
      <c r="F444" s="5"/>
      <c r="G444" s="4"/>
      <c r="H444" s="4"/>
    </row>
    <row r="445" spans="2:8" x14ac:dyDescent="0.2">
      <c r="B445" s="5"/>
      <c r="C445" s="5"/>
      <c r="D445" s="5"/>
      <c r="E445" s="5"/>
      <c r="F445" s="5"/>
      <c r="G445" s="4"/>
      <c r="H445" s="4"/>
    </row>
    <row r="446" spans="2:8" x14ac:dyDescent="0.2">
      <c r="B446" s="5"/>
      <c r="C446" s="5"/>
      <c r="D446" s="5"/>
      <c r="E446" s="5"/>
      <c r="F446" s="5"/>
      <c r="G446" s="4"/>
      <c r="H446" s="4"/>
    </row>
    <row r="447" spans="2:8" x14ac:dyDescent="0.2">
      <c r="B447" s="5"/>
      <c r="C447" s="5"/>
      <c r="D447" s="5"/>
      <c r="E447" s="5"/>
      <c r="F447" s="5"/>
      <c r="G447" s="4"/>
      <c r="H447" s="4"/>
    </row>
    <row r="448" spans="2:8" x14ac:dyDescent="0.2">
      <c r="B448" s="5"/>
      <c r="C448" s="5"/>
      <c r="D448" s="5"/>
      <c r="E448" s="5"/>
      <c r="F448" s="5"/>
      <c r="G448" s="4"/>
      <c r="H448" s="4"/>
    </row>
    <row r="449" spans="2:8" x14ac:dyDescent="0.2">
      <c r="B449" s="5"/>
      <c r="C449" s="5"/>
      <c r="D449" s="5"/>
      <c r="E449" s="5"/>
      <c r="F449" s="5"/>
      <c r="G449" s="4"/>
      <c r="H449" s="4"/>
    </row>
    <row r="450" spans="2:8" x14ac:dyDescent="0.2">
      <c r="B450" s="5"/>
      <c r="C450" s="5"/>
      <c r="D450" s="5"/>
      <c r="E450" s="5"/>
      <c r="F450" s="5"/>
      <c r="G450" s="4"/>
      <c r="H450" s="4"/>
    </row>
    <row r="451" spans="2:8" x14ac:dyDescent="0.2">
      <c r="B451" s="5"/>
      <c r="C451" s="5"/>
      <c r="D451" s="5"/>
      <c r="E451" s="5"/>
      <c r="F451" s="5"/>
      <c r="G451" s="4"/>
      <c r="H451" s="4"/>
    </row>
    <row r="452" spans="2:8" x14ac:dyDescent="0.2">
      <c r="B452" s="5"/>
      <c r="C452" s="5"/>
      <c r="D452" s="5"/>
      <c r="E452" s="5"/>
      <c r="F452" s="5"/>
      <c r="G452" s="4"/>
      <c r="H452" s="4"/>
    </row>
    <row r="453" spans="2:8" x14ac:dyDescent="0.2">
      <c r="B453" s="5"/>
      <c r="C453" s="5"/>
      <c r="D453" s="5"/>
      <c r="E453" s="5"/>
      <c r="F453" s="5"/>
      <c r="G453" s="4"/>
      <c r="H453" s="4"/>
    </row>
    <row r="454" spans="2:8" x14ac:dyDescent="0.2">
      <c r="B454" s="5"/>
      <c r="C454" s="5"/>
      <c r="D454" s="5"/>
      <c r="E454" s="5"/>
      <c r="F454" s="5"/>
      <c r="G454" s="4"/>
      <c r="H454" s="4"/>
    </row>
    <row r="455" spans="2:8" x14ac:dyDescent="0.2">
      <c r="B455" s="5"/>
      <c r="C455" s="5"/>
      <c r="D455" s="5"/>
      <c r="E455" s="5"/>
      <c r="F455" s="5"/>
      <c r="G455" s="4"/>
      <c r="H455" s="4"/>
    </row>
    <row r="456" spans="2:8" x14ac:dyDescent="0.2">
      <c r="B456" s="5"/>
      <c r="C456" s="5"/>
      <c r="D456" s="5"/>
      <c r="E456" s="5"/>
      <c r="F456" s="5"/>
      <c r="G456" s="4"/>
      <c r="H456" s="4"/>
    </row>
    <row r="457" spans="2:8" x14ac:dyDescent="0.2">
      <c r="B457" s="5"/>
      <c r="C457" s="5"/>
      <c r="D457" s="5"/>
      <c r="E457" s="5"/>
      <c r="F457" s="5"/>
      <c r="G457" s="4"/>
      <c r="H457" s="4"/>
    </row>
    <row r="458" spans="2:8" x14ac:dyDescent="0.2">
      <c r="B458" s="5"/>
      <c r="C458" s="5"/>
      <c r="D458" s="5"/>
      <c r="E458" s="5"/>
      <c r="F458" s="5"/>
      <c r="G458" s="4"/>
      <c r="H458" s="4"/>
    </row>
    <row r="459" spans="2:8" x14ac:dyDescent="0.2">
      <c r="B459" s="5"/>
      <c r="C459" s="5"/>
      <c r="D459" s="5"/>
      <c r="E459" s="5"/>
      <c r="F459" s="5"/>
      <c r="G459" s="4"/>
      <c r="H459" s="4"/>
    </row>
    <row r="460" spans="2:8" x14ac:dyDescent="0.2">
      <c r="B460" s="5"/>
      <c r="C460" s="5"/>
      <c r="D460" s="5"/>
      <c r="E460" s="5"/>
      <c r="F460" s="5"/>
      <c r="G460" s="4"/>
      <c r="H460" s="4"/>
    </row>
    <row r="461" spans="2:8" x14ac:dyDescent="0.2">
      <c r="B461" s="5"/>
      <c r="C461" s="5"/>
      <c r="D461" s="5"/>
      <c r="E461" s="5"/>
      <c r="F461" s="5"/>
      <c r="G461" s="4"/>
      <c r="H461" s="4"/>
    </row>
    <row r="462" spans="2:8" x14ac:dyDescent="0.2">
      <c r="B462" s="5"/>
      <c r="C462" s="5"/>
      <c r="D462" s="5"/>
      <c r="E462" s="5"/>
      <c r="F462" s="5"/>
      <c r="G462" s="4"/>
      <c r="H462" s="4"/>
    </row>
    <row r="463" spans="2:8" x14ac:dyDescent="0.2">
      <c r="B463" s="5"/>
      <c r="C463" s="5"/>
      <c r="D463" s="5"/>
      <c r="E463" s="5"/>
      <c r="F463" s="5"/>
      <c r="G463" s="4"/>
      <c r="H463" s="4"/>
    </row>
    <row r="464" spans="2:8" x14ac:dyDescent="0.2">
      <c r="B464" s="5"/>
      <c r="C464" s="5"/>
      <c r="D464" s="5"/>
      <c r="E464" s="5"/>
      <c r="F464" s="5"/>
      <c r="G464" s="4"/>
      <c r="H464" s="4"/>
    </row>
    <row r="465" spans="2:8" x14ac:dyDescent="0.2">
      <c r="B465" s="5"/>
      <c r="C465" s="5"/>
      <c r="D465" s="5"/>
      <c r="E465" s="5"/>
      <c r="F465" s="5"/>
      <c r="G465" s="4"/>
      <c r="H465" s="4"/>
    </row>
    <row r="466" spans="2:8" x14ac:dyDescent="0.2">
      <c r="B466" s="5"/>
      <c r="C466" s="5"/>
      <c r="D466" s="5"/>
      <c r="E466" s="5"/>
      <c r="F466" s="5"/>
      <c r="G466" s="4"/>
      <c r="H466" s="4"/>
    </row>
    <row r="467" spans="2:8" x14ac:dyDescent="0.2">
      <c r="B467" s="5"/>
      <c r="C467" s="5"/>
      <c r="D467" s="5"/>
      <c r="E467" s="5"/>
      <c r="F467" s="5"/>
      <c r="G467" s="4"/>
      <c r="H467" s="4"/>
    </row>
    <row r="468" spans="2:8" x14ac:dyDescent="0.2">
      <c r="B468" s="5"/>
      <c r="C468" s="5"/>
      <c r="D468" s="5"/>
      <c r="E468" s="5"/>
      <c r="F468" s="5"/>
      <c r="G468" s="4"/>
      <c r="H468" s="4"/>
    </row>
    <row r="469" spans="2:8" x14ac:dyDescent="0.2">
      <c r="B469" s="5"/>
      <c r="C469" s="5"/>
      <c r="D469" s="5"/>
      <c r="E469" s="5"/>
      <c r="F469" s="5"/>
      <c r="G469" s="4"/>
      <c r="H469" s="4"/>
    </row>
    <row r="470" spans="2:8" x14ac:dyDescent="0.2">
      <c r="B470" s="5"/>
      <c r="C470" s="5"/>
      <c r="D470" s="5"/>
      <c r="E470" s="5"/>
      <c r="F470" s="5"/>
      <c r="G470" s="4"/>
      <c r="H470" s="4"/>
    </row>
    <row r="471" spans="2:8" x14ac:dyDescent="0.2">
      <c r="B471" s="5"/>
      <c r="C471" s="5"/>
      <c r="D471" s="5"/>
      <c r="E471" s="5"/>
      <c r="F471" s="5"/>
      <c r="G471" s="4"/>
      <c r="H471" s="4"/>
    </row>
    <row r="472" spans="2:8" x14ac:dyDescent="0.2">
      <c r="B472" s="5"/>
      <c r="C472" s="5"/>
      <c r="D472" s="5"/>
      <c r="E472" s="5"/>
      <c r="F472" s="5"/>
      <c r="G472" s="4"/>
      <c r="H472" s="4"/>
    </row>
    <row r="473" spans="2:8" x14ac:dyDescent="0.2">
      <c r="B473" s="5"/>
      <c r="C473" s="5"/>
      <c r="D473" s="5"/>
      <c r="E473" s="5"/>
      <c r="F473" s="5"/>
      <c r="G473" s="4"/>
      <c r="H473" s="4"/>
    </row>
    <row r="474" spans="2:8" x14ac:dyDescent="0.2">
      <c r="B474" s="5"/>
      <c r="C474" s="5"/>
      <c r="D474" s="5"/>
      <c r="E474" s="5"/>
      <c r="F474" s="5"/>
      <c r="G474" s="4"/>
      <c r="H474" s="4"/>
    </row>
    <row r="475" spans="2:8" x14ac:dyDescent="0.2">
      <c r="B475" s="5"/>
      <c r="C475" s="5"/>
      <c r="D475" s="5"/>
      <c r="E475" s="5"/>
      <c r="F475" s="5"/>
      <c r="G475" s="4"/>
      <c r="H475" s="4"/>
    </row>
    <row r="476" spans="2:8" x14ac:dyDescent="0.2">
      <c r="B476" s="5"/>
      <c r="C476" s="5"/>
      <c r="D476" s="5"/>
      <c r="E476" s="5"/>
      <c r="F476" s="5"/>
      <c r="G476" s="4"/>
      <c r="H476" s="4"/>
    </row>
    <row r="477" spans="2:8" x14ac:dyDescent="0.2">
      <c r="B477" s="5"/>
      <c r="C477" s="5"/>
      <c r="D477" s="5"/>
      <c r="E477" s="5"/>
      <c r="F477" s="5"/>
      <c r="G477" s="4"/>
      <c r="H477" s="4"/>
    </row>
    <row r="478" spans="2:8" x14ac:dyDescent="0.2">
      <c r="B478" s="5"/>
      <c r="C478" s="5"/>
      <c r="D478" s="5"/>
      <c r="E478" s="5"/>
      <c r="F478" s="5"/>
      <c r="G478" s="4"/>
      <c r="H478" s="4"/>
    </row>
    <row r="479" spans="2:8" x14ac:dyDescent="0.2">
      <c r="B479" s="5"/>
      <c r="C479" s="5"/>
      <c r="D479" s="5"/>
      <c r="E479" s="5"/>
      <c r="F479" s="5"/>
      <c r="G479" s="4"/>
      <c r="H479" s="4"/>
    </row>
    <row r="480" spans="2:8" x14ac:dyDescent="0.2">
      <c r="B480" s="5"/>
      <c r="C480" s="5"/>
      <c r="D480" s="5"/>
      <c r="E480" s="5"/>
      <c r="F480" s="5"/>
      <c r="G480" s="4"/>
      <c r="H480" s="4"/>
    </row>
    <row r="481" spans="2:8" x14ac:dyDescent="0.2">
      <c r="B481" s="5"/>
      <c r="C481" s="5"/>
      <c r="D481" s="5"/>
      <c r="E481" s="5"/>
      <c r="F481" s="5"/>
      <c r="G481" s="4"/>
      <c r="H481" s="4"/>
    </row>
    <row r="482" spans="2:8" x14ac:dyDescent="0.2">
      <c r="B482" s="5"/>
      <c r="C482" s="5"/>
      <c r="D482" s="5"/>
      <c r="E482" s="5"/>
      <c r="F482" s="5"/>
      <c r="G482" s="4"/>
      <c r="H482" s="4"/>
    </row>
    <row r="483" spans="2:8" x14ac:dyDescent="0.2">
      <c r="B483" s="5"/>
      <c r="C483" s="5"/>
      <c r="D483" s="5"/>
      <c r="E483" s="5"/>
      <c r="F483" s="5"/>
      <c r="G483" s="4"/>
      <c r="H483" s="4"/>
    </row>
    <row r="484" spans="2:8" x14ac:dyDescent="0.2">
      <c r="B484" s="5"/>
      <c r="C484" s="5"/>
      <c r="D484" s="5"/>
      <c r="E484" s="5"/>
      <c r="F484" s="5"/>
      <c r="G484" s="4"/>
      <c r="H484" s="4"/>
    </row>
    <row r="485" spans="2:8" x14ac:dyDescent="0.2">
      <c r="B485" s="5"/>
      <c r="C485" s="5"/>
      <c r="D485" s="5"/>
      <c r="E485" s="5"/>
      <c r="F485" s="5"/>
      <c r="G485" s="4"/>
      <c r="H485" s="4"/>
    </row>
    <row r="486" spans="2:8" x14ac:dyDescent="0.2">
      <c r="B486" s="5"/>
      <c r="C486" s="5"/>
      <c r="D486" s="5"/>
      <c r="E486" s="5"/>
      <c r="F486" s="5"/>
      <c r="G486" s="4"/>
      <c r="H486" s="4"/>
    </row>
    <row r="487" spans="2:8" x14ac:dyDescent="0.2">
      <c r="B487" s="5"/>
      <c r="C487" s="5"/>
      <c r="D487" s="5"/>
      <c r="E487" s="5"/>
      <c r="F487" s="5"/>
      <c r="G487" s="4"/>
      <c r="H487" s="4"/>
    </row>
    <row r="488" spans="2:8" x14ac:dyDescent="0.2">
      <c r="B488" s="5"/>
      <c r="C488" s="5"/>
      <c r="D488" s="5"/>
      <c r="E488" s="5"/>
      <c r="F488" s="5"/>
      <c r="G488" s="4"/>
      <c r="H488" s="4"/>
    </row>
    <row r="489" spans="2:8" x14ac:dyDescent="0.2">
      <c r="B489" s="5"/>
      <c r="C489" s="5"/>
      <c r="D489" s="5"/>
      <c r="E489" s="5"/>
      <c r="F489" s="5"/>
      <c r="G489" s="4"/>
      <c r="H489" s="4"/>
    </row>
    <row r="490" spans="2:8" x14ac:dyDescent="0.2">
      <c r="B490" s="5"/>
      <c r="C490" s="5"/>
      <c r="D490" s="5"/>
      <c r="E490" s="5"/>
      <c r="F490" s="5"/>
      <c r="G490" s="4"/>
      <c r="H490" s="4"/>
    </row>
    <row r="491" spans="2:8" x14ac:dyDescent="0.2">
      <c r="B491" s="5"/>
      <c r="C491" s="5"/>
      <c r="D491" s="5"/>
      <c r="E491" s="5"/>
      <c r="F491" s="5"/>
      <c r="G491" s="4"/>
      <c r="H491" s="4"/>
    </row>
    <row r="492" spans="2:8" x14ac:dyDescent="0.2">
      <c r="B492" s="5"/>
      <c r="C492" s="5"/>
      <c r="D492" s="5"/>
      <c r="E492" s="5"/>
      <c r="F492" s="5"/>
      <c r="G492" s="4"/>
      <c r="H492" s="4"/>
    </row>
    <row r="493" spans="2:8" x14ac:dyDescent="0.2">
      <c r="B493" s="5"/>
      <c r="C493" s="5"/>
      <c r="D493" s="5"/>
      <c r="E493" s="5"/>
      <c r="F493" s="5"/>
      <c r="G493" s="4"/>
      <c r="H493" s="4"/>
    </row>
    <row r="494" spans="2:8" x14ac:dyDescent="0.2">
      <c r="B494" s="5"/>
      <c r="C494" s="5"/>
      <c r="D494" s="5"/>
      <c r="E494" s="5"/>
      <c r="F494" s="5"/>
      <c r="G494" s="4"/>
      <c r="H494" s="4"/>
    </row>
    <row r="495" spans="2:8" x14ac:dyDescent="0.2">
      <c r="B495" s="5"/>
      <c r="C495" s="5"/>
      <c r="D495" s="5"/>
      <c r="E495" s="5"/>
      <c r="F495" s="5"/>
      <c r="G495" s="4"/>
      <c r="H495" s="4"/>
    </row>
    <row r="496" spans="2:8" x14ac:dyDescent="0.2">
      <c r="B496" s="5"/>
      <c r="C496" s="5"/>
      <c r="D496" s="5"/>
      <c r="E496" s="5"/>
      <c r="F496" s="5"/>
      <c r="G496" s="4"/>
      <c r="H496" s="4"/>
    </row>
    <row r="497" spans="2:8" x14ac:dyDescent="0.2">
      <c r="B497" s="5"/>
      <c r="C497" s="5"/>
      <c r="D497" s="5"/>
      <c r="E497" s="5"/>
      <c r="F497" s="5"/>
      <c r="G497" s="4"/>
      <c r="H497" s="4"/>
    </row>
    <row r="498" spans="2:8" x14ac:dyDescent="0.2">
      <c r="B498" s="5"/>
      <c r="C498" s="5"/>
      <c r="D498" s="5"/>
      <c r="E498" s="5"/>
      <c r="F498" s="5"/>
      <c r="G498" s="4"/>
      <c r="H498" s="4"/>
    </row>
    <row r="499" spans="2:8" x14ac:dyDescent="0.2">
      <c r="B499" s="5"/>
      <c r="C499" s="5"/>
      <c r="D499" s="5"/>
      <c r="E499" s="5"/>
      <c r="F499" s="5"/>
      <c r="G499" s="4"/>
      <c r="H499" s="4"/>
    </row>
    <row r="500" spans="2:8" x14ac:dyDescent="0.2">
      <c r="B500" s="5"/>
      <c r="C500" s="5"/>
      <c r="D500" s="5"/>
      <c r="E500" s="5"/>
      <c r="F500" s="5"/>
      <c r="G500" s="4"/>
      <c r="H500" s="4"/>
    </row>
    <row r="501" spans="2:8" x14ac:dyDescent="0.2">
      <c r="B501" s="5"/>
      <c r="C501" s="5"/>
      <c r="D501" s="5"/>
      <c r="E501" s="5"/>
      <c r="F501" s="5"/>
      <c r="G501" s="4"/>
      <c r="H501" s="4"/>
    </row>
    <row r="502" spans="2:8" x14ac:dyDescent="0.2">
      <c r="B502" s="5"/>
      <c r="C502" s="5"/>
      <c r="D502" s="5"/>
      <c r="E502" s="5"/>
      <c r="F502" s="5"/>
      <c r="G502" s="4"/>
      <c r="H502" s="4"/>
    </row>
    <row r="503" spans="2:8" x14ac:dyDescent="0.2">
      <c r="B503" s="5"/>
      <c r="C503" s="5"/>
      <c r="D503" s="5"/>
      <c r="E503" s="5"/>
      <c r="F503" s="5"/>
      <c r="G503" s="4"/>
      <c r="H503" s="4"/>
    </row>
    <row r="504" spans="2:8" x14ac:dyDescent="0.2">
      <c r="B504" s="5"/>
      <c r="C504" s="5"/>
      <c r="D504" s="5"/>
      <c r="E504" s="5"/>
      <c r="F504" s="5"/>
      <c r="G504" s="4"/>
      <c r="H504" s="4"/>
    </row>
    <row r="505" spans="2:8" x14ac:dyDescent="0.2">
      <c r="B505" s="5"/>
      <c r="C505" s="5"/>
      <c r="D505" s="5"/>
      <c r="E505" s="5"/>
      <c r="F505" s="5"/>
      <c r="G505" s="4"/>
      <c r="H505" s="4"/>
    </row>
    <row r="506" spans="2:8" x14ac:dyDescent="0.2">
      <c r="B506" s="5"/>
      <c r="C506" s="5"/>
      <c r="D506" s="5"/>
      <c r="E506" s="5"/>
      <c r="F506" s="5"/>
      <c r="G506" s="4"/>
      <c r="H506" s="4"/>
    </row>
    <row r="507" spans="2:8" x14ac:dyDescent="0.2">
      <c r="B507" s="5"/>
      <c r="C507" s="5"/>
      <c r="D507" s="5"/>
      <c r="E507" s="5"/>
      <c r="F507" s="5"/>
      <c r="G507" s="4"/>
      <c r="H507" s="4"/>
    </row>
    <row r="508" spans="2:8" x14ac:dyDescent="0.2">
      <c r="B508" s="5"/>
      <c r="C508" s="5"/>
      <c r="D508" s="5"/>
      <c r="E508" s="5"/>
      <c r="F508" s="5"/>
      <c r="G508" s="4"/>
      <c r="H508" s="4"/>
    </row>
    <row r="509" spans="2:8" x14ac:dyDescent="0.2">
      <c r="B509" s="5"/>
      <c r="C509" s="5"/>
      <c r="D509" s="5"/>
      <c r="E509" s="5"/>
      <c r="F509" s="5"/>
      <c r="G509" s="4"/>
      <c r="H509" s="4"/>
    </row>
    <row r="510" spans="2:8" x14ac:dyDescent="0.2">
      <c r="B510" s="5"/>
      <c r="C510" s="5"/>
      <c r="D510" s="5"/>
      <c r="E510" s="5"/>
      <c r="F510" s="5"/>
      <c r="G510" s="4"/>
      <c r="H510" s="4"/>
    </row>
    <row r="511" spans="2:8" x14ac:dyDescent="0.2">
      <c r="B511" s="5"/>
      <c r="C511" s="5"/>
      <c r="D511" s="5"/>
      <c r="E511" s="5"/>
      <c r="F511" s="5"/>
      <c r="G511" s="4"/>
      <c r="H511" s="4"/>
    </row>
    <row r="512" spans="2:8" x14ac:dyDescent="0.2">
      <c r="B512" s="5"/>
      <c r="C512" s="5"/>
      <c r="D512" s="5"/>
      <c r="E512" s="5"/>
      <c r="F512" s="5"/>
      <c r="G512" s="4"/>
      <c r="H512" s="4"/>
    </row>
    <row r="513" spans="2:8" x14ac:dyDescent="0.2">
      <c r="B513" s="5"/>
      <c r="C513" s="5"/>
      <c r="D513" s="5"/>
      <c r="E513" s="5"/>
      <c r="F513" s="5"/>
      <c r="G513" s="4"/>
      <c r="H513" s="4"/>
    </row>
    <row r="514" spans="2:8" x14ac:dyDescent="0.2">
      <c r="B514" s="5"/>
      <c r="C514" s="5"/>
      <c r="D514" s="5"/>
      <c r="E514" s="5"/>
      <c r="F514" s="5"/>
      <c r="G514" s="4"/>
      <c r="H514" s="4"/>
    </row>
    <row r="515" spans="2:8" x14ac:dyDescent="0.2">
      <c r="B515" s="5"/>
      <c r="C515" s="5"/>
      <c r="D515" s="5"/>
      <c r="E515" s="5"/>
      <c r="F515" s="5"/>
      <c r="G515" s="4"/>
      <c r="H515" s="4"/>
    </row>
    <row r="516" spans="2:8" x14ac:dyDescent="0.2">
      <c r="B516" s="5"/>
      <c r="C516" s="5"/>
      <c r="D516" s="5"/>
      <c r="E516" s="5"/>
      <c r="F516" s="5"/>
      <c r="G516" s="4"/>
      <c r="H516" s="4"/>
    </row>
    <row r="517" spans="2:8" x14ac:dyDescent="0.2">
      <c r="B517" s="5"/>
      <c r="C517" s="5"/>
      <c r="D517" s="5"/>
      <c r="E517" s="5"/>
      <c r="F517" s="5"/>
      <c r="G517" s="4"/>
      <c r="H517" s="4"/>
    </row>
    <row r="518" spans="2:8" x14ac:dyDescent="0.2">
      <c r="B518" s="5"/>
      <c r="C518" s="5"/>
      <c r="D518" s="5"/>
      <c r="E518" s="5"/>
      <c r="F518" s="5"/>
      <c r="G518" s="4"/>
      <c r="H518" s="4"/>
    </row>
    <row r="519" spans="2:8" x14ac:dyDescent="0.2">
      <c r="B519" s="5"/>
      <c r="C519" s="5"/>
      <c r="D519" s="5"/>
      <c r="E519" s="5"/>
      <c r="F519" s="5"/>
      <c r="G519" s="4"/>
      <c r="H519" s="4"/>
    </row>
    <row r="520" spans="2:8" x14ac:dyDescent="0.2">
      <c r="B520" s="5"/>
      <c r="C520" s="5"/>
      <c r="D520" s="5"/>
      <c r="E520" s="5"/>
      <c r="F520" s="5"/>
      <c r="G520" s="4"/>
      <c r="H520" s="4"/>
    </row>
    <row r="521" spans="2:8" x14ac:dyDescent="0.2">
      <c r="B521" s="5"/>
      <c r="C521" s="5"/>
      <c r="D521" s="5"/>
      <c r="E521" s="5"/>
      <c r="F521" s="5"/>
      <c r="G521" s="4"/>
      <c r="H521" s="4"/>
    </row>
    <row r="522" spans="2:8" x14ac:dyDescent="0.2">
      <c r="B522" s="5"/>
      <c r="C522" s="5"/>
      <c r="D522" s="5"/>
      <c r="E522" s="5"/>
      <c r="F522" s="5"/>
      <c r="G522" s="4"/>
      <c r="H522" s="4"/>
    </row>
    <row r="523" spans="2:8" x14ac:dyDescent="0.2">
      <c r="B523" s="5"/>
      <c r="C523" s="5"/>
      <c r="D523" s="5"/>
      <c r="E523" s="5"/>
      <c r="F523" s="5"/>
      <c r="G523" s="4"/>
      <c r="H523" s="4"/>
    </row>
    <row r="524" spans="2:8" x14ac:dyDescent="0.2">
      <c r="B524" s="5"/>
      <c r="C524" s="5"/>
      <c r="D524" s="5"/>
      <c r="E524" s="5"/>
      <c r="F524" s="5"/>
      <c r="G524" s="4"/>
      <c r="H524" s="4"/>
    </row>
    <row r="525" spans="2:8" x14ac:dyDescent="0.2">
      <c r="B525" s="5"/>
      <c r="C525" s="5"/>
      <c r="D525" s="5"/>
      <c r="E525" s="5"/>
      <c r="F525" s="5"/>
      <c r="G525" s="4"/>
      <c r="H525" s="4"/>
    </row>
    <row r="526" spans="2:8" x14ac:dyDescent="0.2">
      <c r="B526" s="5"/>
      <c r="C526" s="5"/>
      <c r="D526" s="5"/>
      <c r="E526" s="5"/>
      <c r="F526" s="5"/>
      <c r="G526" s="4"/>
      <c r="H526" s="4"/>
    </row>
    <row r="527" spans="2:8" x14ac:dyDescent="0.2">
      <c r="B527" s="5"/>
      <c r="C527" s="5"/>
      <c r="D527" s="5"/>
      <c r="E527" s="5"/>
      <c r="F527" s="5"/>
      <c r="G527" s="4"/>
      <c r="H527" s="4"/>
    </row>
    <row r="528" spans="2:8" x14ac:dyDescent="0.2">
      <c r="B528" s="5"/>
      <c r="C528" s="5"/>
      <c r="D528" s="5"/>
      <c r="E528" s="5"/>
      <c r="F528" s="5"/>
      <c r="G528" s="4"/>
      <c r="H528" s="4"/>
    </row>
    <row r="529" spans="2:8" x14ac:dyDescent="0.2">
      <c r="B529" s="5"/>
      <c r="C529" s="5"/>
      <c r="D529" s="5"/>
      <c r="E529" s="5"/>
      <c r="F529" s="5"/>
      <c r="G529" s="4"/>
      <c r="H529" s="4"/>
    </row>
    <row r="530" spans="2:8" x14ac:dyDescent="0.2">
      <c r="B530" s="5"/>
      <c r="C530" s="5"/>
      <c r="D530" s="5"/>
      <c r="E530" s="5"/>
      <c r="F530" s="5"/>
      <c r="G530" s="4"/>
      <c r="H530" s="4"/>
    </row>
    <row r="531" spans="2:8" x14ac:dyDescent="0.2">
      <c r="B531" s="5"/>
      <c r="C531" s="5"/>
      <c r="D531" s="5"/>
      <c r="E531" s="5"/>
      <c r="F531" s="5"/>
      <c r="G531" s="4"/>
      <c r="H531" s="4"/>
    </row>
    <row r="532" spans="2:8" x14ac:dyDescent="0.2">
      <c r="B532" s="5"/>
      <c r="C532" s="5"/>
      <c r="D532" s="5"/>
      <c r="E532" s="5"/>
      <c r="F532" s="5"/>
      <c r="G532" s="4"/>
      <c r="H532" s="4"/>
    </row>
    <row r="533" spans="2:8" x14ac:dyDescent="0.2">
      <c r="B533" s="5"/>
      <c r="C533" s="5"/>
      <c r="D533" s="5"/>
      <c r="E533" s="5"/>
      <c r="F533" s="5"/>
      <c r="G533" s="4"/>
      <c r="H533" s="4"/>
    </row>
    <row r="534" spans="2:8" x14ac:dyDescent="0.2">
      <c r="B534" s="5"/>
      <c r="C534" s="5"/>
      <c r="D534" s="5"/>
      <c r="E534" s="5"/>
      <c r="F534" s="5"/>
      <c r="G534" s="4"/>
      <c r="H534" s="4"/>
    </row>
    <row r="535" spans="2:8" x14ac:dyDescent="0.2">
      <c r="B535" s="5"/>
      <c r="C535" s="5"/>
      <c r="D535" s="5"/>
      <c r="E535" s="5"/>
      <c r="F535" s="5"/>
      <c r="G535" s="4"/>
      <c r="H535" s="4"/>
    </row>
    <row r="536" spans="2:8" x14ac:dyDescent="0.2">
      <c r="B536" s="5"/>
      <c r="C536" s="5"/>
      <c r="D536" s="5"/>
      <c r="E536" s="5"/>
      <c r="F536" s="5"/>
      <c r="G536" s="4"/>
      <c r="H536" s="4"/>
    </row>
    <row r="537" spans="2:8" x14ac:dyDescent="0.2">
      <c r="B537" s="5"/>
      <c r="C537" s="5"/>
      <c r="D537" s="5"/>
      <c r="E537" s="5"/>
      <c r="F537" s="5"/>
      <c r="G537" s="4"/>
      <c r="H537" s="4"/>
    </row>
    <row r="538" spans="2:8" x14ac:dyDescent="0.2">
      <c r="B538" s="5"/>
      <c r="C538" s="5"/>
      <c r="D538" s="5"/>
      <c r="E538" s="5"/>
      <c r="F538" s="5"/>
      <c r="G538" s="4"/>
      <c r="H538" s="4"/>
    </row>
    <row r="539" spans="2:8" x14ac:dyDescent="0.2">
      <c r="B539" s="5"/>
      <c r="C539" s="5"/>
      <c r="D539" s="5"/>
      <c r="E539" s="5"/>
      <c r="F539" s="5"/>
      <c r="G539" s="4"/>
      <c r="H539" s="4"/>
    </row>
    <row r="540" spans="2:8" x14ac:dyDescent="0.2">
      <c r="B540" s="5"/>
      <c r="C540" s="5"/>
      <c r="D540" s="5"/>
      <c r="E540" s="5"/>
      <c r="F540" s="5"/>
      <c r="G540" s="4"/>
      <c r="H540" s="4"/>
    </row>
    <row r="541" spans="2:8" x14ac:dyDescent="0.2">
      <c r="B541" s="5"/>
      <c r="C541" s="5"/>
      <c r="D541" s="5"/>
      <c r="E541" s="5"/>
      <c r="F541" s="5"/>
      <c r="G541" s="4"/>
      <c r="H541" s="4"/>
    </row>
    <row r="542" spans="2:8" x14ac:dyDescent="0.2">
      <c r="B542" s="5"/>
      <c r="C542" s="5"/>
      <c r="D542" s="5"/>
      <c r="E542" s="5"/>
      <c r="F542" s="5"/>
      <c r="G542" s="4"/>
      <c r="H542" s="4"/>
    </row>
    <row r="543" spans="2:8" x14ac:dyDescent="0.2">
      <c r="B543" s="5"/>
      <c r="C543" s="5"/>
      <c r="D543" s="5"/>
      <c r="E543" s="5"/>
      <c r="F543" s="5"/>
      <c r="G543" s="4"/>
      <c r="H543" s="4"/>
    </row>
    <row r="544" spans="2:8" x14ac:dyDescent="0.2">
      <c r="B544" s="5"/>
      <c r="C544" s="5"/>
      <c r="D544" s="5"/>
      <c r="E544" s="5"/>
      <c r="F544" s="5"/>
      <c r="G544" s="4"/>
      <c r="H544" s="4"/>
    </row>
    <row r="545" spans="2:8" x14ac:dyDescent="0.2">
      <c r="B545" s="5"/>
      <c r="C545" s="5"/>
      <c r="D545" s="5"/>
      <c r="E545" s="5"/>
      <c r="F545" s="5"/>
      <c r="G545" s="4"/>
      <c r="H545" s="4"/>
    </row>
    <row r="546" spans="2:8" x14ac:dyDescent="0.2">
      <c r="B546" s="5"/>
      <c r="C546" s="5"/>
      <c r="D546" s="5"/>
      <c r="E546" s="5"/>
      <c r="F546" s="5"/>
      <c r="G546" s="4"/>
      <c r="H546" s="4"/>
    </row>
    <row r="547" spans="2:8" x14ac:dyDescent="0.2">
      <c r="B547" s="5"/>
      <c r="C547" s="5"/>
      <c r="D547" s="5"/>
      <c r="E547" s="5"/>
      <c r="F547" s="5"/>
      <c r="G547" s="4"/>
      <c r="H547" s="4"/>
    </row>
    <row r="548" spans="2:8" x14ac:dyDescent="0.2">
      <c r="B548" s="5"/>
      <c r="C548" s="5"/>
      <c r="D548" s="5"/>
      <c r="E548" s="5"/>
      <c r="F548" s="5"/>
      <c r="G548" s="4"/>
      <c r="H548" s="4"/>
    </row>
    <row r="549" spans="2:8" x14ac:dyDescent="0.2">
      <c r="B549" s="5"/>
      <c r="C549" s="5"/>
      <c r="D549" s="5"/>
      <c r="E549" s="5"/>
      <c r="F549" s="5"/>
      <c r="G549" s="4"/>
      <c r="H549" s="4"/>
    </row>
    <row r="550" spans="2:8" x14ac:dyDescent="0.2">
      <c r="B550" s="5"/>
      <c r="C550" s="5"/>
      <c r="D550" s="5"/>
      <c r="E550" s="5"/>
      <c r="F550" s="5"/>
      <c r="G550" s="4"/>
      <c r="H550" s="4"/>
    </row>
    <row r="551" spans="2:8" x14ac:dyDescent="0.2">
      <c r="B551" s="5"/>
      <c r="C551" s="5"/>
      <c r="D551" s="5"/>
      <c r="E551" s="5"/>
      <c r="F551" s="5"/>
      <c r="G551" s="4"/>
      <c r="H551" s="4"/>
    </row>
    <row r="552" spans="2:8" x14ac:dyDescent="0.2">
      <c r="B552" s="5"/>
      <c r="C552" s="5"/>
      <c r="D552" s="5"/>
      <c r="E552" s="5"/>
      <c r="F552" s="5"/>
      <c r="G552" s="4"/>
      <c r="H552" s="4"/>
    </row>
    <row r="553" spans="2:8" x14ac:dyDescent="0.2">
      <c r="B553" s="5"/>
      <c r="C553" s="5"/>
      <c r="D553" s="5"/>
      <c r="E553" s="5"/>
      <c r="F553" s="5"/>
      <c r="G553" s="4"/>
      <c r="H553" s="4"/>
    </row>
    <row r="554" spans="2:8" x14ac:dyDescent="0.2">
      <c r="B554" s="5"/>
      <c r="C554" s="5"/>
      <c r="D554" s="5"/>
      <c r="E554" s="5"/>
      <c r="F554" s="5"/>
      <c r="G554" s="4"/>
      <c r="H554" s="4"/>
    </row>
    <row r="555" spans="2:8" x14ac:dyDescent="0.2">
      <c r="B555" s="5"/>
      <c r="C555" s="5"/>
      <c r="D555" s="5"/>
      <c r="E555" s="5"/>
      <c r="F555" s="5"/>
      <c r="G555" s="4"/>
      <c r="H555" s="4"/>
    </row>
    <row r="556" spans="2:8" x14ac:dyDescent="0.2">
      <c r="B556" s="5"/>
      <c r="C556" s="5"/>
      <c r="D556" s="5"/>
      <c r="E556" s="5"/>
      <c r="F556" s="5"/>
      <c r="G556" s="4"/>
      <c r="H556" s="4"/>
    </row>
    <row r="557" spans="2:8" x14ac:dyDescent="0.2">
      <c r="B557" s="5"/>
      <c r="C557" s="5"/>
      <c r="D557" s="5"/>
      <c r="E557" s="5"/>
      <c r="F557" s="5"/>
      <c r="G557" s="4"/>
      <c r="H557" s="4"/>
    </row>
    <row r="558" spans="2:8" x14ac:dyDescent="0.2">
      <c r="B558" s="5"/>
      <c r="C558" s="5"/>
      <c r="D558" s="5"/>
      <c r="E558" s="5"/>
      <c r="F558" s="5"/>
      <c r="G558" s="4"/>
      <c r="H558" s="4"/>
    </row>
    <row r="559" spans="2:8" x14ac:dyDescent="0.2">
      <c r="B559" s="5"/>
      <c r="C559" s="5"/>
      <c r="D559" s="5"/>
      <c r="E559" s="5"/>
      <c r="F559" s="5"/>
      <c r="G559" s="4"/>
      <c r="H559" s="4"/>
    </row>
    <row r="560" spans="2:8" x14ac:dyDescent="0.2">
      <c r="B560" s="5"/>
      <c r="C560" s="5"/>
      <c r="D560" s="5"/>
      <c r="E560" s="5"/>
      <c r="F560" s="5"/>
      <c r="G560" s="4"/>
      <c r="H560" s="4"/>
    </row>
    <row r="561" spans="2:8" x14ac:dyDescent="0.2">
      <c r="B561" s="5"/>
      <c r="C561" s="5"/>
      <c r="D561" s="5"/>
      <c r="E561" s="5"/>
      <c r="F561" s="5"/>
      <c r="G561" s="4"/>
      <c r="H561" s="4"/>
    </row>
    <row r="562" spans="2:8" x14ac:dyDescent="0.2">
      <c r="B562" s="5"/>
      <c r="C562" s="5"/>
      <c r="D562" s="5"/>
      <c r="E562" s="5"/>
      <c r="F562" s="5"/>
      <c r="G562" s="4"/>
      <c r="H562" s="4"/>
    </row>
    <row r="563" spans="2:8" x14ac:dyDescent="0.2">
      <c r="B563" s="5"/>
      <c r="C563" s="5"/>
      <c r="D563" s="5"/>
      <c r="E563" s="5"/>
      <c r="F563" s="5"/>
      <c r="G563" s="4"/>
      <c r="H563" s="4"/>
    </row>
    <row r="564" spans="2:8" x14ac:dyDescent="0.2">
      <c r="B564" s="5"/>
      <c r="C564" s="5"/>
      <c r="D564" s="5"/>
      <c r="E564" s="5"/>
      <c r="F564" s="5"/>
      <c r="G564" s="4"/>
      <c r="H564" s="4"/>
    </row>
    <row r="565" spans="2:8" x14ac:dyDescent="0.2">
      <c r="B565" s="5"/>
      <c r="C565" s="5"/>
      <c r="D565" s="5"/>
      <c r="E565" s="5"/>
      <c r="F565" s="5"/>
      <c r="G565" s="4"/>
      <c r="H565" s="4"/>
    </row>
    <row r="566" spans="2:8" x14ac:dyDescent="0.2">
      <c r="B566" s="5"/>
      <c r="C566" s="5"/>
      <c r="D566" s="5"/>
      <c r="E566" s="5"/>
      <c r="F566" s="5"/>
      <c r="G566" s="4"/>
      <c r="H566" s="4"/>
    </row>
    <row r="567" spans="2:8" x14ac:dyDescent="0.2">
      <c r="B567" s="5"/>
      <c r="C567" s="5"/>
      <c r="D567" s="5"/>
      <c r="E567" s="5"/>
      <c r="F567" s="5"/>
      <c r="G567" s="4"/>
      <c r="H567" s="4"/>
    </row>
    <row r="568" spans="2:8" x14ac:dyDescent="0.2">
      <c r="B568" s="5"/>
      <c r="C568" s="5"/>
      <c r="D568" s="5"/>
      <c r="E568" s="5"/>
      <c r="F568" s="5"/>
      <c r="G568" s="4"/>
      <c r="H568" s="4"/>
    </row>
    <row r="569" spans="2:8" x14ac:dyDescent="0.2">
      <c r="B569" s="5"/>
      <c r="C569" s="5"/>
      <c r="D569" s="5"/>
      <c r="E569" s="5"/>
      <c r="F569" s="5"/>
      <c r="G569" s="4"/>
      <c r="H569" s="4"/>
    </row>
    <row r="570" spans="2:8" x14ac:dyDescent="0.2">
      <c r="B570" s="5"/>
      <c r="C570" s="5"/>
      <c r="D570" s="5"/>
      <c r="E570" s="5"/>
      <c r="F570" s="5"/>
      <c r="G570" s="4"/>
      <c r="H570" s="4"/>
    </row>
    <row r="571" spans="2:8" x14ac:dyDescent="0.2">
      <c r="B571" s="5"/>
      <c r="C571" s="5"/>
      <c r="D571" s="5"/>
      <c r="E571" s="5"/>
      <c r="F571" s="5"/>
      <c r="G571" s="4"/>
      <c r="H571" s="4"/>
    </row>
    <row r="572" spans="2:8" x14ac:dyDescent="0.2">
      <c r="B572" s="5"/>
      <c r="C572" s="5"/>
      <c r="D572" s="5"/>
      <c r="E572" s="5"/>
      <c r="F572" s="5"/>
      <c r="G572" s="4"/>
      <c r="H572" s="4"/>
    </row>
    <row r="573" spans="2:8" x14ac:dyDescent="0.2">
      <c r="B573" s="5"/>
      <c r="C573" s="5"/>
      <c r="D573" s="5"/>
      <c r="E573" s="5"/>
      <c r="F573" s="5"/>
      <c r="G573" s="4"/>
      <c r="H573" s="4"/>
    </row>
    <row r="574" spans="2:8" x14ac:dyDescent="0.2">
      <c r="B574" s="5"/>
      <c r="C574" s="5"/>
      <c r="D574" s="5"/>
      <c r="E574" s="5"/>
      <c r="F574" s="5"/>
      <c r="G574" s="4"/>
      <c r="H574" s="4"/>
    </row>
    <row r="575" spans="2:8" x14ac:dyDescent="0.2">
      <c r="B575" s="5"/>
      <c r="C575" s="5"/>
      <c r="D575" s="5"/>
      <c r="E575" s="5"/>
      <c r="F575" s="5"/>
      <c r="G575" s="4"/>
      <c r="H575" s="4"/>
    </row>
    <row r="576" spans="2:8" x14ac:dyDescent="0.2">
      <c r="B576" s="5"/>
      <c r="C576" s="5"/>
      <c r="D576" s="5"/>
      <c r="E576" s="5"/>
      <c r="F576" s="5"/>
      <c r="G576" s="4"/>
      <c r="H576" s="4"/>
    </row>
    <row r="577" spans="2:8" x14ac:dyDescent="0.2">
      <c r="B577" s="5"/>
      <c r="C577" s="5"/>
      <c r="D577" s="5"/>
      <c r="E577" s="5"/>
      <c r="F577" s="5"/>
      <c r="G577" s="4"/>
      <c r="H577" s="4"/>
    </row>
    <row r="578" spans="2:8" x14ac:dyDescent="0.2">
      <c r="B578" s="5"/>
      <c r="C578" s="5"/>
      <c r="D578" s="5"/>
      <c r="E578" s="5"/>
      <c r="F578" s="5"/>
      <c r="G578" s="4"/>
      <c r="H578" s="4"/>
    </row>
    <row r="579" spans="2:8" x14ac:dyDescent="0.2">
      <c r="B579" s="5"/>
      <c r="C579" s="5"/>
      <c r="D579" s="5"/>
      <c r="E579" s="5"/>
      <c r="F579" s="5"/>
      <c r="G579" s="4"/>
      <c r="H579" s="4"/>
    </row>
    <row r="580" spans="2:8" x14ac:dyDescent="0.2">
      <c r="B580" s="5"/>
      <c r="C580" s="5"/>
      <c r="D580" s="5"/>
      <c r="E580" s="5"/>
      <c r="F580" s="5"/>
      <c r="G580" s="4"/>
      <c r="H580" s="4"/>
    </row>
    <row r="581" spans="2:8" x14ac:dyDescent="0.2">
      <c r="B581" s="5"/>
      <c r="C581" s="5"/>
      <c r="D581" s="5"/>
      <c r="E581" s="5"/>
      <c r="F581" s="5"/>
      <c r="G581" s="4"/>
      <c r="H581" s="4"/>
    </row>
    <row r="582" spans="2:8" x14ac:dyDescent="0.2">
      <c r="B582" s="5"/>
      <c r="C582" s="5"/>
      <c r="D582" s="5"/>
      <c r="E582" s="5"/>
      <c r="F582" s="5"/>
      <c r="G582" s="4"/>
      <c r="H582" s="4"/>
    </row>
    <row r="583" spans="2:8" x14ac:dyDescent="0.2">
      <c r="B583" s="5"/>
      <c r="C583" s="5"/>
      <c r="D583" s="5"/>
      <c r="E583" s="5"/>
      <c r="F583" s="5"/>
      <c r="G583" s="4"/>
      <c r="H583" s="4"/>
    </row>
    <row r="584" spans="2:8" x14ac:dyDescent="0.2">
      <c r="B584" s="5"/>
      <c r="C584" s="5"/>
      <c r="D584" s="5"/>
      <c r="E584" s="5"/>
      <c r="F584" s="5"/>
      <c r="G584" s="4"/>
      <c r="H584" s="4"/>
    </row>
    <row r="585" spans="2:8" x14ac:dyDescent="0.2">
      <c r="B585" s="5"/>
      <c r="C585" s="5"/>
      <c r="D585" s="5"/>
      <c r="E585" s="5"/>
      <c r="F585" s="5"/>
      <c r="G585" s="4"/>
      <c r="H585" s="4"/>
    </row>
    <row r="586" spans="2:8" x14ac:dyDescent="0.2">
      <c r="B586" s="5"/>
      <c r="C586" s="5"/>
      <c r="D586" s="5"/>
      <c r="E586" s="5"/>
      <c r="F586" s="5"/>
      <c r="G586" s="4"/>
      <c r="H586" s="4"/>
    </row>
    <row r="587" spans="2:8" x14ac:dyDescent="0.2">
      <c r="B587" s="5"/>
      <c r="C587" s="5"/>
      <c r="D587" s="5"/>
      <c r="E587" s="5"/>
      <c r="F587" s="5"/>
      <c r="G587" s="4"/>
      <c r="H587" s="4"/>
    </row>
    <row r="588" spans="2:8" x14ac:dyDescent="0.2">
      <c r="B588" s="5"/>
      <c r="C588" s="5"/>
      <c r="D588" s="5"/>
      <c r="E588" s="5"/>
      <c r="F588" s="5"/>
      <c r="G588" s="4"/>
      <c r="H588" s="4"/>
    </row>
    <row r="589" spans="2:8" x14ac:dyDescent="0.2">
      <c r="B589" s="5"/>
      <c r="C589" s="5"/>
      <c r="D589" s="5"/>
      <c r="E589" s="5"/>
      <c r="F589" s="5"/>
      <c r="G589" s="4"/>
      <c r="H589" s="4"/>
    </row>
    <row r="590" spans="2:8" x14ac:dyDescent="0.2">
      <c r="B590" s="5"/>
      <c r="C590" s="5"/>
      <c r="D590" s="5"/>
      <c r="E590" s="5"/>
      <c r="F590" s="5"/>
      <c r="G590" s="4"/>
      <c r="H590" s="4"/>
    </row>
    <row r="591" spans="2:8" x14ac:dyDescent="0.2">
      <c r="B591" s="5"/>
      <c r="C591" s="5"/>
      <c r="D591" s="5"/>
      <c r="E591" s="5"/>
      <c r="F591" s="5"/>
      <c r="G591" s="4"/>
      <c r="H591" s="4"/>
    </row>
    <row r="592" spans="2:8" x14ac:dyDescent="0.2">
      <c r="B592" s="5"/>
      <c r="C592" s="5"/>
      <c r="D592" s="5"/>
      <c r="E592" s="5"/>
      <c r="F592" s="5"/>
      <c r="G592" s="4"/>
      <c r="H592" s="4"/>
    </row>
    <row r="593" spans="2:8" x14ac:dyDescent="0.2">
      <c r="B593" s="5"/>
      <c r="C593" s="5"/>
      <c r="D593" s="5"/>
      <c r="E593" s="5"/>
      <c r="F593" s="5"/>
      <c r="G593" s="4"/>
      <c r="H593" s="4"/>
    </row>
    <row r="594" spans="2:8" x14ac:dyDescent="0.2">
      <c r="B594" s="5"/>
      <c r="C594" s="5"/>
      <c r="D594" s="5"/>
      <c r="E594" s="5"/>
      <c r="F594" s="5"/>
      <c r="G594" s="4"/>
      <c r="H594" s="4"/>
    </row>
    <row r="595" spans="2:8" x14ac:dyDescent="0.2">
      <c r="B595" s="5"/>
      <c r="C595" s="5"/>
      <c r="D595" s="5"/>
      <c r="E595" s="5"/>
      <c r="F595" s="5"/>
      <c r="G595" s="4"/>
      <c r="H595" s="4"/>
    </row>
    <row r="596" spans="2:8" x14ac:dyDescent="0.2">
      <c r="B596" s="5"/>
      <c r="C596" s="5"/>
      <c r="D596" s="5"/>
      <c r="E596" s="5"/>
      <c r="F596" s="5"/>
      <c r="G596" s="4"/>
      <c r="H596" s="4"/>
    </row>
    <row r="597" spans="2:8" x14ac:dyDescent="0.2">
      <c r="B597" s="5"/>
      <c r="C597" s="5"/>
      <c r="D597" s="5"/>
      <c r="E597" s="5"/>
      <c r="F597" s="5"/>
      <c r="G597" s="4"/>
      <c r="H597" s="4"/>
    </row>
    <row r="598" spans="2:8" x14ac:dyDescent="0.2">
      <c r="B598" s="5"/>
      <c r="C598" s="5"/>
      <c r="D598" s="5"/>
      <c r="E598" s="5"/>
      <c r="F598" s="5"/>
      <c r="G598" s="4"/>
      <c r="H598" s="4"/>
    </row>
    <row r="599" spans="2:8" x14ac:dyDescent="0.2">
      <c r="B599" s="5"/>
      <c r="C599" s="5"/>
      <c r="D599" s="5"/>
      <c r="E599" s="5"/>
      <c r="F599" s="5"/>
      <c r="G599" s="4"/>
      <c r="H599" s="4"/>
    </row>
    <row r="600" spans="2:8" x14ac:dyDescent="0.2">
      <c r="B600" s="5"/>
      <c r="C600" s="5"/>
      <c r="D600" s="5"/>
      <c r="E600" s="5"/>
      <c r="F600" s="5"/>
      <c r="G600" s="4"/>
      <c r="H600" s="4"/>
    </row>
    <row r="601" spans="2:8" x14ac:dyDescent="0.2">
      <c r="B601" s="5"/>
      <c r="C601" s="5"/>
      <c r="D601" s="5"/>
      <c r="E601" s="5"/>
      <c r="F601" s="5"/>
      <c r="G601" s="4"/>
      <c r="H601" s="4"/>
    </row>
    <row r="602" spans="2:8" x14ac:dyDescent="0.2">
      <c r="B602" s="5"/>
      <c r="C602" s="5"/>
      <c r="D602" s="5"/>
      <c r="E602" s="5"/>
      <c r="F602" s="5"/>
      <c r="G602" s="4"/>
      <c r="H602" s="4"/>
    </row>
    <row r="603" spans="2:8" x14ac:dyDescent="0.2">
      <c r="B603" s="5"/>
      <c r="C603" s="5"/>
      <c r="D603" s="5"/>
      <c r="E603" s="5"/>
      <c r="F603" s="5"/>
      <c r="G603" s="4"/>
      <c r="H603" s="4"/>
    </row>
    <row r="604" spans="2:8" x14ac:dyDescent="0.2">
      <c r="B604" s="5"/>
      <c r="C604" s="5"/>
      <c r="D604" s="5"/>
      <c r="E604" s="5"/>
      <c r="F604" s="5"/>
      <c r="G604" s="4"/>
      <c r="H604" s="4"/>
    </row>
    <row r="605" spans="2:8" x14ac:dyDescent="0.2">
      <c r="B605" s="5"/>
      <c r="C605" s="5"/>
      <c r="D605" s="5"/>
      <c r="E605" s="5"/>
      <c r="F605" s="5"/>
      <c r="G605" s="4"/>
      <c r="H605" s="4"/>
    </row>
    <row r="606" spans="2:8" x14ac:dyDescent="0.2">
      <c r="B606" s="5"/>
      <c r="C606" s="5"/>
      <c r="D606" s="5"/>
      <c r="E606" s="5"/>
      <c r="F606" s="5"/>
      <c r="G606" s="4"/>
      <c r="H606" s="4"/>
    </row>
    <row r="607" spans="2:8" x14ac:dyDescent="0.2">
      <c r="B607" s="5"/>
      <c r="C607" s="5"/>
      <c r="D607" s="5"/>
      <c r="E607" s="5"/>
      <c r="F607" s="5"/>
      <c r="G607" s="4"/>
      <c r="H607" s="4"/>
    </row>
    <row r="608" spans="2:8" x14ac:dyDescent="0.2">
      <c r="B608" s="5"/>
      <c r="C608" s="5"/>
      <c r="D608" s="5"/>
      <c r="E608" s="5"/>
      <c r="F608" s="5"/>
      <c r="G608" s="4"/>
      <c r="H608" s="4"/>
    </row>
    <row r="609" spans="2:8" x14ac:dyDescent="0.2">
      <c r="B609" s="5"/>
      <c r="C609" s="5"/>
      <c r="D609" s="5"/>
      <c r="E609" s="5"/>
      <c r="F609" s="5"/>
      <c r="G609" s="4"/>
      <c r="H609" s="4"/>
    </row>
    <row r="610" spans="2:8" x14ac:dyDescent="0.2">
      <c r="B610" s="5"/>
      <c r="C610" s="5"/>
      <c r="D610" s="5"/>
      <c r="E610" s="5"/>
      <c r="F610" s="5"/>
      <c r="G610" s="4"/>
      <c r="H610" s="4"/>
    </row>
    <row r="611" spans="2:8" x14ac:dyDescent="0.2">
      <c r="B611" s="5"/>
      <c r="C611" s="5"/>
      <c r="D611" s="5"/>
      <c r="E611" s="5"/>
      <c r="F611" s="5"/>
      <c r="G611" s="4"/>
      <c r="H611" s="4"/>
    </row>
    <row r="612" spans="2:8" x14ac:dyDescent="0.2">
      <c r="B612" s="5"/>
      <c r="C612" s="5"/>
      <c r="D612" s="5"/>
      <c r="E612" s="5"/>
      <c r="F612" s="5"/>
      <c r="G612" s="4"/>
      <c r="H612" s="4"/>
    </row>
    <row r="613" spans="2:8" x14ac:dyDescent="0.2">
      <c r="B613" s="5"/>
      <c r="C613" s="5"/>
      <c r="D613" s="5"/>
      <c r="E613" s="5"/>
      <c r="F613" s="5"/>
      <c r="G613" s="4"/>
      <c r="H613" s="4"/>
    </row>
    <row r="614" spans="2:8" x14ac:dyDescent="0.2">
      <c r="B614" s="5"/>
      <c r="C614" s="5"/>
      <c r="D614" s="5"/>
      <c r="E614" s="5"/>
      <c r="F614" s="5"/>
      <c r="G614" s="4"/>
      <c r="H614" s="4"/>
    </row>
    <row r="615" spans="2:8" x14ac:dyDescent="0.2">
      <c r="B615" s="5"/>
      <c r="C615" s="5"/>
      <c r="D615" s="5"/>
      <c r="E615" s="5"/>
      <c r="F615" s="5"/>
      <c r="G615" s="4"/>
      <c r="H615" s="4"/>
    </row>
    <row r="616" spans="2:8" x14ac:dyDescent="0.2">
      <c r="B616" s="5"/>
      <c r="C616" s="5"/>
      <c r="D616" s="5"/>
      <c r="E616" s="5"/>
      <c r="F616" s="5"/>
      <c r="G616" s="4"/>
      <c r="H616" s="4"/>
    </row>
    <row r="617" spans="2:8" x14ac:dyDescent="0.2">
      <c r="B617" s="5"/>
      <c r="C617" s="5"/>
      <c r="D617" s="5"/>
      <c r="E617" s="5"/>
      <c r="F617" s="5"/>
      <c r="G617" s="4"/>
      <c r="H617" s="4"/>
    </row>
    <row r="618" spans="2:8" x14ac:dyDescent="0.2">
      <c r="B618" s="5"/>
      <c r="C618" s="5"/>
      <c r="D618" s="5"/>
      <c r="E618" s="5"/>
      <c r="F618" s="5"/>
      <c r="G618" s="4"/>
      <c r="H618" s="4"/>
    </row>
    <row r="619" spans="2:8" x14ac:dyDescent="0.2">
      <c r="B619" s="5"/>
      <c r="C619" s="5"/>
      <c r="D619" s="5"/>
      <c r="E619" s="5"/>
      <c r="F619" s="5"/>
      <c r="G619" s="4"/>
      <c r="H619" s="4"/>
    </row>
    <row r="620" spans="2:8" x14ac:dyDescent="0.2">
      <c r="B620" s="5"/>
      <c r="C620" s="5"/>
      <c r="D620" s="5"/>
      <c r="E620" s="5"/>
      <c r="F620" s="5"/>
      <c r="G620" s="4"/>
      <c r="H620" s="4"/>
    </row>
    <row r="621" spans="2:8" x14ac:dyDescent="0.2">
      <c r="B621" s="5"/>
      <c r="C621" s="5"/>
      <c r="D621" s="5"/>
      <c r="E621" s="5"/>
      <c r="F621" s="5"/>
      <c r="G621" s="4"/>
      <c r="H621" s="4"/>
    </row>
    <row r="622" spans="2:8" x14ac:dyDescent="0.2">
      <c r="B622" s="5"/>
      <c r="C622" s="5"/>
      <c r="D622" s="5"/>
      <c r="E622" s="5"/>
      <c r="F622" s="5"/>
      <c r="G622" s="4"/>
      <c r="H622" s="4"/>
    </row>
    <row r="623" spans="2:8" x14ac:dyDescent="0.2">
      <c r="B623" s="5"/>
      <c r="C623" s="5"/>
      <c r="D623" s="5"/>
      <c r="E623" s="5"/>
      <c r="F623" s="5"/>
      <c r="G623" s="4"/>
      <c r="H623" s="4"/>
    </row>
    <row r="624" spans="2:8" x14ac:dyDescent="0.2">
      <c r="B624" s="5"/>
      <c r="C624" s="5"/>
      <c r="D624" s="5"/>
      <c r="E624" s="5"/>
      <c r="F624" s="5"/>
      <c r="G624" s="4"/>
      <c r="H624" s="4"/>
    </row>
    <row r="625" spans="2:8" x14ac:dyDescent="0.2">
      <c r="B625" s="5"/>
      <c r="C625" s="5"/>
      <c r="D625" s="5"/>
      <c r="E625" s="5"/>
      <c r="F625" s="5"/>
      <c r="G625" s="4"/>
      <c r="H625" s="4"/>
    </row>
    <row r="626" spans="2:8" x14ac:dyDescent="0.2">
      <c r="B626" s="5"/>
      <c r="C626" s="5"/>
      <c r="D626" s="5"/>
      <c r="E626" s="5"/>
      <c r="F626" s="5"/>
      <c r="G626" s="4"/>
      <c r="H626" s="4"/>
    </row>
    <row r="627" spans="2:8" x14ac:dyDescent="0.2">
      <c r="B627" s="5"/>
      <c r="C627" s="5"/>
      <c r="D627" s="5"/>
      <c r="E627" s="5"/>
      <c r="F627" s="5"/>
      <c r="G627" s="4"/>
      <c r="H627" s="4"/>
    </row>
    <row r="628" spans="2:8" x14ac:dyDescent="0.2">
      <c r="B628" s="5"/>
      <c r="C628" s="5"/>
      <c r="D628" s="5"/>
      <c r="E628" s="5"/>
      <c r="F628" s="5"/>
      <c r="G628" s="4"/>
      <c r="H628" s="4"/>
    </row>
    <row r="629" spans="2:8" x14ac:dyDescent="0.2">
      <c r="B629" s="5"/>
      <c r="C629" s="5"/>
      <c r="D629" s="5"/>
      <c r="E629" s="5"/>
      <c r="F629" s="5"/>
      <c r="G629" s="4"/>
      <c r="H629" s="4"/>
    </row>
    <row r="630" spans="2:8" x14ac:dyDescent="0.2">
      <c r="B630" s="5"/>
      <c r="C630" s="5"/>
      <c r="D630" s="5"/>
      <c r="E630" s="5"/>
      <c r="F630" s="5"/>
      <c r="G630" s="4"/>
      <c r="H630" s="4"/>
    </row>
    <row r="631" spans="2:8" x14ac:dyDescent="0.2">
      <c r="B631" s="5"/>
      <c r="C631" s="5"/>
      <c r="D631" s="5"/>
      <c r="E631" s="5"/>
      <c r="F631" s="5"/>
      <c r="G631" s="4"/>
      <c r="H631" s="4"/>
    </row>
    <row r="632" spans="2:8" x14ac:dyDescent="0.2">
      <c r="B632" s="5"/>
      <c r="C632" s="5"/>
      <c r="D632" s="5"/>
      <c r="E632" s="5"/>
      <c r="F632" s="5"/>
      <c r="G632" s="4"/>
      <c r="H632" s="4"/>
    </row>
    <row r="633" spans="2:8" x14ac:dyDescent="0.2">
      <c r="B633" s="5"/>
      <c r="C633" s="5"/>
      <c r="D633" s="5"/>
      <c r="E633" s="5"/>
      <c r="F633" s="5"/>
      <c r="G633" s="4"/>
      <c r="H633" s="4"/>
    </row>
    <row r="634" spans="2:8" x14ac:dyDescent="0.2">
      <c r="B634" s="5"/>
      <c r="C634" s="5"/>
      <c r="D634" s="5"/>
      <c r="E634" s="5"/>
      <c r="F634" s="5"/>
      <c r="G634" s="4"/>
      <c r="H634" s="4"/>
    </row>
    <row r="635" spans="2:8" x14ac:dyDescent="0.2">
      <c r="B635" s="5"/>
      <c r="C635" s="5"/>
      <c r="D635" s="5"/>
      <c r="E635" s="5"/>
      <c r="F635" s="5"/>
      <c r="G635" s="4"/>
      <c r="H635" s="4"/>
    </row>
    <row r="636" spans="2:8" x14ac:dyDescent="0.2">
      <c r="B636" s="5"/>
      <c r="C636" s="5"/>
      <c r="D636" s="5"/>
      <c r="E636" s="5"/>
      <c r="F636" s="5"/>
      <c r="G636" s="4"/>
      <c r="H636" s="4"/>
    </row>
    <row r="637" spans="2:8" x14ac:dyDescent="0.2">
      <c r="B637" s="5"/>
      <c r="C637" s="5"/>
      <c r="D637" s="5"/>
      <c r="E637" s="5"/>
      <c r="F637" s="5"/>
      <c r="G637" s="4"/>
      <c r="H637" s="4"/>
    </row>
    <row r="638" spans="2:8" x14ac:dyDescent="0.2">
      <c r="B638" s="5"/>
      <c r="C638" s="5"/>
      <c r="D638" s="5"/>
      <c r="E638" s="5"/>
      <c r="F638" s="5"/>
      <c r="G638" s="4"/>
      <c r="H638" s="4"/>
    </row>
    <row r="639" spans="2:8" x14ac:dyDescent="0.2">
      <c r="B639" s="5"/>
      <c r="C639" s="5"/>
      <c r="D639" s="5"/>
      <c r="E639" s="5"/>
      <c r="F639" s="5"/>
      <c r="G639" s="4"/>
      <c r="H639" s="4"/>
    </row>
    <row r="640" spans="2:8" x14ac:dyDescent="0.2">
      <c r="B640" s="5"/>
      <c r="C640" s="5"/>
      <c r="D640" s="5"/>
      <c r="E640" s="5"/>
      <c r="F640" s="5"/>
      <c r="G640" s="4"/>
      <c r="H640" s="4"/>
    </row>
    <row r="641" spans="2:8" x14ac:dyDescent="0.2">
      <c r="B641" s="5"/>
      <c r="C641" s="5"/>
      <c r="D641" s="5"/>
      <c r="E641" s="5"/>
      <c r="F641" s="5"/>
      <c r="G641" s="4"/>
      <c r="H641" s="4"/>
    </row>
    <row r="642" spans="2:8" x14ac:dyDescent="0.2">
      <c r="B642" s="5"/>
      <c r="C642" s="5"/>
      <c r="D642" s="5"/>
      <c r="E642" s="5"/>
      <c r="F642" s="5"/>
      <c r="G642" s="4"/>
      <c r="H642" s="4"/>
    </row>
    <row r="643" spans="2:8" x14ac:dyDescent="0.2">
      <c r="B643" s="5"/>
      <c r="C643" s="5"/>
      <c r="D643" s="5"/>
      <c r="E643" s="5"/>
      <c r="F643" s="5"/>
      <c r="G643" s="4"/>
      <c r="H643" s="4"/>
    </row>
    <row r="644" spans="2:8" x14ac:dyDescent="0.2">
      <c r="B644" s="5"/>
      <c r="C644" s="5"/>
      <c r="D644" s="5"/>
      <c r="E644" s="5"/>
      <c r="F644" s="5"/>
      <c r="G644" s="4"/>
      <c r="H644" s="4"/>
    </row>
    <row r="645" spans="2:8" x14ac:dyDescent="0.2">
      <c r="B645" s="5"/>
      <c r="C645" s="5"/>
      <c r="D645" s="5"/>
      <c r="E645" s="5"/>
      <c r="F645" s="5"/>
      <c r="G645" s="4"/>
      <c r="H645" s="4"/>
    </row>
    <row r="646" spans="2:8" x14ac:dyDescent="0.2">
      <c r="B646" s="5"/>
      <c r="C646" s="5"/>
      <c r="D646" s="5"/>
      <c r="E646" s="5"/>
      <c r="F646" s="5"/>
      <c r="G646" s="4"/>
      <c r="H646" s="4"/>
    </row>
    <row r="647" spans="2:8" x14ac:dyDescent="0.2">
      <c r="B647" s="5"/>
      <c r="C647" s="5"/>
      <c r="D647" s="5"/>
      <c r="E647" s="5"/>
      <c r="F647" s="5"/>
      <c r="G647" s="4"/>
      <c r="H647" s="4"/>
    </row>
    <row r="648" spans="2:8" x14ac:dyDescent="0.2">
      <c r="B648" s="5"/>
      <c r="C648" s="5"/>
      <c r="D648" s="5"/>
      <c r="E648" s="5"/>
      <c r="F648" s="5"/>
      <c r="G648" s="4"/>
      <c r="H648" s="4"/>
    </row>
    <row r="649" spans="2:8" x14ac:dyDescent="0.2">
      <c r="B649" s="5"/>
      <c r="C649" s="5"/>
      <c r="D649" s="5"/>
      <c r="E649" s="5"/>
      <c r="F649" s="5"/>
      <c r="G649" s="4"/>
      <c r="H649" s="4"/>
    </row>
    <row r="650" spans="2:8" x14ac:dyDescent="0.2">
      <c r="B650" s="5"/>
      <c r="C650" s="5"/>
      <c r="D650" s="5"/>
      <c r="E650" s="5"/>
      <c r="F650" s="5"/>
      <c r="G650" s="4"/>
      <c r="H650" s="4"/>
    </row>
    <row r="651" spans="2:8" x14ac:dyDescent="0.2">
      <c r="B651" s="5"/>
      <c r="C651" s="5"/>
      <c r="D651" s="5"/>
      <c r="E651" s="5"/>
      <c r="F651" s="5"/>
      <c r="G651" s="4"/>
      <c r="H651" s="4"/>
    </row>
    <row r="652" spans="2:8" x14ac:dyDescent="0.2">
      <c r="B652" s="5"/>
      <c r="C652" s="5"/>
      <c r="D652" s="5"/>
      <c r="E652" s="5"/>
      <c r="F652" s="5"/>
      <c r="G652" s="4"/>
      <c r="H652" s="4"/>
    </row>
    <row r="653" spans="2:8" x14ac:dyDescent="0.2">
      <c r="B653" s="5"/>
      <c r="C653" s="5"/>
      <c r="D653" s="5"/>
      <c r="E653" s="5"/>
      <c r="F653" s="5"/>
      <c r="G653" s="4"/>
      <c r="H653" s="4"/>
    </row>
    <row r="654" spans="2:8" x14ac:dyDescent="0.2">
      <c r="B654" s="5"/>
      <c r="C654" s="5"/>
      <c r="D654" s="5"/>
      <c r="E654" s="5"/>
      <c r="F654" s="5"/>
      <c r="G654" s="4"/>
      <c r="H654" s="4"/>
    </row>
    <row r="655" spans="2:8" x14ac:dyDescent="0.2">
      <c r="B655" s="5"/>
      <c r="C655" s="5"/>
      <c r="D655" s="5"/>
      <c r="E655" s="5"/>
      <c r="F655" s="5"/>
      <c r="G655" s="4"/>
      <c r="H655" s="4"/>
    </row>
    <row r="656" spans="2:8" x14ac:dyDescent="0.2">
      <c r="B656" s="5"/>
      <c r="C656" s="5"/>
      <c r="D656" s="5"/>
      <c r="E656" s="5"/>
      <c r="F656" s="5"/>
      <c r="G656" s="4"/>
      <c r="H656" s="4"/>
    </row>
    <row r="657" spans="2:8" x14ac:dyDescent="0.2">
      <c r="B657" s="5"/>
      <c r="C657" s="5"/>
      <c r="D657" s="5"/>
      <c r="E657" s="5"/>
      <c r="F657" s="5"/>
      <c r="G657" s="4"/>
      <c r="H657" s="4"/>
    </row>
    <row r="658" spans="2:8" x14ac:dyDescent="0.2">
      <c r="B658" s="5"/>
      <c r="C658" s="5"/>
      <c r="D658" s="5"/>
      <c r="E658" s="5"/>
      <c r="F658" s="5"/>
      <c r="G658" s="4"/>
      <c r="H658" s="4"/>
    </row>
    <row r="659" spans="2:8" x14ac:dyDescent="0.2">
      <c r="B659" s="5"/>
      <c r="C659" s="5"/>
      <c r="D659" s="5"/>
      <c r="E659" s="5"/>
      <c r="F659" s="5"/>
      <c r="G659" s="4"/>
      <c r="H659" s="4"/>
    </row>
    <row r="660" spans="2:8" x14ac:dyDescent="0.2">
      <c r="B660" s="5"/>
      <c r="C660" s="5"/>
      <c r="D660" s="5"/>
      <c r="E660" s="5"/>
      <c r="F660" s="5"/>
      <c r="G660" s="4"/>
      <c r="H660" s="4"/>
    </row>
    <row r="661" spans="2:8" x14ac:dyDescent="0.2">
      <c r="B661" s="5"/>
      <c r="C661" s="5"/>
      <c r="D661" s="5"/>
      <c r="E661" s="5"/>
      <c r="F661" s="5"/>
      <c r="G661" s="4"/>
      <c r="H661" s="4"/>
    </row>
    <row r="662" spans="2:8" x14ac:dyDescent="0.2">
      <c r="B662" s="5"/>
      <c r="C662" s="5"/>
      <c r="D662" s="5"/>
      <c r="E662" s="5"/>
      <c r="F662" s="5"/>
      <c r="G662" s="4"/>
      <c r="H662" s="4"/>
    </row>
    <row r="663" spans="2:8" x14ac:dyDescent="0.2">
      <c r="B663" s="5"/>
      <c r="C663" s="5"/>
      <c r="D663" s="5"/>
      <c r="E663" s="5"/>
      <c r="F663" s="5"/>
      <c r="G663" s="4"/>
      <c r="H663" s="4"/>
    </row>
    <row r="664" spans="2:8" x14ac:dyDescent="0.2">
      <c r="B664" s="5"/>
      <c r="C664" s="5"/>
      <c r="D664" s="5"/>
      <c r="E664" s="5"/>
      <c r="F664" s="5"/>
      <c r="G664" s="4"/>
      <c r="H664" s="4"/>
    </row>
    <row r="665" spans="2:8" x14ac:dyDescent="0.2">
      <c r="B665" s="5"/>
      <c r="C665" s="5"/>
      <c r="D665" s="5"/>
      <c r="E665" s="5"/>
      <c r="F665" s="5"/>
      <c r="G665" s="4"/>
      <c r="H665" s="4"/>
    </row>
    <row r="666" spans="2:8" x14ac:dyDescent="0.2">
      <c r="B666" s="5"/>
      <c r="C666" s="5"/>
      <c r="D666" s="5"/>
      <c r="E666" s="5"/>
      <c r="F666" s="5"/>
      <c r="G666" s="4"/>
      <c r="H666" s="4"/>
    </row>
    <row r="667" spans="2:8" x14ac:dyDescent="0.2">
      <c r="B667" s="5"/>
      <c r="C667" s="5"/>
      <c r="D667" s="5"/>
      <c r="E667" s="5"/>
      <c r="F667" s="5"/>
      <c r="G667" s="4"/>
      <c r="H667" s="4"/>
    </row>
    <row r="668" spans="2:8" x14ac:dyDescent="0.2">
      <c r="B668" s="5"/>
      <c r="C668" s="5"/>
      <c r="D668" s="5"/>
      <c r="E668" s="5"/>
      <c r="F668" s="5"/>
      <c r="G668" s="4"/>
      <c r="H668" s="4"/>
    </row>
    <row r="669" spans="2:8" x14ac:dyDescent="0.2">
      <c r="B669" s="5"/>
      <c r="C669" s="5"/>
      <c r="D669" s="5"/>
      <c r="E669" s="5"/>
      <c r="F669" s="5"/>
      <c r="G669" s="4"/>
      <c r="H669" s="4"/>
    </row>
    <row r="670" spans="2:8" x14ac:dyDescent="0.2">
      <c r="B670" s="5"/>
      <c r="C670" s="5"/>
      <c r="D670" s="5"/>
      <c r="E670" s="5"/>
      <c r="F670" s="5"/>
      <c r="G670" s="4"/>
      <c r="H670" s="4"/>
    </row>
    <row r="671" spans="2:8" x14ac:dyDescent="0.2">
      <c r="B671" s="5"/>
      <c r="C671" s="5"/>
      <c r="D671" s="5"/>
      <c r="E671" s="5"/>
      <c r="F671" s="5"/>
      <c r="G671" s="4"/>
      <c r="H671" s="4"/>
    </row>
    <row r="672" spans="2:8" x14ac:dyDescent="0.2">
      <c r="B672" s="5"/>
      <c r="C672" s="5"/>
      <c r="D672" s="5"/>
      <c r="E672" s="5"/>
      <c r="F672" s="5"/>
      <c r="G672" s="4"/>
      <c r="H672" s="4"/>
    </row>
    <row r="673" spans="2:8" x14ac:dyDescent="0.2">
      <c r="B673" s="5"/>
      <c r="C673" s="5"/>
      <c r="D673" s="5"/>
      <c r="E673" s="5"/>
      <c r="F673" s="5"/>
      <c r="G673" s="4"/>
      <c r="H673" s="4"/>
    </row>
    <row r="674" spans="2:8" x14ac:dyDescent="0.2">
      <c r="B674" s="5"/>
      <c r="C674" s="5"/>
      <c r="D674" s="5"/>
      <c r="E674" s="5"/>
      <c r="F674" s="5"/>
      <c r="G674" s="4"/>
      <c r="H674" s="4"/>
    </row>
    <row r="675" spans="2:8" x14ac:dyDescent="0.2">
      <c r="B675" s="5"/>
      <c r="C675" s="5"/>
      <c r="D675" s="5"/>
      <c r="E675" s="5"/>
      <c r="F675" s="5"/>
      <c r="G675" s="4"/>
      <c r="H675" s="4"/>
    </row>
    <row r="676" spans="2:8" x14ac:dyDescent="0.2">
      <c r="B676" s="5"/>
      <c r="C676" s="5"/>
      <c r="D676" s="5"/>
      <c r="E676" s="5"/>
      <c r="F676" s="5"/>
      <c r="G676" s="4"/>
      <c r="H676" s="4"/>
    </row>
    <row r="677" spans="2:8" x14ac:dyDescent="0.2">
      <c r="B677" s="5"/>
      <c r="C677" s="5"/>
      <c r="D677" s="5"/>
      <c r="E677" s="5"/>
      <c r="F677" s="5"/>
      <c r="G677" s="4"/>
      <c r="H677" s="4"/>
    </row>
    <row r="678" spans="2:8" x14ac:dyDescent="0.2">
      <c r="B678" s="5"/>
      <c r="C678" s="5"/>
      <c r="D678" s="5"/>
      <c r="E678" s="5"/>
      <c r="F678" s="5"/>
      <c r="G678" s="4"/>
      <c r="H678" s="4"/>
    </row>
    <row r="679" spans="2:8" x14ac:dyDescent="0.2">
      <c r="B679" s="5"/>
      <c r="C679" s="5"/>
      <c r="D679" s="5"/>
      <c r="E679" s="5"/>
      <c r="F679" s="5"/>
      <c r="G679" s="4"/>
      <c r="H679" s="4"/>
    </row>
    <row r="680" spans="2:8" x14ac:dyDescent="0.2">
      <c r="B680" s="5"/>
      <c r="C680" s="5"/>
      <c r="D680" s="5"/>
      <c r="E680" s="5"/>
      <c r="F680" s="5"/>
      <c r="G680" s="4"/>
      <c r="H680" s="4"/>
    </row>
    <row r="681" spans="2:8" x14ac:dyDescent="0.2">
      <c r="B681" s="5"/>
      <c r="C681" s="5"/>
      <c r="D681" s="5"/>
      <c r="E681" s="5"/>
      <c r="F681" s="5"/>
      <c r="G681" s="4"/>
      <c r="H681" s="4"/>
    </row>
    <row r="682" spans="2:8" x14ac:dyDescent="0.2">
      <c r="B682" s="5"/>
      <c r="C682" s="5"/>
      <c r="D682" s="5"/>
      <c r="E682" s="5"/>
      <c r="F682" s="5"/>
      <c r="G682" s="4"/>
      <c r="H682" s="4"/>
    </row>
    <row r="683" spans="2:8" x14ac:dyDescent="0.2">
      <c r="B683" s="5"/>
      <c r="C683" s="5"/>
      <c r="D683" s="5"/>
      <c r="E683" s="5"/>
      <c r="F683" s="5"/>
      <c r="G683" s="4"/>
      <c r="H683" s="4"/>
    </row>
    <row r="684" spans="2:8" x14ac:dyDescent="0.2">
      <c r="B684" s="5"/>
      <c r="C684" s="5"/>
      <c r="D684" s="5"/>
      <c r="E684" s="5"/>
      <c r="F684" s="5"/>
      <c r="G684" s="4"/>
      <c r="H684" s="4"/>
    </row>
    <row r="685" spans="2:8" x14ac:dyDescent="0.2">
      <c r="B685" s="5"/>
      <c r="C685" s="5"/>
      <c r="D685" s="5"/>
      <c r="E685" s="5"/>
      <c r="F685" s="5"/>
      <c r="G685" s="4"/>
      <c r="H685" s="4"/>
    </row>
    <row r="686" spans="2:8" x14ac:dyDescent="0.2">
      <c r="B686" s="5"/>
      <c r="C686" s="5"/>
      <c r="D686" s="5"/>
      <c r="E686" s="5"/>
      <c r="F686" s="5"/>
      <c r="G686" s="4"/>
      <c r="H686" s="4"/>
    </row>
    <row r="687" spans="2:8" x14ac:dyDescent="0.2">
      <c r="B687" s="5"/>
      <c r="C687" s="5"/>
      <c r="D687" s="5"/>
      <c r="E687" s="5"/>
      <c r="F687" s="5"/>
      <c r="G687" s="4"/>
      <c r="H687" s="4"/>
    </row>
    <row r="688" spans="2:8" x14ac:dyDescent="0.2">
      <c r="B688" s="5"/>
      <c r="C688" s="5"/>
      <c r="D688" s="5"/>
      <c r="E688" s="5"/>
      <c r="F688" s="5"/>
      <c r="G688" s="4"/>
      <c r="H688" s="4"/>
    </row>
    <row r="689" spans="2:8" x14ac:dyDescent="0.2">
      <c r="B689" s="5"/>
      <c r="C689" s="5"/>
      <c r="D689" s="5"/>
      <c r="E689" s="5"/>
      <c r="F689" s="5"/>
      <c r="G689" s="4"/>
      <c r="H689" s="4"/>
    </row>
    <row r="690" spans="2:8" x14ac:dyDescent="0.2">
      <c r="B690" s="5"/>
      <c r="C690" s="5"/>
      <c r="D690" s="5"/>
      <c r="E690" s="5"/>
      <c r="F690" s="5"/>
      <c r="G690" s="4"/>
      <c r="H690" s="4"/>
    </row>
    <row r="691" spans="2:8" x14ac:dyDescent="0.2">
      <c r="B691" s="5"/>
      <c r="C691" s="5"/>
      <c r="D691" s="5"/>
      <c r="E691" s="5"/>
      <c r="F691" s="5"/>
      <c r="G691" s="4"/>
      <c r="H691" s="4"/>
    </row>
    <row r="692" spans="2:8" x14ac:dyDescent="0.2">
      <c r="B692" s="5"/>
      <c r="C692" s="5"/>
      <c r="D692" s="5"/>
      <c r="E692" s="5"/>
      <c r="F692" s="5"/>
      <c r="G692" s="4"/>
      <c r="H692" s="4"/>
    </row>
    <row r="693" spans="2:8" x14ac:dyDescent="0.2">
      <c r="B693" s="5"/>
      <c r="C693" s="5"/>
      <c r="D693" s="5"/>
      <c r="E693" s="5"/>
      <c r="F693" s="5"/>
      <c r="G693" s="4"/>
      <c r="H693" s="4"/>
    </row>
    <row r="694" spans="2:8" x14ac:dyDescent="0.2">
      <c r="B694" s="5"/>
      <c r="C694" s="5"/>
      <c r="D694" s="5"/>
      <c r="E694" s="5"/>
      <c r="F694" s="5"/>
      <c r="G694" s="4"/>
      <c r="H694" s="4"/>
    </row>
    <row r="695" spans="2:8" x14ac:dyDescent="0.2">
      <c r="B695" s="5"/>
      <c r="C695" s="5"/>
      <c r="D695" s="5"/>
      <c r="E695" s="5"/>
      <c r="F695" s="5"/>
      <c r="G695" s="4"/>
      <c r="H695" s="4"/>
    </row>
    <row r="696" spans="2:8" x14ac:dyDescent="0.2">
      <c r="B696" s="5"/>
      <c r="C696" s="5"/>
      <c r="D696" s="5"/>
      <c r="E696" s="5"/>
      <c r="F696" s="5"/>
      <c r="G696" s="4"/>
      <c r="H696" s="4"/>
    </row>
    <row r="697" spans="2:8" x14ac:dyDescent="0.2">
      <c r="B697" s="5"/>
      <c r="C697" s="5"/>
      <c r="D697" s="5"/>
      <c r="E697" s="5"/>
      <c r="F697" s="5"/>
      <c r="G697" s="4"/>
      <c r="H697" s="4"/>
    </row>
    <row r="698" spans="2:8" x14ac:dyDescent="0.2">
      <c r="B698" s="5"/>
      <c r="C698" s="5"/>
      <c r="D698" s="5"/>
      <c r="E698" s="5"/>
      <c r="F698" s="5"/>
      <c r="G698" s="4"/>
      <c r="H698" s="4"/>
    </row>
    <row r="699" spans="2:8" x14ac:dyDescent="0.2">
      <c r="B699" s="5"/>
      <c r="C699" s="5"/>
      <c r="D699" s="5"/>
      <c r="E699" s="5"/>
      <c r="F699" s="5"/>
      <c r="G699" s="4"/>
      <c r="H699" s="4"/>
    </row>
    <row r="700" spans="2:8" x14ac:dyDescent="0.2">
      <c r="B700" s="5"/>
      <c r="C700" s="5"/>
      <c r="D700" s="5"/>
      <c r="E700" s="5"/>
      <c r="F700" s="5"/>
      <c r="G700" s="4"/>
      <c r="H700" s="4"/>
    </row>
    <row r="701" spans="2:8" x14ac:dyDescent="0.2">
      <c r="B701" s="5"/>
      <c r="C701" s="5"/>
      <c r="D701" s="5"/>
      <c r="E701" s="5"/>
      <c r="F701" s="5"/>
      <c r="G701" s="4"/>
      <c r="H701" s="4"/>
    </row>
    <row r="702" spans="2:8" x14ac:dyDescent="0.2">
      <c r="B702" s="5"/>
      <c r="C702" s="5"/>
      <c r="D702" s="5"/>
      <c r="E702" s="5"/>
      <c r="F702" s="5"/>
      <c r="G702" s="4"/>
      <c r="H702" s="4"/>
    </row>
    <row r="703" spans="2:8" x14ac:dyDescent="0.2">
      <c r="B703" s="5"/>
      <c r="C703" s="5"/>
      <c r="D703" s="5"/>
      <c r="E703" s="5"/>
      <c r="F703" s="5"/>
      <c r="G703" s="4"/>
      <c r="H703" s="4"/>
    </row>
    <row r="704" spans="2:8" x14ac:dyDescent="0.2">
      <c r="B704" s="5"/>
      <c r="C704" s="5"/>
      <c r="D704" s="5"/>
      <c r="E704" s="5"/>
      <c r="F704" s="5"/>
      <c r="G704" s="4"/>
      <c r="H704" s="4"/>
    </row>
    <row r="705" spans="2:8" x14ac:dyDescent="0.2">
      <c r="B705" s="5"/>
      <c r="C705" s="5"/>
      <c r="D705" s="5"/>
      <c r="E705" s="5"/>
      <c r="F705" s="5"/>
      <c r="G705" s="4"/>
      <c r="H705" s="4"/>
    </row>
    <row r="706" spans="2:8" x14ac:dyDescent="0.2">
      <c r="B706" s="5"/>
      <c r="C706" s="5"/>
      <c r="D706" s="5"/>
      <c r="E706" s="5"/>
      <c r="F706" s="5"/>
      <c r="G706" s="4"/>
      <c r="H706" s="4"/>
    </row>
    <row r="707" spans="2:8" x14ac:dyDescent="0.2">
      <c r="B707" s="5"/>
      <c r="C707" s="5"/>
      <c r="D707" s="5"/>
      <c r="E707" s="5"/>
      <c r="F707" s="5"/>
      <c r="G707" s="4"/>
      <c r="H707" s="4"/>
    </row>
    <row r="708" spans="2:8" x14ac:dyDescent="0.2">
      <c r="B708" s="5"/>
      <c r="C708" s="5"/>
      <c r="D708" s="5"/>
      <c r="E708" s="5"/>
      <c r="F708" s="5"/>
      <c r="G708" s="4"/>
      <c r="H708" s="4"/>
    </row>
    <row r="709" spans="2:8" x14ac:dyDescent="0.2">
      <c r="B709" s="5"/>
      <c r="C709" s="5"/>
      <c r="D709" s="5"/>
      <c r="E709" s="5"/>
      <c r="F709" s="5"/>
      <c r="G709" s="4"/>
      <c r="H709" s="4"/>
    </row>
    <row r="710" spans="2:8" x14ac:dyDescent="0.2">
      <c r="B710" s="5"/>
      <c r="C710" s="5"/>
      <c r="D710" s="5"/>
      <c r="E710" s="5"/>
      <c r="F710" s="5"/>
      <c r="G710" s="4"/>
      <c r="H710" s="4"/>
    </row>
    <row r="711" spans="2:8" x14ac:dyDescent="0.2">
      <c r="B711" s="5"/>
      <c r="C711" s="5"/>
      <c r="D711" s="5"/>
      <c r="E711" s="5"/>
      <c r="F711" s="5"/>
      <c r="G711" s="4"/>
      <c r="H711" s="4"/>
    </row>
    <row r="712" spans="2:8" x14ac:dyDescent="0.2">
      <c r="B712" s="5"/>
      <c r="C712" s="5"/>
      <c r="D712" s="5"/>
      <c r="E712" s="5"/>
      <c r="F712" s="5"/>
      <c r="G712" s="4"/>
      <c r="H712" s="4"/>
    </row>
    <row r="713" spans="2:8" x14ac:dyDescent="0.2">
      <c r="B713" s="5"/>
      <c r="C713" s="5"/>
      <c r="D713" s="5"/>
      <c r="E713" s="5"/>
      <c r="F713" s="5"/>
      <c r="G713" s="4"/>
      <c r="H713" s="4"/>
    </row>
    <row r="714" spans="2:8" x14ac:dyDescent="0.2">
      <c r="B714" s="5"/>
      <c r="C714" s="5"/>
      <c r="D714" s="5"/>
      <c r="E714" s="5"/>
      <c r="F714" s="5"/>
      <c r="G714" s="4"/>
      <c r="H714" s="4"/>
    </row>
    <row r="715" spans="2:8" x14ac:dyDescent="0.2">
      <c r="B715" s="5"/>
      <c r="C715" s="5"/>
      <c r="D715" s="5"/>
      <c r="E715" s="5"/>
      <c r="F715" s="5"/>
      <c r="G715" s="4"/>
      <c r="H715" s="4"/>
    </row>
    <row r="716" spans="2:8" x14ac:dyDescent="0.2">
      <c r="B716" s="5"/>
      <c r="C716" s="5"/>
      <c r="D716" s="5"/>
      <c r="E716" s="5"/>
      <c r="F716" s="5"/>
      <c r="G716" s="4"/>
      <c r="H716" s="4"/>
    </row>
    <row r="717" spans="2:8" x14ac:dyDescent="0.2">
      <c r="B717" s="5"/>
      <c r="C717" s="5"/>
      <c r="D717" s="5"/>
      <c r="E717" s="5"/>
      <c r="F717" s="5"/>
      <c r="G717" s="4"/>
      <c r="H717" s="4"/>
    </row>
    <row r="718" spans="2:8" x14ac:dyDescent="0.2">
      <c r="B718" s="5"/>
      <c r="C718" s="5"/>
      <c r="D718" s="5"/>
      <c r="E718" s="5"/>
      <c r="F718" s="5"/>
      <c r="G718" s="4"/>
      <c r="H718" s="4"/>
    </row>
    <row r="719" spans="2:8" x14ac:dyDescent="0.2">
      <c r="B719" s="5"/>
      <c r="C719" s="5"/>
      <c r="D719" s="5"/>
      <c r="E719" s="5"/>
      <c r="F719" s="5"/>
      <c r="G719" s="4"/>
      <c r="H719" s="4"/>
    </row>
    <row r="720" spans="2:8" x14ac:dyDescent="0.2">
      <c r="B720" s="5"/>
      <c r="C720" s="5"/>
      <c r="D720" s="5"/>
      <c r="E720" s="5"/>
      <c r="F720" s="5"/>
      <c r="G720" s="4"/>
      <c r="H720" s="4"/>
    </row>
    <row r="721" spans="2:8" x14ac:dyDescent="0.2">
      <c r="B721" s="5"/>
      <c r="C721" s="5"/>
      <c r="D721" s="5"/>
      <c r="E721" s="5"/>
      <c r="F721" s="5"/>
      <c r="G721" s="4"/>
      <c r="H721" s="4"/>
    </row>
    <row r="722" spans="2:8" x14ac:dyDescent="0.2">
      <c r="B722" s="5"/>
      <c r="C722" s="5"/>
      <c r="D722" s="5"/>
      <c r="E722" s="5"/>
      <c r="F722" s="5"/>
      <c r="G722" s="4"/>
      <c r="H722" s="4"/>
    </row>
    <row r="723" spans="2:8" x14ac:dyDescent="0.2">
      <c r="B723" s="5"/>
      <c r="C723" s="5"/>
      <c r="D723" s="5"/>
      <c r="E723" s="5"/>
      <c r="F723" s="5"/>
      <c r="G723" s="4"/>
      <c r="H723" s="4"/>
    </row>
    <row r="724" spans="2:8" x14ac:dyDescent="0.2">
      <c r="B724" s="5"/>
      <c r="C724" s="5"/>
      <c r="D724" s="5"/>
      <c r="E724" s="5"/>
      <c r="F724" s="5"/>
      <c r="G724" s="4"/>
      <c r="H724" s="4"/>
    </row>
    <row r="725" spans="2:8" x14ac:dyDescent="0.2">
      <c r="B725" s="5"/>
      <c r="C725" s="5"/>
      <c r="D725" s="5"/>
      <c r="E725" s="5"/>
      <c r="F725" s="5"/>
      <c r="G725" s="4"/>
      <c r="H725" s="4"/>
    </row>
    <row r="726" spans="2:8" x14ac:dyDescent="0.2">
      <c r="B726" s="5"/>
      <c r="C726" s="5"/>
      <c r="D726" s="5"/>
      <c r="E726" s="5"/>
      <c r="F726" s="5"/>
      <c r="G726" s="4"/>
      <c r="H726" s="4"/>
    </row>
    <row r="727" spans="2:8" x14ac:dyDescent="0.2">
      <c r="B727" s="5"/>
      <c r="C727" s="5"/>
      <c r="D727" s="5"/>
      <c r="E727" s="5"/>
      <c r="F727" s="5"/>
      <c r="G727" s="4"/>
      <c r="H727" s="4"/>
    </row>
    <row r="728" spans="2:8" x14ac:dyDescent="0.2">
      <c r="B728" s="5"/>
      <c r="C728" s="5"/>
      <c r="D728" s="5"/>
      <c r="E728" s="5"/>
      <c r="F728" s="5"/>
      <c r="G728" s="4"/>
      <c r="H728" s="4"/>
    </row>
    <row r="729" spans="2:8" x14ac:dyDescent="0.2">
      <c r="B729" s="5"/>
      <c r="C729" s="5"/>
      <c r="D729" s="5"/>
      <c r="E729" s="5"/>
      <c r="F729" s="5"/>
      <c r="G729" s="4"/>
      <c r="H729" s="4"/>
    </row>
    <row r="730" spans="2:8" x14ac:dyDescent="0.2">
      <c r="B730" s="5"/>
      <c r="C730" s="5"/>
      <c r="D730" s="5"/>
      <c r="E730" s="5"/>
      <c r="F730" s="5"/>
      <c r="G730" s="4"/>
      <c r="H730" s="4"/>
    </row>
    <row r="731" spans="2:8" x14ac:dyDescent="0.2">
      <c r="B731" s="5"/>
      <c r="C731" s="5"/>
      <c r="D731" s="5"/>
      <c r="E731" s="5"/>
      <c r="F731" s="5"/>
      <c r="G731" s="4"/>
      <c r="H731" s="4"/>
    </row>
    <row r="732" spans="2:8" x14ac:dyDescent="0.2">
      <c r="B732" s="5"/>
      <c r="C732" s="5"/>
      <c r="D732" s="5"/>
      <c r="E732" s="5"/>
      <c r="F732" s="5"/>
      <c r="G732" s="4"/>
      <c r="H732" s="4"/>
    </row>
    <row r="733" spans="2:8" x14ac:dyDescent="0.2">
      <c r="B733" s="5"/>
      <c r="C733" s="5"/>
      <c r="D733" s="5"/>
      <c r="E733" s="5"/>
      <c r="F733" s="5"/>
      <c r="G733" s="4"/>
      <c r="H733" s="4"/>
    </row>
    <row r="734" spans="2:8" x14ac:dyDescent="0.2">
      <c r="B734" s="5"/>
      <c r="C734" s="5"/>
      <c r="D734" s="5"/>
      <c r="E734" s="5"/>
      <c r="F734" s="5"/>
      <c r="G734" s="4"/>
      <c r="H734" s="4"/>
    </row>
    <row r="735" spans="2:8" x14ac:dyDescent="0.2">
      <c r="B735" s="5"/>
      <c r="C735" s="5"/>
      <c r="D735" s="5"/>
      <c r="E735" s="5"/>
      <c r="F735" s="5"/>
      <c r="G735" s="4"/>
      <c r="H735" s="4"/>
    </row>
    <row r="736" spans="2:8" x14ac:dyDescent="0.2">
      <c r="B736" s="5"/>
      <c r="C736" s="5"/>
      <c r="D736" s="5"/>
      <c r="E736" s="5"/>
      <c r="F736" s="5"/>
      <c r="G736" s="4"/>
      <c r="H736" s="4"/>
    </row>
    <row r="737" spans="2:8" x14ac:dyDescent="0.2">
      <c r="B737" s="5"/>
      <c r="C737" s="5"/>
      <c r="D737" s="5"/>
      <c r="E737" s="5"/>
      <c r="F737" s="5"/>
      <c r="G737" s="4"/>
      <c r="H737" s="4"/>
    </row>
    <row r="738" spans="2:8" x14ac:dyDescent="0.2">
      <c r="B738" s="5"/>
      <c r="C738" s="5"/>
      <c r="D738" s="5"/>
      <c r="E738" s="5"/>
      <c r="F738" s="5"/>
      <c r="G738" s="4"/>
      <c r="H738" s="4"/>
    </row>
    <row r="739" spans="2:8" x14ac:dyDescent="0.2">
      <c r="B739" s="5"/>
      <c r="C739" s="5"/>
      <c r="D739" s="5"/>
      <c r="E739" s="5"/>
      <c r="F739" s="5"/>
      <c r="G739" s="4"/>
      <c r="H739" s="4"/>
    </row>
    <row r="740" spans="2:8" x14ac:dyDescent="0.2">
      <c r="B740" s="5"/>
      <c r="C740" s="5"/>
      <c r="D740" s="5"/>
      <c r="E740" s="5"/>
      <c r="F740" s="5"/>
      <c r="G740" s="4"/>
      <c r="H740" s="4"/>
    </row>
    <row r="741" spans="2:8" x14ac:dyDescent="0.2">
      <c r="B741" s="5"/>
      <c r="C741" s="5"/>
      <c r="D741" s="5"/>
      <c r="E741" s="5"/>
      <c r="F741" s="5"/>
      <c r="G741" s="4"/>
      <c r="H741" s="4"/>
    </row>
    <row r="742" spans="2:8" x14ac:dyDescent="0.2">
      <c r="B742" s="5"/>
      <c r="C742" s="5"/>
      <c r="D742" s="5"/>
      <c r="E742" s="5"/>
      <c r="F742" s="5"/>
      <c r="G742" s="4"/>
      <c r="H742" s="4"/>
    </row>
    <row r="743" spans="2:8" x14ac:dyDescent="0.2">
      <c r="B743" s="5"/>
      <c r="C743" s="5"/>
      <c r="D743" s="5"/>
      <c r="E743" s="5"/>
      <c r="F743" s="5"/>
      <c r="G743" s="4"/>
      <c r="H743" s="4"/>
    </row>
    <row r="744" spans="2:8" x14ac:dyDescent="0.2">
      <c r="B744" s="5"/>
      <c r="C744" s="5"/>
      <c r="D744" s="5"/>
      <c r="E744" s="5"/>
      <c r="F744" s="5"/>
      <c r="G744" s="4"/>
      <c r="H744" s="4"/>
    </row>
    <row r="745" spans="2:8" x14ac:dyDescent="0.2">
      <c r="B745" s="5"/>
      <c r="C745" s="5"/>
      <c r="D745" s="5"/>
      <c r="E745" s="5"/>
      <c r="F745" s="5"/>
      <c r="G745" s="4"/>
      <c r="H745" s="4"/>
    </row>
    <row r="746" spans="2:8" x14ac:dyDescent="0.2">
      <c r="B746" s="5"/>
      <c r="C746" s="5"/>
      <c r="D746" s="5"/>
      <c r="E746" s="5"/>
      <c r="F746" s="5"/>
      <c r="G746" s="4"/>
      <c r="H746" s="4"/>
    </row>
    <row r="747" spans="2:8" x14ac:dyDescent="0.2">
      <c r="B747" s="5"/>
      <c r="C747" s="5"/>
      <c r="D747" s="5"/>
      <c r="E747" s="5"/>
      <c r="F747" s="5"/>
      <c r="G747" s="4"/>
      <c r="H747" s="4"/>
    </row>
    <row r="748" spans="2:8" x14ac:dyDescent="0.2">
      <c r="B748" s="5"/>
      <c r="C748" s="5"/>
      <c r="D748" s="5"/>
      <c r="E748" s="5"/>
      <c r="F748" s="5"/>
      <c r="G748" s="4"/>
      <c r="H748" s="4"/>
    </row>
    <row r="749" spans="2:8" x14ac:dyDescent="0.2">
      <c r="B749" s="5"/>
      <c r="C749" s="5"/>
      <c r="D749" s="5"/>
      <c r="E749" s="5"/>
      <c r="F749" s="5"/>
      <c r="G749" s="4"/>
      <c r="H749" s="4"/>
    </row>
    <row r="750" spans="2:8" x14ac:dyDescent="0.2">
      <c r="B750" s="5"/>
      <c r="C750" s="5"/>
      <c r="D750" s="5"/>
      <c r="E750" s="5"/>
      <c r="F750" s="5"/>
      <c r="G750" s="4"/>
      <c r="H750" s="4"/>
    </row>
    <row r="751" spans="2:8" x14ac:dyDescent="0.2">
      <c r="B751" s="5"/>
      <c r="C751" s="5"/>
      <c r="D751" s="5"/>
      <c r="E751" s="5"/>
      <c r="F751" s="5"/>
      <c r="G751" s="4"/>
      <c r="H751" s="4"/>
    </row>
    <row r="752" spans="2:8" x14ac:dyDescent="0.2">
      <c r="B752" s="5"/>
      <c r="C752" s="5"/>
      <c r="D752" s="5"/>
      <c r="E752" s="5"/>
      <c r="F752" s="5"/>
      <c r="G752" s="4"/>
      <c r="H752" s="4"/>
    </row>
    <row r="753" spans="2:8" x14ac:dyDescent="0.2">
      <c r="B753" s="5"/>
      <c r="C753" s="5"/>
      <c r="D753" s="5"/>
      <c r="E753" s="5"/>
      <c r="F753" s="5"/>
      <c r="G753" s="4"/>
      <c r="H753" s="4"/>
    </row>
    <row r="754" spans="2:8" x14ac:dyDescent="0.2">
      <c r="B754" s="5"/>
      <c r="C754" s="5"/>
      <c r="D754" s="5"/>
      <c r="E754" s="5"/>
      <c r="F754" s="5"/>
      <c r="G754" s="4"/>
      <c r="H754" s="4"/>
    </row>
    <row r="755" spans="2:8" x14ac:dyDescent="0.2">
      <c r="B755" s="5"/>
      <c r="C755" s="5"/>
      <c r="D755" s="5"/>
      <c r="E755" s="5"/>
      <c r="F755" s="5"/>
      <c r="G755" s="4"/>
      <c r="H755" s="4"/>
    </row>
    <row r="756" spans="2:8" x14ac:dyDescent="0.2">
      <c r="B756" s="5"/>
      <c r="C756" s="5"/>
      <c r="D756" s="5"/>
      <c r="E756" s="5"/>
      <c r="F756" s="5"/>
      <c r="G756" s="4"/>
      <c r="H756" s="4"/>
    </row>
    <row r="757" spans="2:8" x14ac:dyDescent="0.2">
      <c r="B757" s="5"/>
      <c r="C757" s="5"/>
      <c r="D757" s="5"/>
      <c r="E757" s="5"/>
      <c r="F757" s="5"/>
      <c r="G757" s="4"/>
      <c r="H757" s="4"/>
    </row>
    <row r="758" spans="2:8" x14ac:dyDescent="0.2">
      <c r="B758" s="5"/>
      <c r="C758" s="5"/>
      <c r="D758" s="5"/>
      <c r="E758" s="5"/>
      <c r="F758" s="5"/>
      <c r="G758" s="4"/>
      <c r="H758" s="4"/>
    </row>
    <row r="759" spans="2:8" x14ac:dyDescent="0.2">
      <c r="B759" s="5"/>
      <c r="C759" s="5"/>
      <c r="D759" s="5"/>
      <c r="E759" s="5"/>
      <c r="F759" s="5"/>
      <c r="G759" s="4"/>
      <c r="H759" s="4"/>
    </row>
    <row r="760" spans="2:8" x14ac:dyDescent="0.2">
      <c r="B760" s="5"/>
      <c r="C760" s="5"/>
      <c r="D760" s="5"/>
      <c r="E760" s="5"/>
      <c r="F760" s="5"/>
      <c r="G760" s="4"/>
      <c r="H760" s="4"/>
    </row>
    <row r="761" spans="2:8" x14ac:dyDescent="0.2">
      <c r="B761" s="5"/>
      <c r="C761" s="5"/>
      <c r="D761" s="5"/>
      <c r="E761" s="5"/>
      <c r="F761" s="5"/>
      <c r="G761" s="4"/>
      <c r="H761" s="4"/>
    </row>
    <row r="762" spans="2:8" x14ac:dyDescent="0.2">
      <c r="B762" s="5"/>
      <c r="C762" s="5"/>
      <c r="D762" s="5"/>
      <c r="E762" s="5"/>
      <c r="F762" s="5"/>
      <c r="G762" s="4"/>
      <c r="H762" s="4"/>
    </row>
    <row r="763" spans="2:8" x14ac:dyDescent="0.2">
      <c r="B763" s="5"/>
      <c r="C763" s="5"/>
      <c r="D763" s="5"/>
      <c r="E763" s="5"/>
      <c r="F763" s="5"/>
      <c r="G763" s="4"/>
      <c r="H763" s="4"/>
    </row>
    <row r="764" spans="2:8" x14ac:dyDescent="0.2">
      <c r="B764" s="5"/>
      <c r="C764" s="5"/>
      <c r="D764" s="5"/>
      <c r="E764" s="5"/>
      <c r="F764" s="5"/>
      <c r="G764" s="4"/>
      <c r="H764" s="4"/>
    </row>
    <row r="765" spans="2:8" x14ac:dyDescent="0.2">
      <c r="B765" s="5"/>
      <c r="C765" s="5"/>
      <c r="D765" s="5"/>
      <c r="E765" s="5"/>
      <c r="F765" s="5"/>
      <c r="G765" s="4"/>
      <c r="H765" s="4"/>
    </row>
    <row r="766" spans="2:8" x14ac:dyDescent="0.2">
      <c r="B766" s="5"/>
      <c r="C766" s="5"/>
      <c r="D766" s="5"/>
      <c r="E766" s="5"/>
      <c r="F766" s="5"/>
      <c r="G766" s="4"/>
      <c r="H766" s="4"/>
    </row>
    <row r="767" spans="2:8" x14ac:dyDescent="0.2">
      <c r="B767" s="5"/>
      <c r="C767" s="5"/>
      <c r="D767" s="5"/>
      <c r="E767" s="5"/>
      <c r="F767" s="5"/>
      <c r="G767" s="4"/>
      <c r="H767" s="4"/>
    </row>
    <row r="768" spans="2:8" x14ac:dyDescent="0.2">
      <c r="B768" s="5"/>
      <c r="C768" s="5"/>
      <c r="D768" s="5"/>
      <c r="E768" s="5"/>
      <c r="F768" s="5"/>
      <c r="G768" s="4"/>
      <c r="H768" s="4"/>
    </row>
    <row r="769" spans="2:8" x14ac:dyDescent="0.2">
      <c r="B769" s="5"/>
      <c r="C769" s="5"/>
      <c r="D769" s="5"/>
      <c r="E769" s="5"/>
      <c r="F769" s="5"/>
      <c r="G769" s="4"/>
      <c r="H769" s="4"/>
    </row>
    <row r="770" spans="2:8" x14ac:dyDescent="0.2">
      <c r="B770" s="5"/>
      <c r="C770" s="5"/>
      <c r="D770" s="5"/>
      <c r="E770" s="5"/>
      <c r="F770" s="5"/>
      <c r="G770" s="4"/>
      <c r="H770" s="4"/>
    </row>
    <row r="771" spans="2:8" x14ac:dyDescent="0.2">
      <c r="B771" s="5"/>
      <c r="C771" s="5"/>
      <c r="D771" s="5"/>
      <c r="E771" s="5"/>
      <c r="F771" s="5"/>
      <c r="G771" s="4"/>
      <c r="H771" s="4"/>
    </row>
    <row r="772" spans="2:8" x14ac:dyDescent="0.2">
      <c r="B772" s="5"/>
      <c r="C772" s="5"/>
      <c r="D772" s="5"/>
      <c r="E772" s="5"/>
      <c r="F772" s="5"/>
      <c r="G772" s="4"/>
      <c r="H772" s="4"/>
    </row>
    <row r="773" spans="2:8" x14ac:dyDescent="0.2">
      <c r="B773" s="5"/>
      <c r="C773" s="5"/>
      <c r="D773" s="5"/>
      <c r="E773" s="5"/>
      <c r="F773" s="5"/>
      <c r="G773" s="4"/>
      <c r="H773" s="4"/>
    </row>
    <row r="774" spans="2:8" x14ac:dyDescent="0.2">
      <c r="B774" s="5"/>
      <c r="C774" s="5"/>
      <c r="D774" s="5"/>
      <c r="E774" s="5"/>
      <c r="F774" s="5"/>
      <c r="G774" s="4"/>
      <c r="H774" s="4"/>
    </row>
    <row r="775" spans="2:8" x14ac:dyDescent="0.2">
      <c r="B775" s="5"/>
      <c r="C775" s="5"/>
      <c r="D775" s="5"/>
      <c r="E775" s="5"/>
      <c r="F775" s="5"/>
      <c r="G775" s="4"/>
      <c r="H775" s="4"/>
    </row>
    <row r="776" spans="2:8" x14ac:dyDescent="0.2">
      <c r="B776" s="5"/>
      <c r="C776" s="5"/>
      <c r="D776" s="5"/>
      <c r="E776" s="5"/>
      <c r="F776" s="5"/>
      <c r="G776" s="4"/>
      <c r="H776" s="4"/>
    </row>
    <row r="777" spans="2:8" x14ac:dyDescent="0.2">
      <c r="B777" s="5"/>
      <c r="C777" s="5"/>
      <c r="D777" s="5"/>
      <c r="E777" s="5"/>
      <c r="F777" s="5"/>
      <c r="G777" s="4"/>
      <c r="H777" s="4"/>
    </row>
    <row r="778" spans="2:8" x14ac:dyDescent="0.2">
      <c r="B778" s="5"/>
      <c r="C778" s="5"/>
      <c r="D778" s="5"/>
      <c r="E778" s="5"/>
      <c r="F778" s="5"/>
      <c r="G778" s="4"/>
      <c r="H778" s="4"/>
    </row>
    <row r="779" spans="2:8" x14ac:dyDescent="0.2">
      <c r="B779" s="5"/>
      <c r="C779" s="5"/>
      <c r="D779" s="5"/>
      <c r="E779" s="5"/>
      <c r="F779" s="5"/>
      <c r="G779" s="4"/>
      <c r="H779" s="4"/>
    </row>
    <row r="780" spans="2:8" x14ac:dyDescent="0.2">
      <c r="B780" s="5"/>
      <c r="C780" s="5"/>
      <c r="D780" s="5"/>
      <c r="E780" s="5"/>
      <c r="F780" s="5"/>
      <c r="G780" s="4"/>
      <c r="H780" s="4"/>
    </row>
    <row r="781" spans="2:8" x14ac:dyDescent="0.2">
      <c r="B781" s="5"/>
      <c r="C781" s="5"/>
      <c r="D781" s="5"/>
      <c r="E781" s="5"/>
      <c r="F781" s="5"/>
      <c r="G781" s="4"/>
      <c r="H781" s="4"/>
    </row>
    <row r="782" spans="2:8" x14ac:dyDescent="0.2">
      <c r="B782" s="5"/>
      <c r="C782" s="5"/>
      <c r="D782" s="5"/>
      <c r="E782" s="5"/>
      <c r="F782" s="5"/>
      <c r="G782" s="4"/>
      <c r="H782" s="4"/>
    </row>
    <row r="783" spans="2:8" x14ac:dyDescent="0.2">
      <c r="B783" s="5"/>
      <c r="C783" s="5"/>
      <c r="D783" s="5"/>
      <c r="E783" s="5"/>
      <c r="F783" s="5"/>
      <c r="G783" s="4"/>
      <c r="H783" s="4"/>
    </row>
    <row r="784" spans="2:8" x14ac:dyDescent="0.2">
      <c r="B784" s="5"/>
      <c r="C784" s="5"/>
      <c r="D784" s="5"/>
      <c r="E784" s="5"/>
      <c r="F784" s="5"/>
      <c r="G784" s="4"/>
      <c r="H784" s="4"/>
    </row>
    <row r="785" spans="2:8" x14ac:dyDescent="0.2">
      <c r="B785" s="5"/>
      <c r="C785" s="5"/>
      <c r="D785" s="5"/>
      <c r="E785" s="5"/>
      <c r="F785" s="5"/>
      <c r="G785" s="4"/>
      <c r="H785" s="4"/>
    </row>
    <row r="786" spans="2:8" x14ac:dyDescent="0.2">
      <c r="B786" s="5"/>
      <c r="C786" s="5"/>
      <c r="D786" s="5"/>
      <c r="E786" s="5"/>
      <c r="F786" s="5"/>
      <c r="G786" s="4"/>
      <c r="H786" s="4"/>
    </row>
    <row r="787" spans="2:8" x14ac:dyDescent="0.2">
      <c r="B787" s="5"/>
      <c r="C787" s="5"/>
      <c r="D787" s="5"/>
      <c r="E787" s="5"/>
      <c r="F787" s="5"/>
      <c r="G787" s="4"/>
      <c r="H787" s="4"/>
    </row>
    <row r="788" spans="2:8" x14ac:dyDescent="0.2">
      <c r="B788" s="5"/>
      <c r="C788" s="5"/>
      <c r="D788" s="5"/>
      <c r="E788" s="5"/>
      <c r="F788" s="5"/>
      <c r="G788" s="4"/>
      <c r="H788" s="4"/>
    </row>
    <row r="789" spans="2:8" x14ac:dyDescent="0.2">
      <c r="B789" s="5"/>
      <c r="C789" s="5"/>
      <c r="D789" s="5"/>
      <c r="E789" s="5"/>
      <c r="F789" s="5"/>
      <c r="G789" s="4"/>
      <c r="H789" s="4"/>
    </row>
    <row r="790" spans="2:8" x14ac:dyDescent="0.2">
      <c r="B790" s="5"/>
      <c r="C790" s="5"/>
      <c r="D790" s="5"/>
      <c r="E790" s="5"/>
      <c r="F790" s="5"/>
      <c r="G790" s="4"/>
      <c r="H790" s="4"/>
    </row>
    <row r="791" spans="2:8" x14ac:dyDescent="0.2">
      <c r="B791" s="5"/>
      <c r="C791" s="5"/>
      <c r="D791" s="5"/>
      <c r="E791" s="5"/>
      <c r="F791" s="5"/>
      <c r="G791" s="4"/>
      <c r="H791" s="4"/>
    </row>
    <row r="792" spans="2:8" x14ac:dyDescent="0.2">
      <c r="B792" s="5"/>
      <c r="C792" s="5"/>
      <c r="D792" s="5"/>
      <c r="E792" s="5"/>
      <c r="F792" s="5"/>
      <c r="G792" s="4"/>
      <c r="H792" s="4"/>
    </row>
    <row r="793" spans="2:8" x14ac:dyDescent="0.2">
      <c r="B793" s="5"/>
      <c r="C793" s="5"/>
      <c r="D793" s="5"/>
      <c r="E793" s="5"/>
      <c r="F793" s="5"/>
      <c r="G793" s="4"/>
      <c r="H793" s="4"/>
    </row>
    <row r="794" spans="2:8" x14ac:dyDescent="0.2">
      <c r="B794" s="5"/>
      <c r="C794" s="5"/>
      <c r="D794" s="5"/>
      <c r="E794" s="5"/>
      <c r="F794" s="5"/>
      <c r="G794" s="4"/>
      <c r="H794" s="4"/>
    </row>
    <row r="795" spans="2:8" x14ac:dyDescent="0.2">
      <c r="B795" s="5"/>
      <c r="C795" s="5"/>
      <c r="D795" s="5"/>
      <c r="E795" s="5"/>
      <c r="F795" s="5"/>
      <c r="G795" s="4"/>
      <c r="H795" s="4"/>
    </row>
    <row r="796" spans="2:8" x14ac:dyDescent="0.2">
      <c r="B796" s="5"/>
      <c r="C796" s="5"/>
      <c r="D796" s="5"/>
      <c r="E796" s="5"/>
      <c r="F796" s="5"/>
      <c r="G796" s="4"/>
      <c r="H796" s="4"/>
    </row>
    <row r="797" spans="2:8" x14ac:dyDescent="0.2">
      <c r="B797" s="5"/>
      <c r="C797" s="5"/>
      <c r="D797" s="5"/>
      <c r="E797" s="5"/>
      <c r="F797" s="5"/>
      <c r="G797" s="4"/>
      <c r="H797" s="4"/>
    </row>
    <row r="798" spans="2:8" x14ac:dyDescent="0.2">
      <c r="B798" s="5"/>
      <c r="C798" s="5"/>
      <c r="D798" s="5"/>
      <c r="E798" s="5"/>
      <c r="F798" s="5"/>
      <c r="G798" s="4"/>
      <c r="H798" s="4"/>
    </row>
    <row r="799" spans="2:8" x14ac:dyDescent="0.2">
      <c r="B799" s="5"/>
      <c r="C799" s="5"/>
      <c r="D799" s="5"/>
      <c r="E799" s="5"/>
      <c r="F799" s="5"/>
      <c r="G799" s="4"/>
      <c r="H799" s="4"/>
    </row>
    <row r="800" spans="2:8" x14ac:dyDescent="0.2">
      <c r="B800" s="5"/>
      <c r="C800" s="5"/>
      <c r="D800" s="5"/>
      <c r="E800" s="5"/>
      <c r="F800" s="5"/>
      <c r="G800" s="4"/>
      <c r="H800" s="4"/>
    </row>
    <row r="801" spans="2:8" x14ac:dyDescent="0.2">
      <c r="B801" s="5"/>
      <c r="C801" s="5"/>
      <c r="D801" s="5"/>
      <c r="E801" s="5"/>
      <c r="F801" s="5"/>
      <c r="G801" s="4"/>
      <c r="H801" s="4"/>
    </row>
    <row r="802" spans="2:8" x14ac:dyDescent="0.2">
      <c r="B802" s="5"/>
      <c r="C802" s="5"/>
      <c r="D802" s="5"/>
      <c r="E802" s="5"/>
      <c r="F802" s="5"/>
      <c r="G802" s="4"/>
      <c r="H802" s="4"/>
    </row>
    <row r="803" spans="2:8" x14ac:dyDescent="0.2">
      <c r="B803" s="5"/>
      <c r="C803" s="5"/>
      <c r="D803" s="5"/>
      <c r="E803" s="5"/>
      <c r="F803" s="5"/>
      <c r="G803" s="4"/>
      <c r="H803" s="4"/>
    </row>
    <row r="804" spans="2:8" x14ac:dyDescent="0.2">
      <c r="B804" s="5"/>
      <c r="C804" s="5"/>
      <c r="D804" s="5"/>
      <c r="E804" s="5"/>
      <c r="F804" s="5"/>
      <c r="G804" s="4"/>
      <c r="H804" s="4"/>
    </row>
    <row r="805" spans="2:8" x14ac:dyDescent="0.2">
      <c r="B805" s="5"/>
      <c r="C805" s="5"/>
      <c r="D805" s="5"/>
      <c r="E805" s="5"/>
      <c r="F805" s="5"/>
      <c r="G805" s="4"/>
      <c r="H805" s="4"/>
    </row>
    <row r="806" spans="2:8" x14ac:dyDescent="0.2">
      <c r="B806" s="5"/>
      <c r="C806" s="5"/>
      <c r="D806" s="5"/>
      <c r="E806" s="5"/>
      <c r="F806" s="5"/>
      <c r="G806" s="4"/>
      <c r="H806" s="4"/>
    </row>
    <row r="807" spans="2:8" x14ac:dyDescent="0.2">
      <c r="B807" s="5"/>
      <c r="C807" s="5"/>
      <c r="D807" s="5"/>
      <c r="E807" s="5"/>
      <c r="F807" s="5"/>
      <c r="G807" s="4"/>
      <c r="H807" s="4"/>
    </row>
    <row r="808" spans="2:8" x14ac:dyDescent="0.2">
      <c r="B808" s="5"/>
      <c r="C808" s="5"/>
      <c r="D808" s="5"/>
      <c r="E808" s="5"/>
      <c r="F808" s="5"/>
      <c r="G808" s="4"/>
      <c r="H808" s="4"/>
    </row>
    <row r="809" spans="2:8" x14ac:dyDescent="0.2">
      <c r="B809" s="5"/>
      <c r="C809" s="5"/>
      <c r="D809" s="5"/>
      <c r="E809" s="5"/>
      <c r="F809" s="5"/>
      <c r="G809" s="4"/>
      <c r="H809" s="4"/>
    </row>
    <row r="810" spans="2:8" x14ac:dyDescent="0.2">
      <c r="B810" s="5"/>
      <c r="C810" s="5"/>
      <c r="D810" s="5"/>
      <c r="E810" s="5"/>
      <c r="F810" s="5"/>
      <c r="G810" s="4"/>
      <c r="H810" s="4"/>
    </row>
    <row r="811" spans="2:8" x14ac:dyDescent="0.2">
      <c r="B811" s="5"/>
      <c r="C811" s="5"/>
      <c r="D811" s="5"/>
      <c r="E811" s="5"/>
      <c r="F811" s="5"/>
      <c r="G811" s="4"/>
      <c r="H811" s="4"/>
    </row>
    <row r="812" spans="2:8" x14ac:dyDescent="0.2">
      <c r="B812" s="5"/>
      <c r="C812" s="5"/>
      <c r="D812" s="5"/>
      <c r="E812" s="5"/>
      <c r="F812" s="5"/>
      <c r="G812" s="4"/>
      <c r="H812" s="4"/>
    </row>
    <row r="813" spans="2:8" x14ac:dyDescent="0.2">
      <c r="B813" s="5"/>
      <c r="C813" s="5"/>
      <c r="D813" s="5"/>
      <c r="E813" s="5"/>
      <c r="F813" s="5"/>
      <c r="G813" s="4"/>
      <c r="H813" s="4"/>
    </row>
    <row r="814" spans="2:8" x14ac:dyDescent="0.2">
      <c r="B814" s="5"/>
      <c r="C814" s="5"/>
      <c r="D814" s="5"/>
      <c r="E814" s="5"/>
      <c r="F814" s="5"/>
      <c r="G814" s="4"/>
      <c r="H814" s="4"/>
    </row>
    <row r="815" spans="2:8" x14ac:dyDescent="0.2">
      <c r="B815" s="5"/>
      <c r="C815" s="5"/>
      <c r="D815" s="5"/>
      <c r="E815" s="5"/>
      <c r="F815" s="5"/>
      <c r="G815" s="4"/>
      <c r="H815" s="4"/>
    </row>
    <row r="816" spans="2:8" x14ac:dyDescent="0.2">
      <c r="B816" s="5"/>
      <c r="C816" s="5"/>
      <c r="D816" s="5"/>
      <c r="E816" s="5"/>
      <c r="F816" s="5"/>
      <c r="G816" s="4"/>
      <c r="H816" s="4"/>
    </row>
    <row r="817" spans="2:8" x14ac:dyDescent="0.2">
      <c r="B817" s="5"/>
      <c r="C817" s="5"/>
      <c r="D817" s="5"/>
      <c r="E817" s="5"/>
      <c r="F817" s="5"/>
      <c r="G817" s="4"/>
      <c r="H817" s="4"/>
    </row>
    <row r="818" spans="2:8" x14ac:dyDescent="0.2">
      <c r="B818" s="5"/>
      <c r="C818" s="5"/>
      <c r="D818" s="5"/>
      <c r="E818" s="5"/>
      <c r="F818" s="5"/>
      <c r="G818" s="4"/>
      <c r="H818" s="4"/>
    </row>
    <row r="819" spans="2:8" x14ac:dyDescent="0.2">
      <c r="B819" s="5"/>
      <c r="C819" s="5"/>
      <c r="D819" s="5"/>
      <c r="E819" s="5"/>
      <c r="F819" s="5"/>
      <c r="G819" s="4"/>
      <c r="H819" s="4"/>
    </row>
    <row r="820" spans="2:8" x14ac:dyDescent="0.2">
      <c r="B820" s="5"/>
      <c r="C820" s="5"/>
      <c r="D820" s="5"/>
      <c r="E820" s="5"/>
      <c r="F820" s="5"/>
      <c r="G820" s="4"/>
      <c r="H820" s="4"/>
    </row>
    <row r="821" spans="2:8" x14ac:dyDescent="0.2">
      <c r="B821" s="5"/>
      <c r="C821" s="5"/>
      <c r="D821" s="5"/>
      <c r="E821" s="5"/>
      <c r="F821" s="5"/>
      <c r="G821" s="4"/>
      <c r="H821" s="4"/>
    </row>
    <row r="822" spans="2:8" x14ac:dyDescent="0.2">
      <c r="B822" s="5"/>
      <c r="C822" s="5"/>
      <c r="D822" s="5"/>
      <c r="E822" s="5"/>
      <c r="F822" s="5"/>
      <c r="G822" s="4"/>
      <c r="H822" s="4"/>
    </row>
    <row r="823" spans="2:8" x14ac:dyDescent="0.2">
      <c r="B823" s="5"/>
      <c r="C823" s="5"/>
      <c r="D823" s="5"/>
      <c r="E823" s="5"/>
      <c r="F823" s="5"/>
      <c r="G823" s="4"/>
      <c r="H823" s="4"/>
    </row>
    <row r="824" spans="2:8" x14ac:dyDescent="0.2">
      <c r="B824" s="5"/>
      <c r="C824" s="5"/>
      <c r="D824" s="5"/>
      <c r="E824" s="5"/>
      <c r="F824" s="5"/>
      <c r="G824" s="4"/>
      <c r="H824" s="4"/>
    </row>
    <row r="825" spans="2:8" x14ac:dyDescent="0.2">
      <c r="B825" s="5"/>
      <c r="C825" s="5"/>
      <c r="D825" s="5"/>
      <c r="E825" s="5"/>
      <c r="F825" s="5"/>
      <c r="G825" s="4"/>
      <c r="H825" s="4"/>
    </row>
    <row r="826" spans="2:8" x14ac:dyDescent="0.2">
      <c r="B826" s="5"/>
      <c r="C826" s="5"/>
      <c r="D826" s="5"/>
      <c r="E826" s="5"/>
      <c r="F826" s="5"/>
      <c r="G826" s="4"/>
      <c r="H826" s="4"/>
    </row>
    <row r="827" spans="2:8" x14ac:dyDescent="0.2">
      <c r="B827" s="5"/>
      <c r="C827" s="5"/>
      <c r="D827" s="5"/>
      <c r="E827" s="5"/>
      <c r="F827" s="5"/>
      <c r="G827" s="4"/>
      <c r="H827" s="4"/>
    </row>
    <row r="828" spans="2:8" x14ac:dyDescent="0.2">
      <c r="B828" s="5"/>
      <c r="C828" s="5"/>
      <c r="D828" s="5"/>
      <c r="E828" s="5"/>
      <c r="F828" s="5"/>
      <c r="G828" s="4"/>
      <c r="H828" s="4"/>
    </row>
    <row r="829" spans="2:8" x14ac:dyDescent="0.2">
      <c r="B829" s="5"/>
      <c r="C829" s="5"/>
      <c r="D829" s="5"/>
      <c r="E829" s="5"/>
      <c r="F829" s="5"/>
      <c r="G829" s="4"/>
      <c r="H829" s="4"/>
    </row>
    <row r="830" spans="2:8" x14ac:dyDescent="0.2">
      <c r="B830" s="5"/>
      <c r="C830" s="5"/>
      <c r="D830" s="5"/>
      <c r="E830" s="5"/>
      <c r="F830" s="5"/>
      <c r="G830" s="4"/>
      <c r="H830" s="4"/>
    </row>
    <row r="831" spans="2:8" x14ac:dyDescent="0.2">
      <c r="B831" s="5"/>
      <c r="C831" s="5"/>
      <c r="D831" s="5"/>
      <c r="E831" s="5"/>
      <c r="F831" s="5"/>
      <c r="G831" s="4"/>
      <c r="H831" s="4"/>
    </row>
    <row r="832" spans="2:8" x14ac:dyDescent="0.2">
      <c r="B832" s="5"/>
      <c r="C832" s="5"/>
      <c r="D832" s="5"/>
      <c r="E832" s="5"/>
      <c r="F832" s="5"/>
      <c r="G832" s="4"/>
      <c r="H832" s="4"/>
    </row>
    <row r="833" spans="2:8" x14ac:dyDescent="0.2">
      <c r="B833" s="5"/>
      <c r="C833" s="5"/>
      <c r="D833" s="5"/>
      <c r="E833" s="5"/>
      <c r="F833" s="5"/>
      <c r="G833" s="4"/>
      <c r="H833" s="4"/>
    </row>
    <row r="834" spans="2:8" x14ac:dyDescent="0.2">
      <c r="B834" s="5"/>
      <c r="C834" s="5"/>
      <c r="D834" s="5"/>
      <c r="E834" s="5"/>
      <c r="F834" s="5"/>
      <c r="G834" s="4"/>
      <c r="H834" s="4"/>
    </row>
    <row r="835" spans="2:8" x14ac:dyDescent="0.2">
      <c r="B835" s="5"/>
      <c r="C835" s="5"/>
      <c r="D835" s="5"/>
      <c r="E835" s="5"/>
      <c r="F835" s="5"/>
      <c r="G835" s="4"/>
      <c r="H835" s="4"/>
    </row>
    <row r="836" spans="2:8" x14ac:dyDescent="0.2">
      <c r="B836" s="5"/>
      <c r="C836" s="5"/>
      <c r="D836" s="5"/>
      <c r="E836" s="5"/>
      <c r="F836" s="5"/>
      <c r="G836" s="4"/>
      <c r="H836" s="4"/>
    </row>
    <row r="837" spans="2:8" x14ac:dyDescent="0.2">
      <c r="B837" s="5"/>
      <c r="C837" s="5"/>
      <c r="D837" s="5"/>
      <c r="E837" s="5"/>
      <c r="F837" s="7"/>
      <c r="G837" s="4"/>
      <c r="H837" s="2"/>
    </row>
    <row r="838" spans="2:8" x14ac:dyDescent="0.2">
      <c r="B838" s="5"/>
      <c r="C838" s="5"/>
      <c r="D838" s="5"/>
      <c r="E838" s="5"/>
      <c r="F838" s="7"/>
      <c r="G838" s="4"/>
      <c r="H838" s="2"/>
    </row>
    <row r="839" spans="2:8" x14ac:dyDescent="0.2">
      <c r="B839" s="5"/>
      <c r="C839" s="5"/>
      <c r="D839" s="5"/>
      <c r="E839" s="5"/>
      <c r="F839" s="7"/>
      <c r="G839" s="4"/>
      <c r="H839" s="2"/>
    </row>
    <row r="840" spans="2:8" x14ac:dyDescent="0.2">
      <c r="B840" s="5"/>
      <c r="C840" s="5"/>
      <c r="D840" s="5"/>
      <c r="E840" s="5"/>
      <c r="F840" s="7"/>
      <c r="G840" s="4"/>
      <c r="H840" s="2"/>
    </row>
    <row r="841" spans="2:8" x14ac:dyDescent="0.2">
      <c r="B841" s="5"/>
      <c r="C841" s="5"/>
      <c r="D841" s="5"/>
      <c r="E841" s="5"/>
      <c r="F841" s="7"/>
      <c r="G841" s="4"/>
      <c r="H841" s="2"/>
    </row>
    <row r="842" spans="2:8" x14ac:dyDescent="0.2">
      <c r="B842" s="5"/>
      <c r="C842" s="5"/>
      <c r="D842" s="5"/>
      <c r="E842" s="5"/>
      <c r="F842" s="7"/>
      <c r="G842" s="4"/>
      <c r="H842" s="2"/>
    </row>
    <row r="843" spans="2:8" x14ac:dyDescent="0.2">
      <c r="B843" s="5"/>
      <c r="C843" s="5"/>
      <c r="D843" s="5"/>
      <c r="E843" s="5"/>
      <c r="F843" s="7"/>
      <c r="G843" s="4"/>
      <c r="H843" s="2"/>
    </row>
    <row r="844" spans="2:8" x14ac:dyDescent="0.2">
      <c r="B844" s="5"/>
      <c r="C844" s="5"/>
      <c r="D844" s="5"/>
      <c r="E844" s="5"/>
      <c r="F844" s="7"/>
      <c r="G844" s="4"/>
      <c r="H844" s="2"/>
    </row>
    <row r="845" spans="2:8" x14ac:dyDescent="0.2">
      <c r="B845" s="5"/>
      <c r="C845" s="5"/>
      <c r="D845" s="5"/>
      <c r="E845" s="5"/>
      <c r="F845" s="7"/>
      <c r="G845" s="4"/>
      <c r="H845" s="2"/>
    </row>
    <row r="846" spans="2:8" x14ac:dyDescent="0.2">
      <c r="B846" s="5"/>
      <c r="C846" s="5"/>
      <c r="D846" s="5"/>
      <c r="E846" s="5"/>
      <c r="F846" s="7"/>
      <c r="G846" s="4"/>
      <c r="H846" s="2"/>
    </row>
    <row r="847" spans="2:8" x14ac:dyDescent="0.2">
      <c r="B847" s="5"/>
      <c r="C847" s="5"/>
      <c r="D847" s="5"/>
      <c r="E847" s="5"/>
      <c r="F847" s="7"/>
      <c r="G847" s="4"/>
      <c r="H847" s="2"/>
    </row>
    <row r="848" spans="2:8" x14ac:dyDescent="0.2">
      <c r="B848" s="5"/>
      <c r="C848" s="5"/>
      <c r="D848" s="5"/>
      <c r="E848" s="5"/>
      <c r="F848" s="7"/>
      <c r="G848" s="4"/>
      <c r="H848" s="2"/>
    </row>
    <row r="849" spans="2:8" x14ac:dyDescent="0.2">
      <c r="B849" s="5"/>
      <c r="C849" s="5"/>
      <c r="D849" s="5"/>
      <c r="E849" s="5"/>
      <c r="F849" s="7"/>
      <c r="G849" s="4"/>
      <c r="H849" s="2"/>
    </row>
    <row r="850" spans="2:8" x14ac:dyDescent="0.2">
      <c r="B850" s="5"/>
      <c r="C850" s="5"/>
      <c r="D850" s="5"/>
      <c r="E850" s="5"/>
      <c r="F850" s="7"/>
      <c r="G850" s="4"/>
      <c r="H850" s="2"/>
    </row>
    <row r="851" spans="2:8" x14ac:dyDescent="0.2">
      <c r="B851" s="5"/>
      <c r="C851" s="5"/>
      <c r="D851" s="5"/>
      <c r="E851" s="5"/>
      <c r="F851" s="7"/>
      <c r="G851" s="4"/>
      <c r="H851" s="2"/>
    </row>
    <row r="852" spans="2:8" x14ac:dyDescent="0.2">
      <c r="B852" s="5"/>
      <c r="C852" s="5"/>
      <c r="D852" s="5"/>
      <c r="E852" s="5"/>
      <c r="F852" s="7"/>
      <c r="G852" s="4"/>
      <c r="H852" s="2"/>
    </row>
    <row r="853" spans="2:8" x14ac:dyDescent="0.2">
      <c r="B853" s="5"/>
      <c r="C853" s="5"/>
      <c r="D853" s="5"/>
      <c r="E853" s="5"/>
      <c r="F853" s="7"/>
      <c r="G853" s="4"/>
      <c r="H853" s="2"/>
    </row>
    <row r="854" spans="2:8" x14ac:dyDescent="0.2">
      <c r="B854" s="5"/>
      <c r="C854" s="5"/>
      <c r="D854" s="5"/>
      <c r="E854" s="5"/>
      <c r="F854" s="7"/>
      <c r="G854" s="4"/>
      <c r="H854" s="2"/>
    </row>
    <row r="855" spans="2:8" x14ac:dyDescent="0.2">
      <c r="B855" s="5"/>
      <c r="C855" s="5"/>
      <c r="D855" s="5"/>
      <c r="E855" s="5"/>
      <c r="F855" s="7"/>
      <c r="G855" s="4"/>
      <c r="H855" s="2"/>
    </row>
    <row r="856" spans="2:8" x14ac:dyDescent="0.2">
      <c r="B856" s="5"/>
      <c r="C856" s="5"/>
      <c r="D856" s="5"/>
      <c r="E856" s="5"/>
      <c r="F856" s="7"/>
      <c r="G856" s="4"/>
      <c r="H856" s="2"/>
    </row>
    <row r="857" spans="2:8" x14ac:dyDescent="0.2">
      <c r="B857" s="5"/>
      <c r="C857" s="5"/>
      <c r="D857" s="5"/>
      <c r="E857" s="5"/>
      <c r="F857" s="7"/>
      <c r="G857" s="4"/>
      <c r="H857" s="2"/>
    </row>
    <row r="858" spans="2:8" x14ac:dyDescent="0.2">
      <c r="B858" s="5"/>
      <c r="C858" s="5"/>
      <c r="D858" s="5"/>
      <c r="E858" s="5"/>
      <c r="F858" s="7"/>
      <c r="G858" s="4"/>
      <c r="H858" s="2"/>
    </row>
    <row r="859" spans="2:8" x14ac:dyDescent="0.2">
      <c r="B859" s="5"/>
      <c r="C859" s="5"/>
      <c r="D859" s="5"/>
      <c r="E859" s="5"/>
      <c r="F859" s="7"/>
      <c r="G859" s="4"/>
      <c r="H859" s="2"/>
    </row>
    <row r="860" spans="2:8" x14ac:dyDescent="0.2">
      <c r="B860" s="5"/>
      <c r="C860" s="5"/>
      <c r="D860" s="5"/>
      <c r="E860" s="5"/>
      <c r="F860" s="7"/>
      <c r="G860" s="4"/>
      <c r="H860" s="2"/>
    </row>
    <row r="861" spans="2:8" x14ac:dyDescent="0.2">
      <c r="B861" s="5"/>
      <c r="C861" s="5"/>
      <c r="D861" s="5"/>
      <c r="E861" s="5"/>
      <c r="F861" s="7"/>
      <c r="G861" s="4"/>
      <c r="H861" s="2"/>
    </row>
    <row r="862" spans="2:8" x14ac:dyDescent="0.2">
      <c r="B862" s="5"/>
      <c r="C862" s="5"/>
      <c r="D862" s="5"/>
      <c r="E862" s="5"/>
      <c r="F862" s="7"/>
      <c r="G862" s="4"/>
      <c r="H862" s="2"/>
    </row>
    <row r="863" spans="2:8" x14ac:dyDescent="0.2">
      <c r="B863" s="5"/>
      <c r="C863" s="5"/>
      <c r="D863" s="5"/>
      <c r="E863" s="5"/>
      <c r="F863" s="7"/>
      <c r="G863" s="4"/>
      <c r="H863" s="2"/>
    </row>
    <row r="864" spans="2:8" x14ac:dyDescent="0.2">
      <c r="B864" s="5"/>
      <c r="C864" s="5"/>
      <c r="D864" s="5"/>
      <c r="E864" s="5"/>
      <c r="F864" s="7"/>
      <c r="G864" s="4"/>
      <c r="H864" s="2"/>
    </row>
    <row r="865" spans="2:8" x14ac:dyDescent="0.2">
      <c r="B865" s="5"/>
      <c r="C865" s="5"/>
      <c r="D865" s="5"/>
      <c r="E865" s="5"/>
      <c r="F865" s="7"/>
      <c r="G865" s="4"/>
      <c r="H865" s="2"/>
    </row>
    <row r="866" spans="2:8" x14ac:dyDescent="0.2">
      <c r="B866" s="5"/>
      <c r="C866" s="5"/>
      <c r="D866" s="5"/>
      <c r="E866" s="5"/>
      <c r="F866" s="7"/>
      <c r="G866" s="4"/>
      <c r="H866" s="2"/>
    </row>
    <row r="867" spans="2:8" x14ac:dyDescent="0.2">
      <c r="B867" s="5"/>
      <c r="C867" s="5"/>
      <c r="D867" s="5"/>
      <c r="E867" s="5"/>
      <c r="F867" s="7"/>
      <c r="G867" s="4"/>
      <c r="H867" s="2"/>
    </row>
    <row r="868" spans="2:8" x14ac:dyDescent="0.2">
      <c r="B868" s="5"/>
      <c r="C868" s="5"/>
      <c r="D868" s="5"/>
      <c r="E868" s="5"/>
      <c r="F868" s="7"/>
      <c r="G868" s="4"/>
      <c r="H868" s="2"/>
    </row>
    <row r="869" spans="2:8" x14ac:dyDescent="0.2">
      <c r="B869" s="5"/>
      <c r="C869" s="5"/>
      <c r="D869" s="5"/>
      <c r="E869" s="5"/>
      <c r="F869" s="7"/>
      <c r="G869" s="4"/>
      <c r="H869" s="2"/>
    </row>
    <row r="870" spans="2:8" x14ac:dyDescent="0.2">
      <c r="B870" s="5"/>
      <c r="C870" s="5"/>
      <c r="D870" s="5"/>
      <c r="E870" s="5"/>
      <c r="F870" s="7"/>
      <c r="G870" s="4"/>
      <c r="H870" s="2"/>
    </row>
    <row r="871" spans="2:8" x14ac:dyDescent="0.2">
      <c r="B871" s="5"/>
      <c r="C871" s="5"/>
      <c r="D871" s="5"/>
      <c r="E871" s="5"/>
      <c r="F871" s="7"/>
      <c r="G871" s="4"/>
      <c r="H871" s="2"/>
    </row>
    <row r="872" spans="2:8" x14ac:dyDescent="0.2">
      <c r="B872" s="5"/>
      <c r="C872" s="5"/>
      <c r="D872" s="5"/>
      <c r="E872" s="5"/>
      <c r="F872" s="7"/>
      <c r="G872" s="4"/>
      <c r="H872" s="2"/>
    </row>
    <row r="873" spans="2:8" x14ac:dyDescent="0.2">
      <c r="B873" s="5"/>
      <c r="C873" s="5"/>
      <c r="D873" s="5"/>
      <c r="E873" s="5"/>
      <c r="F873" s="7"/>
      <c r="G873" s="4"/>
      <c r="H873" s="2"/>
    </row>
    <row r="874" spans="2:8" x14ac:dyDescent="0.2">
      <c r="B874" s="5"/>
      <c r="C874" s="5"/>
      <c r="D874" s="5"/>
      <c r="E874" s="5"/>
      <c r="F874" s="7"/>
      <c r="G874" s="4"/>
      <c r="H874" s="2"/>
    </row>
    <row r="875" spans="2:8" x14ac:dyDescent="0.2">
      <c r="B875" s="5"/>
      <c r="C875" s="5"/>
      <c r="D875" s="5"/>
      <c r="E875" s="5"/>
      <c r="F875" s="7"/>
      <c r="G875" s="4"/>
      <c r="H875" s="2"/>
    </row>
    <row r="876" spans="2:8" x14ac:dyDescent="0.2">
      <c r="B876" s="5"/>
      <c r="C876" s="5"/>
      <c r="D876" s="5"/>
      <c r="E876" s="5"/>
      <c r="F876" s="7"/>
      <c r="G876" s="4"/>
      <c r="H876" s="2"/>
    </row>
    <row r="877" spans="2:8" x14ac:dyDescent="0.2">
      <c r="B877" s="5"/>
      <c r="C877" s="5"/>
      <c r="D877" s="5"/>
      <c r="E877" s="5"/>
      <c r="F877" s="7"/>
      <c r="G877" s="4"/>
      <c r="H877" s="2"/>
    </row>
    <row r="878" spans="2:8" x14ac:dyDescent="0.2">
      <c r="B878" s="5"/>
      <c r="C878" s="5"/>
      <c r="D878" s="5"/>
      <c r="E878" s="5"/>
      <c r="F878" s="7"/>
      <c r="G878" s="4"/>
      <c r="H878" s="2"/>
    </row>
    <row r="879" spans="2:8" x14ac:dyDescent="0.2">
      <c r="B879" s="5"/>
      <c r="C879" s="5"/>
      <c r="D879" s="5"/>
      <c r="E879" s="5"/>
      <c r="F879" s="7"/>
      <c r="G879" s="4"/>
      <c r="H879" s="2"/>
    </row>
    <row r="880" spans="2:8" x14ac:dyDescent="0.2">
      <c r="B880" s="5"/>
      <c r="C880" s="5"/>
      <c r="D880" s="5"/>
      <c r="E880" s="5"/>
      <c r="F880" s="7"/>
      <c r="G880" s="4"/>
      <c r="H880" s="2"/>
    </row>
    <row r="881" spans="2:8" x14ac:dyDescent="0.2">
      <c r="B881" s="5"/>
      <c r="C881" s="5"/>
      <c r="D881" s="5"/>
      <c r="E881" s="5"/>
      <c r="F881" s="7"/>
      <c r="G881" s="4"/>
      <c r="H881" s="2"/>
    </row>
    <row r="882" spans="2:8" x14ac:dyDescent="0.2">
      <c r="B882" s="5"/>
      <c r="C882" s="5"/>
      <c r="D882" s="5"/>
      <c r="E882" s="5"/>
      <c r="F882" s="7"/>
      <c r="G882" s="4"/>
      <c r="H882" s="2"/>
    </row>
    <row r="883" spans="2:8" x14ac:dyDescent="0.2">
      <c r="B883" s="5"/>
      <c r="C883" s="5"/>
      <c r="D883" s="5"/>
      <c r="E883" s="5"/>
      <c r="F883" s="7"/>
      <c r="G883" s="4"/>
      <c r="H883" s="2"/>
    </row>
    <row r="884" spans="2:8" x14ac:dyDescent="0.2">
      <c r="B884" s="5"/>
      <c r="C884" s="5"/>
      <c r="D884" s="5"/>
      <c r="E884" s="5"/>
      <c r="F884" s="7"/>
      <c r="G884" s="4"/>
      <c r="H884" s="2"/>
    </row>
    <row r="885" spans="2:8" x14ac:dyDescent="0.2">
      <c r="B885" s="5"/>
      <c r="C885" s="5"/>
      <c r="D885" s="5"/>
      <c r="E885" s="5"/>
      <c r="F885" s="7"/>
      <c r="G885" s="4"/>
      <c r="H885" s="2"/>
    </row>
    <row r="886" spans="2:8" x14ac:dyDescent="0.2">
      <c r="B886" s="5"/>
      <c r="C886" s="5"/>
      <c r="D886" s="5"/>
      <c r="E886" s="5"/>
      <c r="F886" s="7"/>
      <c r="G886" s="4"/>
      <c r="H886" s="2"/>
    </row>
    <row r="887" spans="2:8" x14ac:dyDescent="0.2">
      <c r="B887" s="5"/>
      <c r="C887" s="5"/>
      <c r="D887" s="5"/>
      <c r="E887" s="5"/>
      <c r="F887" s="7"/>
      <c r="G887" s="4"/>
      <c r="H887" s="2"/>
    </row>
    <row r="888" spans="2:8" x14ac:dyDescent="0.2">
      <c r="B888" s="5"/>
      <c r="C888" s="5"/>
      <c r="D888" s="5"/>
      <c r="E888" s="5"/>
      <c r="F888" s="7"/>
      <c r="G888" s="4"/>
      <c r="H888" s="2"/>
    </row>
    <row r="889" spans="2:8" x14ac:dyDescent="0.2">
      <c r="B889" s="5"/>
      <c r="C889" s="5"/>
      <c r="D889" s="5"/>
      <c r="E889" s="5"/>
      <c r="F889" s="7"/>
      <c r="G889" s="4"/>
      <c r="H889" s="2"/>
    </row>
    <row r="890" spans="2:8" x14ac:dyDescent="0.2">
      <c r="B890" s="5"/>
      <c r="C890" s="5"/>
      <c r="D890" s="5"/>
      <c r="E890" s="5"/>
      <c r="F890" s="7"/>
      <c r="G890" s="4"/>
      <c r="H890" s="2"/>
    </row>
    <row r="891" spans="2:8" x14ac:dyDescent="0.2">
      <c r="B891" s="5"/>
      <c r="C891" s="5"/>
      <c r="D891" s="5"/>
      <c r="E891" s="5"/>
      <c r="F891" s="7"/>
      <c r="G891" s="4"/>
      <c r="H891" s="2"/>
    </row>
    <row r="892" spans="2:8" x14ac:dyDescent="0.2">
      <c r="B892" s="5"/>
      <c r="C892" s="5"/>
      <c r="D892" s="5"/>
      <c r="E892" s="5"/>
      <c r="F892" s="7"/>
      <c r="G892" s="4"/>
      <c r="H892" s="2"/>
    </row>
    <row r="893" spans="2:8" x14ac:dyDescent="0.2">
      <c r="B893" s="5"/>
      <c r="C893" s="5"/>
      <c r="D893" s="5"/>
      <c r="E893" s="5"/>
      <c r="F893" s="7"/>
      <c r="G893" s="4"/>
      <c r="H893" s="2"/>
    </row>
    <row r="894" spans="2:8" x14ac:dyDescent="0.2">
      <c r="B894" s="5"/>
      <c r="C894" s="5"/>
      <c r="D894" s="5"/>
      <c r="E894" s="5"/>
      <c r="F894" s="7"/>
      <c r="G894" s="4"/>
      <c r="H894" s="2"/>
    </row>
    <row r="895" spans="2:8" x14ac:dyDescent="0.2">
      <c r="B895" s="5"/>
      <c r="C895" s="5"/>
      <c r="D895" s="5"/>
      <c r="E895" s="5"/>
      <c r="F895" s="7"/>
      <c r="G895" s="4"/>
      <c r="H895" s="2"/>
    </row>
    <row r="896" spans="2:8" x14ac:dyDescent="0.2">
      <c r="B896" s="5"/>
      <c r="C896" s="5"/>
      <c r="D896" s="5"/>
      <c r="E896" s="5"/>
      <c r="F896" s="7"/>
      <c r="G896" s="4"/>
      <c r="H896" s="2"/>
    </row>
    <row r="897" spans="2:8" x14ac:dyDescent="0.2">
      <c r="B897" s="5"/>
      <c r="C897" s="5"/>
      <c r="D897" s="5"/>
      <c r="E897" s="5"/>
      <c r="F897" s="7"/>
      <c r="G897" s="4"/>
      <c r="H897" s="2"/>
    </row>
    <row r="898" spans="2:8" x14ac:dyDescent="0.2">
      <c r="B898" s="5"/>
      <c r="C898" s="5"/>
      <c r="D898" s="5"/>
      <c r="E898" s="5"/>
      <c r="F898" s="7"/>
      <c r="G898" s="4"/>
      <c r="H898" s="2"/>
    </row>
    <row r="899" spans="2:8" x14ac:dyDescent="0.2">
      <c r="B899" s="5"/>
      <c r="C899" s="5"/>
      <c r="D899" s="5"/>
      <c r="E899" s="5"/>
      <c r="F899" s="7"/>
      <c r="G899" s="4"/>
      <c r="H899" s="2"/>
    </row>
    <row r="900" spans="2:8" x14ac:dyDescent="0.2">
      <c r="B900" s="5"/>
      <c r="C900" s="5"/>
      <c r="D900" s="5"/>
      <c r="E900" s="5"/>
      <c r="F900" s="7"/>
      <c r="G900" s="4"/>
      <c r="H900" s="2"/>
    </row>
    <row r="901" spans="2:8" x14ac:dyDescent="0.2">
      <c r="B901" s="5"/>
      <c r="C901" s="5"/>
      <c r="D901" s="5"/>
      <c r="E901" s="5"/>
      <c r="F901" s="7"/>
      <c r="G901" s="4"/>
      <c r="H901" s="2"/>
    </row>
    <row r="902" spans="2:8" x14ac:dyDescent="0.2">
      <c r="B902" s="5"/>
      <c r="C902" s="5"/>
      <c r="D902" s="5"/>
      <c r="E902" s="5"/>
      <c r="F902" s="7"/>
      <c r="G902" s="4"/>
      <c r="H902" s="2"/>
    </row>
    <row r="903" spans="2:8" x14ac:dyDescent="0.2">
      <c r="B903" s="5"/>
      <c r="C903" s="5"/>
      <c r="D903" s="5"/>
      <c r="E903" s="5"/>
      <c r="F903" s="7"/>
      <c r="G903" s="4"/>
      <c r="H903" s="2"/>
    </row>
    <row r="904" spans="2:8" x14ac:dyDescent="0.2">
      <c r="B904" s="5"/>
      <c r="C904" s="5"/>
      <c r="D904" s="5"/>
      <c r="E904" s="5"/>
      <c r="F904" s="7"/>
      <c r="G904" s="4"/>
      <c r="H904" s="2"/>
    </row>
    <row r="905" spans="2:8" x14ac:dyDescent="0.2">
      <c r="B905" s="5"/>
      <c r="C905" s="5"/>
      <c r="D905" s="5"/>
      <c r="E905" s="5"/>
      <c r="F905" s="7"/>
      <c r="G905" s="4"/>
      <c r="H905" s="2"/>
    </row>
    <row r="906" spans="2:8" x14ac:dyDescent="0.2">
      <c r="B906" s="5"/>
      <c r="C906" s="5"/>
      <c r="D906" s="5"/>
      <c r="E906" s="5"/>
      <c r="F906" s="7"/>
      <c r="G906" s="4"/>
      <c r="H906" s="2"/>
    </row>
    <row r="907" spans="2:8" x14ac:dyDescent="0.2">
      <c r="B907" s="5"/>
      <c r="C907" s="5"/>
      <c r="D907" s="5"/>
      <c r="E907" s="5"/>
      <c r="F907" s="7"/>
      <c r="G907" s="4"/>
      <c r="H907" s="2"/>
    </row>
    <row r="908" spans="2:8" x14ac:dyDescent="0.2">
      <c r="B908" s="5"/>
      <c r="C908" s="5"/>
      <c r="D908" s="5"/>
      <c r="E908" s="5"/>
      <c r="F908" s="7"/>
      <c r="G908" s="4"/>
      <c r="H908" s="2"/>
    </row>
    <row r="909" spans="2:8" x14ac:dyDescent="0.2">
      <c r="B909" s="5"/>
      <c r="C909" s="5"/>
      <c r="D909" s="5"/>
      <c r="E909" s="5"/>
      <c r="F909" s="7"/>
      <c r="G909" s="4"/>
      <c r="H909" s="2"/>
    </row>
    <row r="910" spans="2:8" x14ac:dyDescent="0.2">
      <c r="B910" s="5"/>
      <c r="C910" s="5"/>
      <c r="D910" s="5"/>
      <c r="E910" s="5"/>
      <c r="F910" s="7"/>
      <c r="G910" s="4"/>
      <c r="H910" s="2"/>
    </row>
    <row r="911" spans="2:8" x14ac:dyDescent="0.2">
      <c r="B911" s="5"/>
      <c r="C911" s="5"/>
      <c r="D911" s="5"/>
      <c r="E911" s="5"/>
      <c r="F911" s="7"/>
      <c r="G911" s="4"/>
      <c r="H911" s="2"/>
    </row>
    <row r="912" spans="2:8" x14ac:dyDescent="0.2">
      <c r="B912" s="5"/>
      <c r="C912" s="5"/>
      <c r="D912" s="5"/>
      <c r="E912" s="5"/>
      <c r="F912" s="7"/>
      <c r="G912" s="4"/>
      <c r="H912" s="2"/>
    </row>
    <row r="913" spans="2:8" x14ac:dyDescent="0.2">
      <c r="B913" s="5"/>
      <c r="C913" s="5"/>
      <c r="D913" s="5"/>
      <c r="E913" s="5"/>
      <c r="F913" s="7"/>
      <c r="G913" s="4"/>
      <c r="H913" s="2"/>
    </row>
    <row r="914" spans="2:8" x14ac:dyDescent="0.2">
      <c r="B914" s="5"/>
      <c r="C914" s="5"/>
      <c r="D914" s="5"/>
      <c r="E914" s="5"/>
      <c r="F914" s="7"/>
      <c r="G914" s="4"/>
      <c r="H914" s="2"/>
    </row>
    <row r="915" spans="2:8" x14ac:dyDescent="0.2">
      <c r="B915" s="5"/>
      <c r="C915" s="5"/>
      <c r="D915" s="5"/>
      <c r="E915" s="5"/>
      <c r="F915" s="7"/>
      <c r="G915" s="4"/>
      <c r="H915" s="2"/>
    </row>
    <row r="916" spans="2:8" x14ac:dyDescent="0.2">
      <c r="B916" s="5"/>
      <c r="C916" s="5"/>
      <c r="D916" s="5"/>
      <c r="E916" s="5"/>
      <c r="F916" s="7"/>
      <c r="G916" s="4"/>
      <c r="H916" s="2"/>
    </row>
    <row r="917" spans="2:8" x14ac:dyDescent="0.2">
      <c r="B917" s="5"/>
      <c r="C917" s="5"/>
      <c r="D917" s="5"/>
      <c r="E917" s="5"/>
      <c r="F917" s="7"/>
      <c r="G917" s="4"/>
      <c r="H917" s="2"/>
    </row>
    <row r="918" spans="2:8" x14ac:dyDescent="0.2">
      <c r="B918" s="5"/>
      <c r="C918" s="5"/>
      <c r="D918" s="5"/>
      <c r="E918" s="5"/>
      <c r="F918" s="7"/>
      <c r="G918" s="4"/>
      <c r="H918" s="2"/>
    </row>
    <row r="919" spans="2:8" x14ac:dyDescent="0.2">
      <c r="B919" s="5"/>
      <c r="C919" s="5"/>
      <c r="D919" s="5"/>
      <c r="E919" s="5"/>
      <c r="F919" s="7"/>
      <c r="G919" s="4"/>
      <c r="H919" s="2"/>
    </row>
    <row r="920" spans="2:8" x14ac:dyDescent="0.2">
      <c r="B920" s="5"/>
      <c r="C920" s="5"/>
      <c r="D920" s="5"/>
      <c r="E920" s="5"/>
      <c r="F920" s="7"/>
      <c r="G920" s="4"/>
      <c r="H920" s="2"/>
    </row>
    <row r="921" spans="2:8" x14ac:dyDescent="0.2">
      <c r="B921" s="5"/>
      <c r="C921" s="5"/>
      <c r="D921" s="5"/>
      <c r="E921" s="5"/>
      <c r="F921" s="7"/>
      <c r="G921" s="4"/>
      <c r="H921" s="2"/>
    </row>
    <row r="922" spans="2:8" x14ac:dyDescent="0.2">
      <c r="B922" s="5"/>
      <c r="C922" s="5"/>
      <c r="D922" s="5"/>
      <c r="E922" s="5"/>
      <c r="F922" s="7"/>
      <c r="G922" s="4"/>
      <c r="H922" s="2"/>
    </row>
    <row r="923" spans="2:8" x14ac:dyDescent="0.2">
      <c r="B923" s="5"/>
      <c r="C923" s="5"/>
      <c r="D923" s="5"/>
      <c r="E923" s="5"/>
      <c r="F923" s="7"/>
      <c r="G923" s="4"/>
      <c r="H923" s="2"/>
    </row>
    <row r="924" spans="2:8" x14ac:dyDescent="0.2">
      <c r="B924" s="5"/>
      <c r="C924" s="5"/>
      <c r="D924" s="5"/>
      <c r="E924" s="5"/>
      <c r="F924" s="7"/>
      <c r="G924" s="4"/>
      <c r="H924" s="2"/>
    </row>
    <row r="925" spans="2:8" x14ac:dyDescent="0.2">
      <c r="B925" s="5"/>
      <c r="C925" s="5"/>
      <c r="D925" s="5"/>
      <c r="E925" s="5"/>
      <c r="F925" s="7"/>
      <c r="G925" s="4"/>
      <c r="H925" s="2"/>
    </row>
    <row r="926" spans="2:8" x14ac:dyDescent="0.2">
      <c r="B926" s="5"/>
      <c r="C926" s="5"/>
      <c r="D926" s="5"/>
      <c r="E926" s="5"/>
      <c r="F926" s="7"/>
      <c r="G926" s="4"/>
      <c r="H926" s="2"/>
    </row>
    <row r="927" spans="2:8" x14ac:dyDescent="0.2">
      <c r="B927" s="5"/>
      <c r="C927" s="5"/>
      <c r="D927" s="5"/>
      <c r="E927" s="5"/>
      <c r="F927" s="7"/>
      <c r="G927" s="4"/>
      <c r="H927" s="2"/>
    </row>
    <row r="928" spans="2:8" x14ac:dyDescent="0.2">
      <c r="B928" s="5"/>
      <c r="C928" s="5"/>
      <c r="D928" s="5"/>
      <c r="E928" s="5"/>
      <c r="F928" s="7"/>
      <c r="G928" s="4"/>
      <c r="H928" s="2"/>
    </row>
    <row r="929" spans="2:8" x14ac:dyDescent="0.2">
      <c r="B929" s="5"/>
      <c r="C929" s="5"/>
      <c r="D929" s="5"/>
      <c r="E929" s="5"/>
      <c r="F929" s="7"/>
      <c r="G929" s="4"/>
      <c r="H929" s="2"/>
    </row>
    <row r="930" spans="2:8" x14ac:dyDescent="0.2">
      <c r="B930" s="5"/>
      <c r="C930" s="5"/>
      <c r="D930" s="5"/>
      <c r="E930" s="5"/>
      <c r="F930" s="7"/>
      <c r="G930" s="4"/>
      <c r="H930" s="2"/>
    </row>
    <row r="931" spans="2:8" x14ac:dyDescent="0.2">
      <c r="B931" s="5"/>
      <c r="C931" s="5"/>
      <c r="D931" s="5"/>
      <c r="E931" s="5"/>
      <c r="F931" s="7"/>
      <c r="G931" s="4"/>
      <c r="H931" s="2"/>
    </row>
    <row r="932" spans="2:8" x14ac:dyDescent="0.2">
      <c r="B932" s="5"/>
      <c r="C932" s="5"/>
      <c r="D932" s="5"/>
      <c r="E932" s="5"/>
      <c r="F932" s="7"/>
      <c r="G932" s="4"/>
      <c r="H932" s="2"/>
    </row>
    <row r="933" spans="2:8" x14ac:dyDescent="0.2">
      <c r="B933" s="5"/>
      <c r="C933" s="5"/>
      <c r="D933" s="5"/>
      <c r="E933" s="5"/>
      <c r="F933" s="7"/>
      <c r="G933" s="4"/>
      <c r="H933" s="2"/>
    </row>
    <row r="934" spans="2:8" x14ac:dyDescent="0.2">
      <c r="B934" s="5"/>
      <c r="C934" s="5"/>
      <c r="D934" s="5"/>
      <c r="E934" s="5"/>
      <c r="F934" s="7"/>
      <c r="G934" s="4"/>
      <c r="H934" s="2"/>
    </row>
    <row r="935" spans="2:8" x14ac:dyDescent="0.2">
      <c r="B935" s="5"/>
      <c r="C935" s="5"/>
      <c r="D935" s="5"/>
      <c r="E935" s="5"/>
      <c r="F935" s="7"/>
      <c r="G935" s="4"/>
      <c r="H935" s="2"/>
    </row>
    <row r="936" spans="2:8" x14ac:dyDescent="0.2">
      <c r="B936" s="5"/>
      <c r="C936" s="5"/>
      <c r="D936" s="5"/>
      <c r="E936" s="5"/>
      <c r="F936" s="7"/>
      <c r="G936" s="4"/>
      <c r="H936" s="2"/>
    </row>
    <row r="937" spans="2:8" x14ac:dyDescent="0.2">
      <c r="B937" s="5"/>
      <c r="C937" s="5"/>
      <c r="D937" s="5"/>
      <c r="E937" s="5"/>
      <c r="F937" s="7"/>
      <c r="G937" s="4"/>
      <c r="H937" s="2"/>
    </row>
    <row r="938" spans="2:8" x14ac:dyDescent="0.2">
      <c r="B938" s="5"/>
      <c r="C938" s="5"/>
      <c r="D938" s="5"/>
      <c r="E938" s="5"/>
      <c r="F938" s="7"/>
      <c r="G938" s="4"/>
      <c r="H938" s="2"/>
    </row>
    <row r="939" spans="2:8" x14ac:dyDescent="0.2">
      <c r="B939" s="5"/>
      <c r="C939" s="5"/>
      <c r="D939" s="5"/>
      <c r="E939" s="5"/>
      <c r="F939" s="7"/>
      <c r="G939" s="4"/>
      <c r="H939" s="2"/>
    </row>
    <row r="940" spans="2:8" x14ac:dyDescent="0.2">
      <c r="B940" s="5"/>
      <c r="C940" s="5"/>
      <c r="D940" s="5"/>
      <c r="E940" s="5"/>
      <c r="F940" s="7"/>
      <c r="G940" s="4"/>
      <c r="H940" s="2"/>
    </row>
    <row r="941" spans="2:8" x14ac:dyDescent="0.2">
      <c r="B941" s="5"/>
      <c r="C941" s="5"/>
      <c r="D941" s="5"/>
      <c r="E941" s="5"/>
      <c r="F941" s="7"/>
      <c r="G941" s="4"/>
      <c r="H941" s="2"/>
    </row>
    <row r="942" spans="2:8" x14ac:dyDescent="0.2">
      <c r="B942" s="5"/>
      <c r="C942" s="5"/>
      <c r="D942" s="5"/>
      <c r="E942" s="5"/>
      <c r="F942" s="7"/>
      <c r="G942" s="4"/>
      <c r="H942" s="2"/>
    </row>
    <row r="943" spans="2:8" x14ac:dyDescent="0.2">
      <c r="B943" s="5"/>
      <c r="C943" s="5"/>
      <c r="D943" s="5"/>
      <c r="E943" s="5"/>
      <c r="F943" s="7"/>
      <c r="G943" s="4"/>
      <c r="H943" s="2"/>
    </row>
    <row r="944" spans="2:8" x14ac:dyDescent="0.2">
      <c r="B944" s="5"/>
      <c r="C944" s="5"/>
      <c r="D944" s="5"/>
      <c r="E944" s="5"/>
      <c r="F944" s="7"/>
      <c r="G944" s="4"/>
      <c r="H944" s="2"/>
    </row>
    <row r="945" spans="2:8" x14ac:dyDescent="0.2">
      <c r="B945" s="5"/>
      <c r="C945" s="5"/>
      <c r="D945" s="5"/>
      <c r="E945" s="5"/>
      <c r="F945" s="7"/>
      <c r="G945" s="4"/>
      <c r="H945" s="2"/>
    </row>
    <row r="946" spans="2:8" x14ac:dyDescent="0.2">
      <c r="B946" s="5"/>
      <c r="C946" s="5"/>
      <c r="D946" s="5"/>
      <c r="E946" s="5"/>
      <c r="F946" s="7"/>
      <c r="G946" s="4"/>
      <c r="H946" s="2"/>
    </row>
    <row r="947" spans="2:8" x14ac:dyDescent="0.2">
      <c r="B947" s="5"/>
      <c r="C947" s="5"/>
      <c r="D947" s="5"/>
      <c r="E947" s="5"/>
      <c r="F947" s="7"/>
      <c r="G947" s="4"/>
      <c r="H947" s="2"/>
    </row>
    <row r="948" spans="2:8" x14ac:dyDescent="0.2">
      <c r="B948" s="5"/>
      <c r="C948" s="5"/>
      <c r="D948" s="5"/>
      <c r="E948" s="5"/>
      <c r="F948" s="7"/>
      <c r="G948" s="4"/>
      <c r="H948" s="2"/>
    </row>
    <row r="949" spans="2:8" x14ac:dyDescent="0.2">
      <c r="B949" s="5"/>
      <c r="C949" s="5"/>
      <c r="D949" s="5"/>
      <c r="E949" s="5"/>
      <c r="F949" s="7"/>
      <c r="G949" s="4"/>
      <c r="H949" s="2"/>
    </row>
    <row r="950" spans="2:8" x14ac:dyDescent="0.2">
      <c r="B950" s="5"/>
      <c r="C950" s="5"/>
      <c r="D950" s="5"/>
      <c r="E950" s="5"/>
      <c r="F950" s="7"/>
      <c r="G950" s="4"/>
      <c r="H950" s="2"/>
    </row>
    <row r="951" spans="2:8" x14ac:dyDescent="0.2">
      <c r="B951" s="5"/>
      <c r="C951" s="5"/>
      <c r="D951" s="5"/>
      <c r="E951" s="5"/>
      <c r="F951" s="7"/>
      <c r="G951" s="4"/>
      <c r="H951" s="2"/>
    </row>
    <row r="952" spans="2:8" x14ac:dyDescent="0.2">
      <c r="B952" s="5"/>
      <c r="C952" s="5"/>
      <c r="D952" s="5"/>
      <c r="E952" s="5"/>
      <c r="F952" s="7"/>
      <c r="G952" s="4"/>
      <c r="H952" s="2"/>
    </row>
    <row r="953" spans="2:8" x14ac:dyDescent="0.2">
      <c r="B953" s="5"/>
      <c r="C953" s="5"/>
      <c r="D953" s="5"/>
      <c r="E953" s="5"/>
      <c r="F953" s="7"/>
      <c r="G953" s="4"/>
      <c r="H953" s="2"/>
    </row>
    <row r="954" spans="2:8" x14ac:dyDescent="0.2">
      <c r="B954" s="5"/>
      <c r="C954" s="5"/>
      <c r="D954" s="5"/>
      <c r="E954" s="5"/>
      <c r="F954" s="7"/>
      <c r="G954" s="4"/>
      <c r="H954" s="2"/>
    </row>
    <row r="955" spans="2:8" x14ac:dyDescent="0.2">
      <c r="B955" s="5"/>
      <c r="C955" s="5"/>
      <c r="D955" s="5"/>
      <c r="E955" s="5"/>
      <c r="F955" s="7"/>
      <c r="G955" s="4"/>
      <c r="H955" s="2"/>
    </row>
    <row r="956" spans="2:8" x14ac:dyDescent="0.2">
      <c r="B956" s="5"/>
      <c r="C956" s="5"/>
      <c r="D956" s="5"/>
      <c r="E956" s="5"/>
      <c r="F956" s="7"/>
      <c r="G956" s="4"/>
      <c r="H956" s="2"/>
    </row>
    <row r="957" spans="2:8" x14ac:dyDescent="0.2">
      <c r="B957" s="5"/>
      <c r="C957" s="5"/>
      <c r="D957" s="5"/>
      <c r="E957" s="5"/>
      <c r="F957" s="7"/>
      <c r="G957" s="4"/>
      <c r="H957" s="2"/>
    </row>
    <row r="958" spans="2:8" x14ac:dyDescent="0.2">
      <c r="B958" s="5"/>
      <c r="C958" s="5"/>
      <c r="D958" s="5"/>
      <c r="E958" s="5"/>
      <c r="F958" s="7"/>
      <c r="G958" s="4"/>
      <c r="H958" s="2"/>
    </row>
    <row r="959" spans="2:8" x14ac:dyDescent="0.2">
      <c r="B959" s="5"/>
      <c r="C959" s="5"/>
      <c r="D959" s="5"/>
      <c r="E959" s="5"/>
      <c r="F959" s="7"/>
      <c r="G959" s="4"/>
      <c r="H959" s="2"/>
    </row>
    <row r="960" spans="2:8" x14ac:dyDescent="0.2">
      <c r="B960" s="5"/>
      <c r="C960" s="5"/>
      <c r="D960" s="5"/>
      <c r="E960" s="5"/>
      <c r="F960" s="7"/>
      <c r="G960" s="4"/>
      <c r="H960" s="2"/>
    </row>
    <row r="961" spans="2:7" x14ac:dyDescent="0.2">
      <c r="B961" s="5"/>
      <c r="C961" s="5"/>
      <c r="D961" s="5"/>
      <c r="E961" s="5"/>
      <c r="F961" s="7"/>
      <c r="G961" s="4"/>
    </row>
    <row r="962" spans="2:7" x14ac:dyDescent="0.2">
      <c r="B962" s="5"/>
      <c r="C962" s="5"/>
      <c r="D962" s="5"/>
      <c r="E962" s="5"/>
      <c r="F962" s="7"/>
      <c r="G962" s="4"/>
    </row>
    <row r="963" spans="2:7" x14ac:dyDescent="0.2">
      <c r="B963" s="5"/>
      <c r="C963" s="5"/>
      <c r="D963" s="5"/>
      <c r="E963" s="5"/>
      <c r="F963" s="7"/>
      <c r="G963" s="4"/>
    </row>
    <row r="964" spans="2:7" x14ac:dyDescent="0.2">
      <c r="B964" s="5"/>
      <c r="C964" s="5"/>
      <c r="D964" s="5"/>
      <c r="E964" s="5"/>
      <c r="F964" s="7"/>
      <c r="G964" s="4"/>
    </row>
    <row r="965" spans="2:7" x14ac:dyDescent="0.2">
      <c r="B965" s="5"/>
      <c r="C965" s="5"/>
      <c r="D965" s="5"/>
      <c r="E965" s="5"/>
      <c r="F965" s="7"/>
      <c r="G965" s="4"/>
    </row>
    <row r="966" spans="2:7" x14ac:dyDescent="0.2">
      <c r="B966" s="5"/>
      <c r="C966" s="5"/>
      <c r="D966" s="5"/>
      <c r="E966" s="5"/>
      <c r="F966" s="7"/>
      <c r="G966" s="4"/>
    </row>
    <row r="967" spans="2:7" x14ac:dyDescent="0.2">
      <c r="B967" s="5"/>
      <c r="C967" s="5"/>
      <c r="D967" s="5"/>
      <c r="E967" s="5"/>
      <c r="F967" s="7"/>
      <c r="G967" s="4"/>
    </row>
    <row r="968" spans="2:7" x14ac:dyDescent="0.2">
      <c r="B968" s="5"/>
      <c r="C968" s="5"/>
      <c r="D968" s="5"/>
      <c r="E968" s="5"/>
      <c r="F968" s="7"/>
      <c r="G968" s="4"/>
    </row>
    <row r="969" spans="2:7" x14ac:dyDescent="0.2">
      <c r="B969" s="5"/>
      <c r="C969" s="5"/>
      <c r="D969" s="5"/>
      <c r="E969" s="5"/>
      <c r="F969" s="7"/>
      <c r="G969" s="4"/>
    </row>
    <row r="970" spans="2:7" x14ac:dyDescent="0.2">
      <c r="B970" s="5"/>
      <c r="C970" s="5"/>
      <c r="D970" s="5"/>
      <c r="E970" s="5"/>
      <c r="F970" s="7"/>
      <c r="G970" s="4"/>
    </row>
    <row r="971" spans="2:7" x14ac:dyDescent="0.2">
      <c r="B971" s="5"/>
      <c r="C971" s="5"/>
      <c r="D971" s="5"/>
      <c r="E971" s="5"/>
      <c r="F971" s="7"/>
      <c r="G971" s="4"/>
    </row>
    <row r="972" spans="2:7" x14ac:dyDescent="0.2">
      <c r="B972" s="5"/>
      <c r="C972" s="5"/>
      <c r="D972" s="5"/>
      <c r="E972" s="5"/>
      <c r="F972" s="7"/>
      <c r="G972" s="4"/>
    </row>
    <row r="973" spans="2:7" x14ac:dyDescent="0.2">
      <c r="B973" s="5"/>
      <c r="C973" s="5"/>
      <c r="D973" s="5"/>
      <c r="E973" s="5"/>
      <c r="F973" s="7"/>
      <c r="G973" s="4"/>
    </row>
    <row r="974" spans="2:7" x14ac:dyDescent="0.2">
      <c r="B974" s="5"/>
      <c r="C974" s="5"/>
      <c r="D974" s="5"/>
      <c r="E974" s="5"/>
      <c r="F974" s="7"/>
      <c r="G974" s="4"/>
    </row>
    <row r="975" spans="2:7" x14ac:dyDescent="0.2">
      <c r="B975" s="5"/>
      <c r="C975" s="5"/>
      <c r="D975" s="5"/>
      <c r="E975" s="5"/>
      <c r="F975" s="7"/>
      <c r="G975" s="4"/>
    </row>
    <row r="976" spans="2:7" x14ac:dyDescent="0.2">
      <c r="B976" s="5"/>
      <c r="C976" s="5"/>
      <c r="D976" s="5"/>
      <c r="E976" s="5"/>
      <c r="F976" s="7"/>
      <c r="G976" s="4"/>
    </row>
    <row r="977" spans="2:7" x14ac:dyDescent="0.2">
      <c r="B977" s="5"/>
      <c r="C977" s="5"/>
      <c r="D977" s="5"/>
      <c r="E977" s="5"/>
      <c r="F977" s="7"/>
      <c r="G977" s="4"/>
    </row>
    <row r="978" spans="2:7" x14ac:dyDescent="0.2">
      <c r="B978" s="5"/>
      <c r="C978" s="5"/>
      <c r="D978" s="5"/>
      <c r="E978" s="5"/>
      <c r="F978" s="7"/>
      <c r="G978" s="4"/>
    </row>
    <row r="979" spans="2:7" x14ac:dyDescent="0.2">
      <c r="B979" s="5"/>
      <c r="C979" s="5"/>
      <c r="D979" s="5"/>
      <c r="E979" s="5"/>
      <c r="F979" s="7"/>
      <c r="G979" s="4"/>
    </row>
    <row r="980" spans="2:7" x14ac:dyDescent="0.2">
      <c r="B980" s="5"/>
      <c r="C980" s="5"/>
      <c r="D980" s="5"/>
      <c r="E980" s="5"/>
      <c r="F980" s="7"/>
      <c r="G980" s="4"/>
    </row>
    <row r="981" spans="2:7" x14ac:dyDescent="0.2">
      <c r="B981" s="5"/>
      <c r="C981" s="5"/>
      <c r="D981" s="5"/>
      <c r="E981" s="5"/>
      <c r="F981" s="7"/>
      <c r="G981" s="4"/>
    </row>
    <row r="982" spans="2:7" x14ac:dyDescent="0.2">
      <c r="B982" s="5"/>
      <c r="C982" s="5"/>
      <c r="D982" s="5"/>
      <c r="E982" s="5"/>
      <c r="F982" s="7"/>
      <c r="G982" s="4"/>
    </row>
    <row r="983" spans="2:7" x14ac:dyDescent="0.2">
      <c r="B983" s="5"/>
      <c r="C983" s="5"/>
      <c r="D983" s="5"/>
      <c r="E983" s="5"/>
      <c r="F983" s="7"/>
      <c r="G983" s="4"/>
    </row>
    <row r="984" spans="2:7" x14ac:dyDescent="0.2">
      <c r="F984" s="7"/>
      <c r="G984" s="4"/>
    </row>
    <row r="985" spans="2:7" x14ac:dyDescent="0.2">
      <c r="F985" s="7"/>
      <c r="G985" s="4"/>
    </row>
    <row r="986" spans="2:7" x14ac:dyDescent="0.2">
      <c r="F986" s="7"/>
      <c r="G986" s="4"/>
    </row>
    <row r="987" spans="2:7" x14ac:dyDescent="0.2">
      <c r="F987" s="7"/>
      <c r="G987" s="4"/>
    </row>
    <row r="988" spans="2:7" x14ac:dyDescent="0.2">
      <c r="F988" s="7"/>
      <c r="G988" s="4"/>
    </row>
    <row r="989" spans="2:7" x14ac:dyDescent="0.2">
      <c r="F989" s="7"/>
      <c r="G989" s="4"/>
    </row>
    <row r="990" spans="2:7" x14ac:dyDescent="0.2">
      <c r="F990" s="7"/>
      <c r="G990" s="4"/>
    </row>
    <row r="991" spans="2:7" x14ac:dyDescent="0.2">
      <c r="F991" s="7"/>
      <c r="G991" s="4"/>
    </row>
    <row r="992" spans="2:7" x14ac:dyDescent="0.2">
      <c r="F992" s="7"/>
      <c r="G992" s="4"/>
    </row>
    <row r="993" spans="6:7" x14ac:dyDescent="0.2">
      <c r="F993" s="7"/>
      <c r="G993" s="4"/>
    </row>
    <row r="994" spans="6:7" x14ac:dyDescent="0.2">
      <c r="F994" s="7"/>
      <c r="G994" s="4"/>
    </row>
    <row r="995" spans="6:7" x14ac:dyDescent="0.2">
      <c r="F995" s="7"/>
      <c r="G995" s="4"/>
    </row>
    <row r="996" spans="6:7" x14ac:dyDescent="0.2">
      <c r="F996" s="7"/>
      <c r="G996" s="4"/>
    </row>
    <row r="997" spans="6:7" x14ac:dyDescent="0.2">
      <c r="F997" s="7"/>
      <c r="G997" s="4"/>
    </row>
    <row r="998" spans="6:7" x14ac:dyDescent="0.2">
      <c r="F998" s="7"/>
      <c r="G998" s="4"/>
    </row>
    <row r="999" spans="6:7" x14ac:dyDescent="0.2">
      <c r="F999" s="7"/>
      <c r="G999" s="4"/>
    </row>
    <row r="1000" spans="6:7" x14ac:dyDescent="0.2">
      <c r="F1000" s="7"/>
      <c r="G1000" s="4"/>
    </row>
    <row r="1001" spans="6:7" x14ac:dyDescent="0.2">
      <c r="F1001" s="7"/>
      <c r="G1001" s="4"/>
    </row>
    <row r="1002" spans="6:7" x14ac:dyDescent="0.2">
      <c r="F1002" s="7"/>
      <c r="G1002" s="4"/>
    </row>
    <row r="1003" spans="6:7" x14ac:dyDescent="0.2">
      <c r="F1003" s="7"/>
      <c r="G1003" s="4"/>
    </row>
    <row r="1004" spans="6:7" x14ac:dyDescent="0.2">
      <c r="F1004" s="7"/>
      <c r="G1004" s="4"/>
    </row>
    <row r="1005" spans="6:7" x14ac:dyDescent="0.2">
      <c r="F1005" s="7"/>
      <c r="G1005" s="4"/>
    </row>
  </sheetData>
  <phoneticPr fontId="2" type="noConversion"/>
  <pageMargins left="0.75" right="0.75" top="1" bottom="1" header="0.5" footer="0.5"/>
  <pageSetup orientation="portrait" r:id="rId1"/>
  <headerFooter alignWithMargins="0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L106"/>
  <sheetViews>
    <sheetView showGridLines="0" showRowColHeaders="0" workbookViewId="0">
      <selection activeCell="M9" sqref="M9"/>
    </sheetView>
  </sheetViews>
  <sheetFormatPr defaultRowHeight="12.75" x14ac:dyDescent="0.2"/>
  <cols>
    <col min="1" max="1" width="4.5703125" style="1" customWidth="1"/>
    <col min="2" max="2" width="11" style="8" bestFit="1" customWidth="1"/>
    <col min="3" max="3" width="7.7109375" style="8" bestFit="1" customWidth="1"/>
    <col min="4" max="4" width="7" style="8" bestFit="1" customWidth="1"/>
    <col min="5" max="5" width="17.42578125" bestFit="1" customWidth="1"/>
    <col min="6" max="6" width="14.5703125" style="1" customWidth="1"/>
    <col min="7" max="7" width="9.140625" style="1"/>
    <col min="8" max="8" width="6" style="1" customWidth="1"/>
    <col min="9" max="16384" width="9.140625" style="1"/>
  </cols>
  <sheetData>
    <row r="1" spans="2:12" x14ac:dyDescent="0.2">
      <c r="E1" s="8"/>
    </row>
    <row r="2" spans="2:12" ht="14.25" customHeight="1" x14ac:dyDescent="0.2">
      <c r="B2" s="6"/>
      <c r="C2" s="6"/>
      <c r="D2" s="6"/>
      <c r="E2" s="6"/>
    </row>
    <row r="3" spans="2:12" ht="13.5" customHeight="1" x14ac:dyDescent="0.2">
      <c r="B3" s="6"/>
      <c r="C3" s="6"/>
      <c r="D3" s="6"/>
      <c r="E3" s="6"/>
      <c r="G3" s="199"/>
      <c r="H3" s="199"/>
    </row>
    <row r="4" spans="2:12" x14ac:dyDescent="0.2">
      <c r="C4" s="17"/>
      <c r="E4" s="8"/>
    </row>
    <row r="5" spans="2:12" ht="13.5" thickBot="1" x14ac:dyDescent="0.25">
      <c r="B5" s="20" t="s">
        <v>4</v>
      </c>
      <c r="C5" s="20" t="s">
        <v>3</v>
      </c>
      <c r="D5" s="20" t="s">
        <v>2</v>
      </c>
      <c r="E5" s="20" t="s">
        <v>15</v>
      </c>
      <c r="F5"/>
      <c r="G5"/>
      <c r="H5"/>
      <c r="I5"/>
      <c r="J5"/>
      <c r="K5"/>
      <c r="L5"/>
    </row>
    <row r="6" spans="2:12" x14ac:dyDescent="0.2">
      <c r="B6" s="26">
        <v>1</v>
      </c>
      <c r="C6" s="27">
        <v>1</v>
      </c>
      <c r="D6" s="27">
        <v>1</v>
      </c>
      <c r="E6" s="27">
        <v>100000</v>
      </c>
      <c r="F6"/>
      <c r="G6"/>
      <c r="H6"/>
      <c r="I6"/>
      <c r="J6"/>
      <c r="K6"/>
      <c r="L6"/>
    </row>
    <row r="7" spans="2:12" x14ac:dyDescent="0.2">
      <c r="B7" s="28"/>
      <c r="C7" s="25"/>
      <c r="D7" s="25">
        <v>2</v>
      </c>
      <c r="E7" s="25">
        <v>100000</v>
      </c>
      <c r="F7"/>
      <c r="G7"/>
      <c r="H7"/>
      <c r="I7"/>
      <c r="J7"/>
      <c r="K7"/>
      <c r="L7"/>
    </row>
    <row r="8" spans="2:12" x14ac:dyDescent="0.2">
      <c r="B8" s="28"/>
      <c r="C8" s="25">
        <v>2</v>
      </c>
      <c r="D8" s="25">
        <v>1</v>
      </c>
      <c r="E8" s="25">
        <v>100000</v>
      </c>
      <c r="F8"/>
      <c r="G8"/>
      <c r="H8"/>
      <c r="I8"/>
      <c r="J8"/>
      <c r="K8"/>
      <c r="L8"/>
    </row>
    <row r="9" spans="2:12" x14ac:dyDescent="0.2">
      <c r="B9" s="28"/>
      <c r="C9" s="25"/>
      <c r="D9" s="25">
        <v>2</v>
      </c>
      <c r="E9" s="25">
        <v>100000</v>
      </c>
      <c r="F9"/>
      <c r="G9"/>
      <c r="H9"/>
      <c r="I9"/>
      <c r="J9"/>
      <c r="K9"/>
      <c r="L9"/>
    </row>
    <row r="10" spans="2:12" x14ac:dyDescent="0.2">
      <c r="B10" s="28"/>
      <c r="C10" s="25">
        <v>3</v>
      </c>
      <c r="D10" s="25">
        <v>1</v>
      </c>
      <c r="E10" s="25">
        <v>100000</v>
      </c>
      <c r="F10"/>
      <c r="G10"/>
      <c r="H10"/>
      <c r="I10"/>
      <c r="J10"/>
      <c r="K10"/>
      <c r="L10"/>
    </row>
    <row r="11" spans="2:12" ht="13.5" thickBot="1" x14ac:dyDescent="0.25">
      <c r="B11" s="28"/>
      <c r="C11" s="25"/>
      <c r="D11" s="25">
        <v>2</v>
      </c>
      <c r="E11" s="25">
        <v>100000</v>
      </c>
      <c r="F11"/>
      <c r="G11"/>
      <c r="H11"/>
      <c r="I11"/>
      <c r="J11"/>
      <c r="K11"/>
      <c r="L11"/>
    </row>
    <row r="12" spans="2:12" x14ac:dyDescent="0.2">
      <c r="B12" s="26">
        <v>2</v>
      </c>
      <c r="C12" s="27">
        <v>1</v>
      </c>
      <c r="D12" s="27">
        <v>1</v>
      </c>
      <c r="E12" s="25">
        <v>100000</v>
      </c>
      <c r="F12"/>
      <c r="G12"/>
      <c r="H12"/>
      <c r="I12"/>
      <c r="J12"/>
      <c r="K12"/>
      <c r="L12"/>
    </row>
    <row r="13" spans="2:12" x14ac:dyDescent="0.2">
      <c r="B13" s="28"/>
      <c r="C13" s="25"/>
      <c r="D13" s="25">
        <v>2</v>
      </c>
      <c r="E13" s="25">
        <v>100000</v>
      </c>
      <c r="F13"/>
      <c r="G13"/>
      <c r="H13"/>
      <c r="I13"/>
      <c r="J13"/>
      <c r="K13"/>
      <c r="L13"/>
    </row>
    <row r="14" spans="2:12" x14ac:dyDescent="0.2">
      <c r="B14" s="28"/>
      <c r="C14" s="25">
        <v>2</v>
      </c>
      <c r="D14" s="25">
        <v>1</v>
      </c>
      <c r="E14" s="25">
        <v>100000</v>
      </c>
      <c r="F14"/>
      <c r="G14"/>
      <c r="H14"/>
      <c r="I14"/>
      <c r="J14"/>
      <c r="K14"/>
      <c r="L14"/>
    </row>
    <row r="15" spans="2:12" x14ac:dyDescent="0.2">
      <c r="B15" s="28"/>
      <c r="C15" s="25"/>
      <c r="D15" s="25">
        <v>2</v>
      </c>
      <c r="E15" s="25">
        <v>100000</v>
      </c>
      <c r="F15"/>
      <c r="G15"/>
      <c r="H15"/>
      <c r="I15"/>
      <c r="J15"/>
      <c r="K15"/>
      <c r="L15"/>
    </row>
    <row r="16" spans="2:12" x14ac:dyDescent="0.2">
      <c r="B16" s="28"/>
      <c r="C16" s="25">
        <v>3</v>
      </c>
      <c r="D16" s="25">
        <v>1</v>
      </c>
      <c r="E16" s="25">
        <v>100000</v>
      </c>
      <c r="F16"/>
      <c r="G16"/>
      <c r="H16"/>
      <c r="I16"/>
      <c r="J16"/>
      <c r="K16"/>
      <c r="L16"/>
    </row>
    <row r="17" spans="2:12" ht="13.5" thickBot="1" x14ac:dyDescent="0.25">
      <c r="B17" s="28"/>
      <c r="C17" s="25"/>
      <c r="D17" s="25">
        <v>2</v>
      </c>
      <c r="E17" s="25">
        <v>100000</v>
      </c>
      <c r="F17"/>
      <c r="G17"/>
      <c r="H17"/>
      <c r="I17"/>
      <c r="J17"/>
      <c r="K17"/>
      <c r="L17"/>
    </row>
    <row r="18" spans="2:12" x14ac:dyDescent="0.2">
      <c r="B18" s="26">
        <v>3</v>
      </c>
      <c r="C18" s="27">
        <v>1</v>
      </c>
      <c r="D18" s="27">
        <v>1</v>
      </c>
      <c r="E18" s="25">
        <v>100000</v>
      </c>
      <c r="F18"/>
      <c r="G18"/>
      <c r="H18"/>
      <c r="I18"/>
      <c r="J18"/>
      <c r="K18"/>
      <c r="L18"/>
    </row>
    <row r="19" spans="2:12" x14ac:dyDescent="0.2">
      <c r="B19" s="28"/>
      <c r="C19" s="25"/>
      <c r="D19" s="25">
        <v>2</v>
      </c>
      <c r="E19" s="25">
        <v>100000</v>
      </c>
      <c r="F19"/>
      <c r="G19"/>
      <c r="H19"/>
      <c r="I19"/>
      <c r="J19"/>
      <c r="K19"/>
      <c r="L19"/>
    </row>
    <row r="20" spans="2:12" x14ac:dyDescent="0.2">
      <c r="B20" s="28"/>
      <c r="C20" s="25">
        <v>2</v>
      </c>
      <c r="D20" s="25">
        <v>1</v>
      </c>
      <c r="E20" s="25">
        <v>100000</v>
      </c>
      <c r="F20"/>
      <c r="G20"/>
      <c r="H20"/>
      <c r="I20"/>
      <c r="J20"/>
      <c r="K20"/>
      <c r="L20"/>
    </row>
    <row r="21" spans="2:12" x14ac:dyDescent="0.2">
      <c r="B21" s="28"/>
      <c r="C21" s="25"/>
      <c r="D21" s="25">
        <v>2</v>
      </c>
      <c r="E21" s="25">
        <v>100000</v>
      </c>
      <c r="F21"/>
      <c r="G21"/>
      <c r="H21"/>
      <c r="I21"/>
      <c r="J21"/>
      <c r="K21"/>
      <c r="L21"/>
    </row>
    <row r="22" spans="2:12" x14ac:dyDescent="0.2">
      <c r="B22" s="28"/>
      <c r="C22" s="25">
        <v>3</v>
      </c>
      <c r="D22" s="25">
        <v>1</v>
      </c>
      <c r="E22" s="25">
        <v>100000</v>
      </c>
      <c r="F22"/>
      <c r="G22"/>
      <c r="H22"/>
      <c r="I22"/>
      <c r="J22"/>
      <c r="K22"/>
      <c r="L22"/>
    </row>
    <row r="23" spans="2:12" x14ac:dyDescent="0.2">
      <c r="B23" s="28"/>
      <c r="C23" s="25"/>
      <c r="D23" s="25">
        <v>2</v>
      </c>
      <c r="E23" s="25">
        <v>100000</v>
      </c>
      <c r="F23"/>
      <c r="G23"/>
      <c r="H23"/>
      <c r="I23"/>
      <c r="J23"/>
      <c r="K23"/>
      <c r="L23"/>
    </row>
    <row r="24" spans="2:12" x14ac:dyDescent="0.2">
      <c r="B24"/>
      <c r="C24"/>
      <c r="D24"/>
      <c r="F24"/>
      <c r="G24"/>
      <c r="H24"/>
      <c r="I24"/>
      <c r="J24"/>
      <c r="K24"/>
      <c r="L24"/>
    </row>
    <row r="25" spans="2:12" x14ac:dyDescent="0.2">
      <c r="B25"/>
      <c r="C25"/>
      <c r="D25"/>
      <c r="F25"/>
      <c r="G25"/>
      <c r="H25"/>
      <c r="I25"/>
      <c r="J25"/>
      <c r="K25"/>
      <c r="L25"/>
    </row>
    <row r="26" spans="2:12" x14ac:dyDescent="0.2">
      <c r="B26"/>
      <c r="C26"/>
      <c r="D26"/>
      <c r="F26"/>
      <c r="G26"/>
      <c r="H26"/>
      <c r="I26"/>
      <c r="J26"/>
      <c r="K26"/>
      <c r="L26"/>
    </row>
    <row r="27" spans="2:12" x14ac:dyDescent="0.2">
      <c r="B27"/>
      <c r="C27"/>
      <c r="D27"/>
      <c r="F27"/>
      <c r="G27"/>
      <c r="H27"/>
      <c r="I27"/>
      <c r="J27"/>
      <c r="K27"/>
      <c r="L27"/>
    </row>
    <row r="28" spans="2:12" x14ac:dyDescent="0.2">
      <c r="B28"/>
      <c r="C28"/>
      <c r="D28"/>
      <c r="F28"/>
      <c r="G28"/>
      <c r="H28"/>
      <c r="I28"/>
      <c r="J28"/>
      <c r="K28"/>
      <c r="L28"/>
    </row>
    <row r="29" spans="2:12" x14ac:dyDescent="0.2">
      <c r="B29"/>
      <c r="C29"/>
      <c r="D29"/>
      <c r="F29"/>
      <c r="G29"/>
      <c r="H29"/>
      <c r="I29"/>
      <c r="J29"/>
      <c r="K29"/>
      <c r="L29"/>
    </row>
    <row r="30" spans="2:12" x14ac:dyDescent="0.2">
      <c r="B30"/>
      <c r="C30"/>
      <c r="D30"/>
      <c r="F30"/>
      <c r="G30"/>
      <c r="H30"/>
      <c r="I30"/>
      <c r="J30"/>
      <c r="K30"/>
      <c r="L30"/>
    </row>
    <row r="31" spans="2:12" x14ac:dyDescent="0.2">
      <c r="B31"/>
      <c r="C31"/>
      <c r="D31"/>
      <c r="F31"/>
      <c r="G31"/>
      <c r="H31"/>
      <c r="I31"/>
      <c r="J31"/>
      <c r="K31"/>
      <c r="L31"/>
    </row>
    <row r="32" spans="2:12" x14ac:dyDescent="0.2">
      <c r="B32"/>
      <c r="C32"/>
      <c r="D32"/>
      <c r="F32"/>
      <c r="G32"/>
      <c r="H32"/>
      <c r="I32"/>
      <c r="J32"/>
      <c r="K32"/>
      <c r="L32"/>
    </row>
    <row r="33" spans="2:12" x14ac:dyDescent="0.2">
      <c r="B33"/>
      <c r="C33"/>
      <c r="D33"/>
      <c r="F33"/>
      <c r="G33"/>
      <c r="H33"/>
      <c r="I33"/>
      <c r="J33"/>
      <c r="K33"/>
      <c r="L33"/>
    </row>
    <row r="34" spans="2:12" x14ac:dyDescent="0.2">
      <c r="B34"/>
      <c r="C34"/>
      <c r="D34"/>
      <c r="F34"/>
      <c r="G34"/>
      <c r="H34"/>
      <c r="I34"/>
      <c r="J34"/>
      <c r="K34"/>
      <c r="L34"/>
    </row>
    <row r="35" spans="2:12" x14ac:dyDescent="0.2">
      <c r="B35"/>
      <c r="C35"/>
      <c r="D35"/>
      <c r="F35"/>
      <c r="G35"/>
      <c r="H35"/>
      <c r="I35"/>
      <c r="J35"/>
      <c r="K35"/>
      <c r="L35"/>
    </row>
    <row r="36" spans="2:12" x14ac:dyDescent="0.2">
      <c r="B36"/>
      <c r="C36"/>
      <c r="D36"/>
      <c r="F36"/>
      <c r="G36"/>
      <c r="H36"/>
      <c r="I36"/>
      <c r="J36"/>
      <c r="K36"/>
      <c r="L36"/>
    </row>
    <row r="37" spans="2:12" x14ac:dyDescent="0.2">
      <c r="B37"/>
      <c r="C37"/>
      <c r="D37"/>
      <c r="F37"/>
      <c r="G37"/>
      <c r="H37"/>
      <c r="I37"/>
      <c r="J37"/>
      <c r="K37"/>
      <c r="L37"/>
    </row>
    <row r="38" spans="2:12" x14ac:dyDescent="0.2">
      <c r="B38"/>
      <c r="C38"/>
      <c r="D38"/>
      <c r="F38"/>
      <c r="G38"/>
      <c r="H38"/>
      <c r="I38"/>
      <c r="J38"/>
      <c r="K38"/>
      <c r="L38"/>
    </row>
    <row r="39" spans="2:12" x14ac:dyDescent="0.2">
      <c r="B39"/>
      <c r="C39"/>
      <c r="D39"/>
      <c r="F39"/>
      <c r="G39"/>
      <c r="H39"/>
      <c r="I39"/>
      <c r="J39"/>
      <c r="K39"/>
      <c r="L39"/>
    </row>
    <row r="40" spans="2:12" x14ac:dyDescent="0.2">
      <c r="B40"/>
      <c r="C40"/>
      <c r="D40"/>
      <c r="F40"/>
      <c r="G40"/>
      <c r="H40"/>
      <c r="I40"/>
      <c r="J40"/>
      <c r="K40"/>
      <c r="L40"/>
    </row>
    <row r="41" spans="2:12" x14ac:dyDescent="0.2">
      <c r="B41"/>
      <c r="C41"/>
      <c r="D41"/>
      <c r="F41"/>
      <c r="G41"/>
      <c r="H41"/>
      <c r="I41"/>
      <c r="J41"/>
      <c r="K41"/>
      <c r="L41"/>
    </row>
    <row r="42" spans="2:12" x14ac:dyDescent="0.2">
      <c r="B42"/>
      <c r="C42"/>
      <c r="D42"/>
      <c r="F42"/>
      <c r="G42"/>
      <c r="H42"/>
      <c r="I42"/>
      <c r="J42"/>
      <c r="K42"/>
      <c r="L42"/>
    </row>
    <row r="43" spans="2:12" x14ac:dyDescent="0.2">
      <c r="B43"/>
      <c r="C43"/>
      <c r="D43"/>
      <c r="F43"/>
      <c r="G43"/>
      <c r="H43"/>
      <c r="I43"/>
      <c r="J43"/>
      <c r="K43"/>
      <c r="L43"/>
    </row>
    <row r="44" spans="2:12" x14ac:dyDescent="0.2">
      <c r="B44"/>
      <c r="C44"/>
      <c r="D44"/>
      <c r="F44"/>
      <c r="G44"/>
      <c r="H44"/>
      <c r="I44"/>
      <c r="J44"/>
      <c r="K44"/>
      <c r="L44"/>
    </row>
    <row r="45" spans="2:12" x14ac:dyDescent="0.2">
      <c r="B45"/>
      <c r="C45"/>
      <c r="D45"/>
      <c r="F45"/>
      <c r="G45"/>
      <c r="H45"/>
      <c r="I45"/>
      <c r="J45"/>
      <c r="K45"/>
      <c r="L45"/>
    </row>
    <row r="46" spans="2:12" x14ac:dyDescent="0.2">
      <c r="B46"/>
      <c r="C46"/>
      <c r="D46"/>
      <c r="F46"/>
      <c r="G46"/>
      <c r="H46"/>
      <c r="I46"/>
      <c r="J46"/>
      <c r="K46"/>
      <c r="L46"/>
    </row>
    <row r="47" spans="2:12" x14ac:dyDescent="0.2">
      <c r="B47"/>
      <c r="C47"/>
      <c r="D47"/>
      <c r="F47"/>
      <c r="G47"/>
      <c r="H47"/>
      <c r="I47"/>
      <c r="J47"/>
      <c r="K47"/>
      <c r="L47"/>
    </row>
    <row r="48" spans="2:12" x14ac:dyDescent="0.2">
      <c r="B48"/>
      <c r="C48"/>
      <c r="D48"/>
      <c r="F48"/>
      <c r="G48"/>
      <c r="H48"/>
      <c r="I48"/>
      <c r="J48"/>
      <c r="K48"/>
      <c r="L48"/>
    </row>
    <row r="49" spans="2:12" x14ac:dyDescent="0.2">
      <c r="B49"/>
      <c r="C49"/>
      <c r="D49"/>
      <c r="F49"/>
      <c r="G49"/>
      <c r="H49"/>
      <c r="I49"/>
      <c r="J49"/>
      <c r="K49"/>
      <c r="L49"/>
    </row>
    <row r="50" spans="2:12" x14ac:dyDescent="0.2">
      <c r="B50"/>
      <c r="C50"/>
      <c r="D50"/>
      <c r="F50"/>
      <c r="G50"/>
      <c r="H50"/>
      <c r="I50"/>
      <c r="J50"/>
      <c r="K50"/>
      <c r="L50"/>
    </row>
    <row r="51" spans="2:12" x14ac:dyDescent="0.2">
      <c r="B51"/>
      <c r="C51"/>
      <c r="D51"/>
      <c r="F51"/>
      <c r="G51"/>
      <c r="H51"/>
      <c r="I51"/>
      <c r="J51"/>
      <c r="K51"/>
      <c r="L51"/>
    </row>
    <row r="52" spans="2:12" x14ac:dyDescent="0.2">
      <c r="B52"/>
      <c r="C52"/>
      <c r="D52"/>
      <c r="F52"/>
      <c r="G52"/>
      <c r="H52"/>
      <c r="I52"/>
      <c r="J52"/>
      <c r="K52"/>
      <c r="L52"/>
    </row>
    <row r="53" spans="2:12" x14ac:dyDescent="0.2">
      <c r="B53"/>
      <c r="C53"/>
      <c r="D53"/>
      <c r="F53"/>
      <c r="G53"/>
      <c r="H53"/>
      <c r="I53"/>
      <c r="J53"/>
      <c r="K53"/>
      <c r="L53"/>
    </row>
    <row r="54" spans="2:12" x14ac:dyDescent="0.2">
      <c r="B54"/>
      <c r="C54"/>
      <c r="D54"/>
      <c r="F54"/>
      <c r="G54"/>
      <c r="H54"/>
      <c r="I54"/>
      <c r="J54"/>
      <c r="K54"/>
      <c r="L54"/>
    </row>
    <row r="55" spans="2:12" x14ac:dyDescent="0.2">
      <c r="B55"/>
      <c r="C55"/>
      <c r="D55"/>
      <c r="F55"/>
      <c r="G55"/>
      <c r="H55"/>
      <c r="I55"/>
      <c r="J55"/>
      <c r="K55"/>
      <c r="L55"/>
    </row>
    <row r="56" spans="2:12" x14ac:dyDescent="0.2">
      <c r="B56"/>
      <c r="C56"/>
      <c r="D56"/>
      <c r="F56"/>
      <c r="G56"/>
      <c r="H56"/>
      <c r="I56"/>
      <c r="J56"/>
      <c r="K56"/>
      <c r="L56"/>
    </row>
    <row r="57" spans="2:12" x14ac:dyDescent="0.2">
      <c r="B57"/>
      <c r="C57"/>
      <c r="D57"/>
      <c r="F57"/>
      <c r="G57"/>
      <c r="H57"/>
      <c r="I57"/>
      <c r="J57"/>
      <c r="K57"/>
      <c r="L57"/>
    </row>
    <row r="58" spans="2:12" x14ac:dyDescent="0.2">
      <c r="B58"/>
      <c r="C58"/>
      <c r="D58"/>
      <c r="F58"/>
      <c r="G58"/>
      <c r="H58"/>
      <c r="I58"/>
      <c r="J58"/>
      <c r="K58"/>
      <c r="L58"/>
    </row>
    <row r="59" spans="2:12" x14ac:dyDescent="0.2">
      <c r="B59"/>
      <c r="C59"/>
      <c r="D59"/>
      <c r="F59"/>
      <c r="G59"/>
      <c r="H59"/>
      <c r="I59"/>
      <c r="J59"/>
      <c r="K59"/>
      <c r="L59"/>
    </row>
    <row r="60" spans="2:12" x14ac:dyDescent="0.2">
      <c r="B60"/>
      <c r="C60"/>
      <c r="D60"/>
      <c r="F60"/>
      <c r="G60"/>
      <c r="H60"/>
      <c r="I60"/>
      <c r="J60"/>
      <c r="K60"/>
      <c r="L60"/>
    </row>
    <row r="61" spans="2:12" x14ac:dyDescent="0.2">
      <c r="B61"/>
      <c r="C61"/>
      <c r="D61"/>
      <c r="F61"/>
      <c r="G61"/>
      <c r="H61"/>
      <c r="I61"/>
      <c r="J61"/>
      <c r="K61"/>
      <c r="L61"/>
    </row>
    <row r="62" spans="2:12" x14ac:dyDescent="0.2">
      <c r="B62"/>
      <c r="C62"/>
      <c r="D62"/>
      <c r="F62"/>
      <c r="G62"/>
      <c r="H62"/>
      <c r="I62"/>
      <c r="J62"/>
      <c r="K62"/>
      <c r="L62"/>
    </row>
    <row r="63" spans="2:12" x14ac:dyDescent="0.2">
      <c r="B63"/>
      <c r="C63"/>
      <c r="D63"/>
      <c r="F63"/>
      <c r="G63"/>
      <c r="H63"/>
      <c r="I63"/>
      <c r="J63"/>
      <c r="K63"/>
      <c r="L63"/>
    </row>
    <row r="64" spans="2:12" x14ac:dyDescent="0.2">
      <c r="B64"/>
      <c r="C64"/>
      <c r="D64"/>
      <c r="F64"/>
      <c r="G64"/>
      <c r="H64"/>
      <c r="I64"/>
      <c r="J64"/>
      <c r="K64"/>
      <c r="L64"/>
    </row>
    <row r="65" spans="2:12" x14ac:dyDescent="0.2">
      <c r="B65"/>
      <c r="C65"/>
      <c r="D65"/>
      <c r="F65"/>
      <c r="G65"/>
      <c r="H65"/>
      <c r="I65"/>
      <c r="J65"/>
      <c r="K65"/>
      <c r="L65"/>
    </row>
    <row r="66" spans="2:12" x14ac:dyDescent="0.2">
      <c r="B66"/>
      <c r="C66"/>
      <c r="D66"/>
      <c r="F66"/>
      <c r="G66"/>
      <c r="H66"/>
      <c r="I66"/>
      <c r="J66"/>
      <c r="K66"/>
      <c r="L66"/>
    </row>
    <row r="67" spans="2:12" x14ac:dyDescent="0.2">
      <c r="B67"/>
      <c r="C67"/>
      <c r="D67"/>
      <c r="F67"/>
      <c r="G67"/>
      <c r="H67"/>
      <c r="I67"/>
      <c r="J67"/>
      <c r="K67"/>
      <c r="L67"/>
    </row>
    <row r="68" spans="2:12" x14ac:dyDescent="0.2">
      <c r="B68"/>
      <c r="C68"/>
      <c r="D68"/>
      <c r="F68"/>
      <c r="G68"/>
      <c r="H68"/>
      <c r="I68"/>
      <c r="J68"/>
      <c r="K68"/>
      <c r="L68"/>
    </row>
    <row r="69" spans="2:12" x14ac:dyDescent="0.2">
      <c r="B69"/>
      <c r="C69"/>
      <c r="D69"/>
      <c r="F69"/>
      <c r="G69"/>
      <c r="H69"/>
      <c r="I69"/>
      <c r="J69"/>
      <c r="K69"/>
      <c r="L69"/>
    </row>
    <row r="70" spans="2:12" x14ac:dyDescent="0.2">
      <c r="B70"/>
      <c r="C70"/>
      <c r="D70"/>
      <c r="F70"/>
      <c r="G70"/>
      <c r="H70"/>
      <c r="I70"/>
      <c r="J70"/>
      <c r="K70"/>
      <c r="L70"/>
    </row>
    <row r="71" spans="2:12" x14ac:dyDescent="0.2">
      <c r="B71"/>
      <c r="C71"/>
      <c r="D71"/>
      <c r="F71"/>
      <c r="G71"/>
      <c r="H71"/>
      <c r="I71"/>
      <c r="J71"/>
      <c r="K71"/>
      <c r="L71"/>
    </row>
    <row r="72" spans="2:12" x14ac:dyDescent="0.2">
      <c r="B72"/>
      <c r="C72"/>
      <c r="D72"/>
      <c r="F72"/>
      <c r="G72"/>
      <c r="H72"/>
      <c r="I72"/>
      <c r="J72"/>
      <c r="K72"/>
      <c r="L72"/>
    </row>
    <row r="73" spans="2:12" x14ac:dyDescent="0.2">
      <c r="B73"/>
      <c r="C73"/>
      <c r="D73"/>
      <c r="F73"/>
      <c r="G73"/>
      <c r="H73"/>
      <c r="I73"/>
      <c r="J73"/>
      <c r="K73"/>
      <c r="L73"/>
    </row>
    <row r="74" spans="2:12" x14ac:dyDescent="0.2">
      <c r="B74"/>
      <c r="C74"/>
      <c r="D74"/>
      <c r="F74"/>
      <c r="G74"/>
      <c r="H74"/>
      <c r="I74"/>
      <c r="J74"/>
      <c r="K74"/>
      <c r="L74"/>
    </row>
    <row r="75" spans="2:12" x14ac:dyDescent="0.2">
      <c r="B75"/>
      <c r="C75"/>
      <c r="D75"/>
      <c r="F75"/>
      <c r="G75"/>
      <c r="H75"/>
      <c r="I75"/>
      <c r="J75"/>
      <c r="K75"/>
      <c r="L75"/>
    </row>
    <row r="76" spans="2:12" x14ac:dyDescent="0.2">
      <c r="B76"/>
      <c r="C76"/>
      <c r="D76"/>
      <c r="F76"/>
      <c r="G76"/>
      <c r="H76"/>
      <c r="I76"/>
      <c r="J76"/>
      <c r="K76"/>
      <c r="L76"/>
    </row>
    <row r="77" spans="2:12" x14ac:dyDescent="0.2">
      <c r="B77"/>
      <c r="C77"/>
      <c r="D77"/>
      <c r="F77"/>
      <c r="G77"/>
      <c r="H77"/>
      <c r="I77"/>
      <c r="J77"/>
      <c r="K77"/>
      <c r="L77"/>
    </row>
    <row r="78" spans="2:12" x14ac:dyDescent="0.2">
      <c r="B78"/>
      <c r="C78"/>
      <c r="D78"/>
      <c r="F78"/>
      <c r="G78"/>
      <c r="H78"/>
      <c r="I78"/>
      <c r="J78"/>
      <c r="K78"/>
      <c r="L78"/>
    </row>
    <row r="79" spans="2:12" x14ac:dyDescent="0.2">
      <c r="B79"/>
      <c r="C79"/>
      <c r="D79"/>
      <c r="F79"/>
      <c r="G79"/>
      <c r="H79"/>
      <c r="I79"/>
      <c r="J79"/>
      <c r="K79"/>
      <c r="L79"/>
    </row>
    <row r="80" spans="2:12" x14ac:dyDescent="0.2">
      <c r="B80"/>
      <c r="C80"/>
      <c r="D80"/>
      <c r="F80"/>
      <c r="G80"/>
      <c r="H80"/>
      <c r="I80"/>
      <c r="J80"/>
      <c r="K80"/>
      <c r="L80"/>
    </row>
    <row r="81" spans="2:12" x14ac:dyDescent="0.2">
      <c r="B81"/>
      <c r="C81"/>
      <c r="D81"/>
      <c r="F81"/>
      <c r="G81"/>
      <c r="H81"/>
      <c r="I81"/>
      <c r="J81"/>
      <c r="K81"/>
      <c r="L81"/>
    </row>
    <row r="82" spans="2:12" x14ac:dyDescent="0.2">
      <c r="B82"/>
      <c r="C82"/>
      <c r="D82"/>
      <c r="F82"/>
      <c r="G82"/>
      <c r="H82"/>
      <c r="I82"/>
      <c r="J82"/>
      <c r="K82"/>
      <c r="L82"/>
    </row>
    <row r="83" spans="2:12" x14ac:dyDescent="0.2">
      <c r="B83"/>
      <c r="C83"/>
      <c r="D83"/>
      <c r="F83"/>
      <c r="G83"/>
      <c r="H83"/>
      <c r="I83"/>
      <c r="J83"/>
      <c r="K83"/>
      <c r="L83"/>
    </row>
    <row r="84" spans="2:12" x14ac:dyDescent="0.2">
      <c r="B84"/>
      <c r="C84"/>
      <c r="D84"/>
      <c r="F84"/>
      <c r="G84"/>
      <c r="H84"/>
      <c r="I84"/>
      <c r="J84"/>
      <c r="K84"/>
      <c r="L84"/>
    </row>
    <row r="85" spans="2:12" x14ac:dyDescent="0.2">
      <c r="B85"/>
      <c r="C85"/>
      <c r="D85"/>
      <c r="F85"/>
      <c r="G85"/>
      <c r="H85"/>
      <c r="I85"/>
      <c r="J85"/>
      <c r="K85"/>
      <c r="L85"/>
    </row>
    <row r="86" spans="2:12" x14ac:dyDescent="0.2">
      <c r="B86"/>
      <c r="C86"/>
      <c r="D86"/>
      <c r="F86"/>
      <c r="G86"/>
      <c r="H86"/>
      <c r="I86"/>
      <c r="J86"/>
      <c r="K86"/>
      <c r="L86"/>
    </row>
    <row r="87" spans="2:12" x14ac:dyDescent="0.2">
      <c r="B87"/>
      <c r="C87"/>
      <c r="D87"/>
      <c r="F87"/>
      <c r="G87"/>
      <c r="H87"/>
      <c r="I87"/>
      <c r="J87"/>
      <c r="K87"/>
      <c r="L87"/>
    </row>
    <row r="88" spans="2:12" x14ac:dyDescent="0.2">
      <c r="B88"/>
      <c r="C88"/>
      <c r="D88"/>
      <c r="F88"/>
      <c r="G88"/>
      <c r="H88"/>
      <c r="I88"/>
      <c r="J88"/>
      <c r="K88"/>
      <c r="L88"/>
    </row>
    <row r="89" spans="2:12" x14ac:dyDescent="0.2">
      <c r="B89"/>
      <c r="C89"/>
      <c r="D89"/>
      <c r="F89"/>
      <c r="G89"/>
      <c r="H89"/>
      <c r="I89"/>
      <c r="J89"/>
      <c r="K89"/>
      <c r="L89"/>
    </row>
    <row r="90" spans="2:12" x14ac:dyDescent="0.2">
      <c r="B90"/>
      <c r="C90"/>
      <c r="D90"/>
      <c r="F90"/>
      <c r="G90"/>
      <c r="H90"/>
      <c r="I90"/>
      <c r="J90"/>
      <c r="K90"/>
      <c r="L90"/>
    </row>
    <row r="91" spans="2:12" x14ac:dyDescent="0.2">
      <c r="B91"/>
      <c r="C91"/>
      <c r="D91"/>
      <c r="F91"/>
      <c r="G91"/>
      <c r="H91"/>
      <c r="I91"/>
      <c r="J91"/>
      <c r="K91"/>
      <c r="L91"/>
    </row>
    <row r="92" spans="2:12" x14ac:dyDescent="0.2">
      <c r="B92"/>
      <c r="C92"/>
      <c r="D92"/>
      <c r="F92"/>
      <c r="G92"/>
      <c r="H92"/>
      <c r="I92"/>
      <c r="J92"/>
      <c r="K92"/>
      <c r="L92"/>
    </row>
    <row r="93" spans="2:12" x14ac:dyDescent="0.2">
      <c r="B93"/>
      <c r="C93"/>
      <c r="D93"/>
      <c r="F93"/>
      <c r="G93"/>
      <c r="H93"/>
      <c r="I93"/>
      <c r="J93"/>
      <c r="K93"/>
      <c r="L93"/>
    </row>
    <row r="94" spans="2:12" x14ac:dyDescent="0.2">
      <c r="B94"/>
      <c r="C94"/>
      <c r="D94"/>
      <c r="F94"/>
      <c r="G94"/>
      <c r="H94"/>
      <c r="I94"/>
      <c r="J94"/>
      <c r="K94"/>
      <c r="L94"/>
    </row>
    <row r="95" spans="2:12" x14ac:dyDescent="0.2">
      <c r="B95"/>
      <c r="C95"/>
      <c r="D95"/>
      <c r="F95"/>
      <c r="G95"/>
      <c r="H95"/>
      <c r="I95"/>
      <c r="J95"/>
      <c r="K95"/>
      <c r="L95"/>
    </row>
    <row r="96" spans="2:12" x14ac:dyDescent="0.2">
      <c r="B96"/>
      <c r="C96"/>
      <c r="D96"/>
      <c r="F96"/>
      <c r="G96"/>
      <c r="H96"/>
      <c r="I96"/>
      <c r="J96"/>
      <c r="K96"/>
      <c r="L96"/>
    </row>
    <row r="97" spans="2:12" x14ac:dyDescent="0.2">
      <c r="B97"/>
      <c r="C97"/>
      <c r="D97"/>
      <c r="F97"/>
      <c r="G97"/>
      <c r="H97"/>
      <c r="I97"/>
      <c r="J97"/>
      <c r="K97"/>
      <c r="L97"/>
    </row>
    <row r="98" spans="2:12" x14ac:dyDescent="0.2">
      <c r="B98"/>
      <c r="C98"/>
      <c r="D98"/>
      <c r="F98"/>
      <c r="G98"/>
      <c r="H98"/>
      <c r="I98"/>
      <c r="J98"/>
      <c r="K98"/>
      <c r="L98"/>
    </row>
    <row r="99" spans="2:12" x14ac:dyDescent="0.2">
      <c r="B99"/>
      <c r="C99"/>
      <c r="D99"/>
      <c r="F99"/>
      <c r="G99"/>
      <c r="H99"/>
      <c r="I99"/>
      <c r="J99"/>
      <c r="K99"/>
      <c r="L99"/>
    </row>
    <row r="100" spans="2:12" x14ac:dyDescent="0.2">
      <c r="B100"/>
      <c r="C100"/>
      <c r="D100"/>
      <c r="F100"/>
      <c r="G100"/>
      <c r="H100"/>
      <c r="I100"/>
      <c r="J100"/>
      <c r="K100"/>
      <c r="L100"/>
    </row>
    <row r="101" spans="2:12" x14ac:dyDescent="0.2">
      <c r="F101"/>
      <c r="G101"/>
      <c r="H101"/>
      <c r="I101"/>
      <c r="J101"/>
      <c r="K101"/>
      <c r="L101"/>
    </row>
    <row r="102" spans="2:12" x14ac:dyDescent="0.2">
      <c r="F102"/>
      <c r="G102"/>
      <c r="H102"/>
      <c r="I102"/>
      <c r="J102"/>
      <c r="K102"/>
      <c r="L102"/>
    </row>
    <row r="103" spans="2:12" x14ac:dyDescent="0.2">
      <c r="F103"/>
      <c r="G103"/>
      <c r="H103"/>
      <c r="I103"/>
      <c r="J103"/>
      <c r="K103"/>
      <c r="L103"/>
    </row>
    <row r="104" spans="2:12" x14ac:dyDescent="0.2">
      <c r="F104"/>
      <c r="G104"/>
      <c r="H104"/>
      <c r="I104"/>
      <c r="J104"/>
      <c r="K104"/>
      <c r="L104"/>
    </row>
    <row r="105" spans="2:12" x14ac:dyDescent="0.2">
      <c r="F105"/>
      <c r="G105"/>
      <c r="H105"/>
      <c r="I105"/>
      <c r="J105"/>
      <c r="K105"/>
      <c r="L105"/>
    </row>
    <row r="106" spans="2:12" x14ac:dyDescent="0.2">
      <c r="F106"/>
      <c r="G106"/>
      <c r="H106"/>
      <c r="I106"/>
      <c r="J106"/>
      <c r="K106"/>
      <c r="L106"/>
    </row>
  </sheetData>
  <mergeCells count="1">
    <mergeCell ref="G3:H3"/>
  </mergeCells>
  <phoneticPr fontId="2" type="noConversion"/>
  <hyperlinks>
    <hyperlink ref="G3" location="Network!A1" display="Return to Network"/>
  </hyperlinks>
  <pageMargins left="0.75" right="0.75" top="1" bottom="1" header="0.5" footer="0.5"/>
  <pageSetup orientation="portrait" verticalDpi="0" r:id="rId1"/>
  <headerFooter alignWithMargins="0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L106"/>
  <sheetViews>
    <sheetView showGridLines="0" showRowColHeaders="0" workbookViewId="0">
      <selection activeCell="J4" sqref="J4:J5"/>
    </sheetView>
  </sheetViews>
  <sheetFormatPr defaultRowHeight="12.75" x14ac:dyDescent="0.2"/>
  <cols>
    <col min="1" max="1" width="5.140625" style="1" customWidth="1"/>
    <col min="2" max="2" width="9.42578125" style="6" bestFit="1" customWidth="1"/>
    <col min="3" max="3" width="8" style="6" bestFit="1" customWidth="1"/>
    <col min="4" max="4" width="15.7109375" bestFit="1" customWidth="1"/>
    <col min="5" max="5" width="14.5703125" style="6" customWidth="1"/>
    <col min="6" max="6" width="14.5703125" style="1" customWidth="1"/>
    <col min="7" max="7" width="9.140625" style="1"/>
    <col min="8" max="8" width="6" style="1" customWidth="1"/>
    <col min="9" max="16384" width="9.140625" style="1"/>
  </cols>
  <sheetData>
    <row r="1" spans="2:12" x14ac:dyDescent="0.2">
      <c r="D1" s="6"/>
    </row>
    <row r="2" spans="2:12" ht="14.25" customHeight="1" x14ac:dyDescent="0.2">
      <c r="D2" s="6"/>
    </row>
    <row r="3" spans="2:12" ht="25.5" customHeight="1" x14ac:dyDescent="0.2">
      <c r="D3" s="6"/>
      <c r="G3" s="199"/>
      <c r="H3" s="199"/>
    </row>
    <row r="4" spans="2:12" x14ac:dyDescent="0.2">
      <c r="B4" s="16"/>
      <c r="C4" s="17"/>
      <c r="D4" s="6"/>
    </row>
    <row r="5" spans="2:12" ht="13.5" thickBot="1" x14ac:dyDescent="0.25">
      <c r="B5" s="20" t="s">
        <v>4</v>
      </c>
      <c r="C5" s="20" t="s">
        <v>1</v>
      </c>
      <c r="D5" s="30" t="s">
        <v>16</v>
      </c>
      <c r="E5" s="1"/>
    </row>
    <row r="6" spans="2:12" x14ac:dyDescent="0.2">
      <c r="B6" s="31">
        <v>1</v>
      </c>
      <c r="C6" s="32">
        <v>1</v>
      </c>
      <c r="D6" s="32">
        <v>10</v>
      </c>
      <c r="F6" s="6"/>
      <c r="G6"/>
      <c r="H6"/>
      <c r="I6"/>
      <c r="J6"/>
      <c r="K6"/>
      <c r="L6"/>
    </row>
    <row r="7" spans="2:12" x14ac:dyDescent="0.2">
      <c r="B7" s="34"/>
      <c r="C7" s="29">
        <v>2</v>
      </c>
      <c r="D7" s="29">
        <v>10</v>
      </c>
      <c r="F7" s="6"/>
      <c r="G7"/>
      <c r="H7"/>
      <c r="I7"/>
      <c r="J7"/>
      <c r="K7"/>
      <c r="L7"/>
    </row>
    <row r="8" spans="2:12" ht="13.5" thickBot="1" x14ac:dyDescent="0.25">
      <c r="B8" s="34"/>
      <c r="C8" s="29">
        <v>3</v>
      </c>
      <c r="D8" s="29">
        <v>10</v>
      </c>
      <c r="F8" s="6"/>
      <c r="G8"/>
      <c r="H8"/>
      <c r="I8"/>
      <c r="J8"/>
      <c r="K8"/>
      <c r="L8"/>
    </row>
    <row r="9" spans="2:12" x14ac:dyDescent="0.2">
      <c r="B9" s="31">
        <v>2</v>
      </c>
      <c r="C9" s="32">
        <v>1</v>
      </c>
      <c r="D9" s="32">
        <v>10</v>
      </c>
      <c r="F9" s="6"/>
      <c r="G9"/>
      <c r="H9"/>
      <c r="I9"/>
      <c r="J9"/>
      <c r="K9"/>
      <c r="L9"/>
    </row>
    <row r="10" spans="2:12" x14ac:dyDescent="0.2">
      <c r="B10" s="34"/>
      <c r="C10" s="29">
        <v>2</v>
      </c>
      <c r="D10" s="29">
        <v>10</v>
      </c>
      <c r="F10" s="6"/>
      <c r="G10"/>
      <c r="H10"/>
      <c r="I10"/>
      <c r="J10"/>
      <c r="K10"/>
      <c r="L10"/>
    </row>
    <row r="11" spans="2:12" ht="13.5" thickBot="1" x14ac:dyDescent="0.25">
      <c r="B11" s="34"/>
      <c r="C11" s="29">
        <v>3</v>
      </c>
      <c r="D11" s="29">
        <v>10</v>
      </c>
      <c r="E11"/>
      <c r="F11"/>
      <c r="G11"/>
      <c r="H11"/>
      <c r="I11"/>
      <c r="J11"/>
      <c r="K11"/>
      <c r="L11"/>
    </row>
    <row r="12" spans="2:12" x14ac:dyDescent="0.2">
      <c r="B12" s="31">
        <v>3</v>
      </c>
      <c r="C12" s="32">
        <v>1</v>
      </c>
      <c r="D12" s="32">
        <v>10</v>
      </c>
      <c r="E12"/>
      <c r="F12"/>
      <c r="G12"/>
      <c r="H12"/>
      <c r="I12"/>
      <c r="J12"/>
      <c r="K12"/>
      <c r="L12"/>
    </row>
    <row r="13" spans="2:12" x14ac:dyDescent="0.2">
      <c r="B13" s="34"/>
      <c r="C13" s="29">
        <v>2</v>
      </c>
      <c r="D13" s="29">
        <v>10</v>
      </c>
      <c r="E13"/>
      <c r="F13"/>
      <c r="G13"/>
      <c r="H13"/>
      <c r="I13"/>
      <c r="J13"/>
      <c r="K13"/>
      <c r="L13"/>
    </row>
    <row r="14" spans="2:12" x14ac:dyDescent="0.2">
      <c r="B14" s="34"/>
      <c r="C14" s="29">
        <v>3</v>
      </c>
      <c r="D14" s="29">
        <v>10</v>
      </c>
      <c r="E14"/>
      <c r="F14"/>
      <c r="G14"/>
      <c r="H14"/>
      <c r="I14"/>
      <c r="J14"/>
      <c r="K14"/>
      <c r="L14"/>
    </row>
    <row r="15" spans="2:12" x14ac:dyDescent="0.2">
      <c r="B15"/>
      <c r="C15"/>
      <c r="E15"/>
      <c r="F15"/>
      <c r="G15"/>
      <c r="H15"/>
      <c r="I15"/>
      <c r="J15"/>
      <c r="K15"/>
      <c r="L15"/>
    </row>
    <row r="16" spans="2:12" x14ac:dyDescent="0.2">
      <c r="B16"/>
      <c r="C16"/>
      <c r="E16"/>
      <c r="F16"/>
      <c r="G16"/>
      <c r="H16"/>
      <c r="I16"/>
      <c r="J16"/>
      <c r="K16"/>
      <c r="L16"/>
    </row>
    <row r="17" spans="2:12" x14ac:dyDescent="0.2">
      <c r="B17"/>
      <c r="C17"/>
      <c r="E17"/>
      <c r="F17"/>
      <c r="G17"/>
      <c r="H17"/>
      <c r="I17"/>
      <c r="J17"/>
      <c r="K17"/>
      <c r="L17"/>
    </row>
    <row r="18" spans="2:12" x14ac:dyDescent="0.2">
      <c r="B18"/>
      <c r="C18"/>
      <c r="E18"/>
      <c r="F18"/>
      <c r="G18"/>
      <c r="H18"/>
      <c r="I18"/>
      <c r="J18"/>
      <c r="K18"/>
      <c r="L18"/>
    </row>
    <row r="19" spans="2:12" x14ac:dyDescent="0.2">
      <c r="B19"/>
      <c r="C19"/>
      <c r="E19"/>
      <c r="F19"/>
      <c r="G19"/>
      <c r="H19"/>
      <c r="I19"/>
      <c r="J19"/>
      <c r="K19"/>
      <c r="L19"/>
    </row>
    <row r="20" spans="2:12" x14ac:dyDescent="0.2">
      <c r="B20"/>
      <c r="C20"/>
      <c r="E20"/>
      <c r="F20"/>
      <c r="G20"/>
      <c r="H20"/>
      <c r="I20"/>
      <c r="J20"/>
      <c r="K20"/>
      <c r="L20"/>
    </row>
    <row r="21" spans="2:12" x14ac:dyDescent="0.2">
      <c r="B21"/>
      <c r="C21"/>
      <c r="E21"/>
      <c r="F21"/>
      <c r="G21"/>
      <c r="H21"/>
      <c r="I21"/>
      <c r="J21"/>
      <c r="K21"/>
      <c r="L21"/>
    </row>
    <row r="22" spans="2:12" x14ac:dyDescent="0.2">
      <c r="B22"/>
      <c r="C22"/>
      <c r="E22"/>
      <c r="F22"/>
      <c r="G22"/>
      <c r="H22"/>
      <c r="I22"/>
      <c r="J22"/>
      <c r="K22"/>
      <c r="L22"/>
    </row>
    <row r="23" spans="2:12" x14ac:dyDescent="0.2">
      <c r="B23"/>
      <c r="C23"/>
      <c r="E23"/>
      <c r="F23"/>
      <c r="G23"/>
      <c r="H23"/>
      <c r="I23"/>
      <c r="J23"/>
      <c r="K23"/>
      <c r="L23"/>
    </row>
    <row r="24" spans="2:12" x14ac:dyDescent="0.2">
      <c r="B24"/>
      <c r="C24"/>
      <c r="E24"/>
      <c r="F24"/>
      <c r="G24"/>
      <c r="H24"/>
      <c r="I24"/>
      <c r="J24"/>
      <c r="K24"/>
      <c r="L24"/>
    </row>
    <row r="25" spans="2:12" x14ac:dyDescent="0.2">
      <c r="B25"/>
      <c r="C25"/>
      <c r="E25"/>
      <c r="F25"/>
      <c r="G25"/>
      <c r="H25"/>
      <c r="I25"/>
      <c r="J25"/>
      <c r="K25"/>
      <c r="L25"/>
    </row>
    <row r="26" spans="2:12" x14ac:dyDescent="0.2">
      <c r="B26"/>
      <c r="C26"/>
      <c r="E26"/>
      <c r="F26"/>
      <c r="G26"/>
      <c r="H26"/>
      <c r="I26"/>
      <c r="J26"/>
      <c r="K26"/>
      <c r="L26"/>
    </row>
    <row r="27" spans="2:12" x14ac:dyDescent="0.2">
      <c r="B27"/>
      <c r="C27"/>
      <c r="E27"/>
      <c r="F27"/>
      <c r="G27"/>
      <c r="H27"/>
      <c r="I27"/>
      <c r="J27"/>
      <c r="K27"/>
      <c r="L27"/>
    </row>
    <row r="28" spans="2:12" x14ac:dyDescent="0.2">
      <c r="B28"/>
      <c r="C28"/>
      <c r="E28"/>
      <c r="F28"/>
      <c r="G28"/>
      <c r="H28"/>
      <c r="I28"/>
      <c r="J28"/>
      <c r="K28"/>
      <c r="L28"/>
    </row>
    <row r="29" spans="2:12" x14ac:dyDescent="0.2">
      <c r="B29"/>
      <c r="C29"/>
      <c r="E29"/>
      <c r="F29"/>
      <c r="G29"/>
      <c r="H29"/>
      <c r="I29"/>
      <c r="J29"/>
      <c r="K29"/>
      <c r="L29"/>
    </row>
    <row r="30" spans="2:12" x14ac:dyDescent="0.2">
      <c r="B30"/>
      <c r="C30"/>
      <c r="E30"/>
      <c r="F30"/>
      <c r="G30"/>
      <c r="H30"/>
      <c r="I30"/>
      <c r="J30"/>
      <c r="K30"/>
      <c r="L30"/>
    </row>
    <row r="31" spans="2:12" x14ac:dyDescent="0.2">
      <c r="B31"/>
      <c r="C31"/>
      <c r="E31"/>
      <c r="F31"/>
      <c r="G31"/>
      <c r="H31"/>
      <c r="I31"/>
      <c r="J31"/>
      <c r="K31"/>
      <c r="L31"/>
    </row>
    <row r="32" spans="2:12" x14ac:dyDescent="0.2">
      <c r="B32"/>
      <c r="C32"/>
      <c r="E32"/>
      <c r="F32"/>
      <c r="G32"/>
      <c r="H32"/>
      <c r="I32"/>
      <c r="J32"/>
      <c r="K32"/>
      <c r="L32"/>
    </row>
    <row r="33" spans="2:12" x14ac:dyDescent="0.2">
      <c r="B33"/>
      <c r="C33"/>
      <c r="E33"/>
      <c r="F33"/>
      <c r="G33"/>
      <c r="H33"/>
      <c r="I33"/>
      <c r="J33"/>
      <c r="K33"/>
      <c r="L33"/>
    </row>
    <row r="34" spans="2:12" x14ac:dyDescent="0.2">
      <c r="B34"/>
      <c r="C34"/>
      <c r="E34"/>
      <c r="F34"/>
      <c r="G34"/>
      <c r="H34"/>
      <c r="I34"/>
      <c r="J34"/>
      <c r="K34"/>
      <c r="L34"/>
    </row>
    <row r="35" spans="2:12" x14ac:dyDescent="0.2">
      <c r="B35"/>
      <c r="C35"/>
      <c r="E35"/>
      <c r="F35"/>
      <c r="G35"/>
      <c r="H35"/>
      <c r="I35"/>
      <c r="J35"/>
      <c r="K35"/>
      <c r="L35"/>
    </row>
    <row r="36" spans="2:12" x14ac:dyDescent="0.2">
      <c r="B36"/>
      <c r="C36"/>
      <c r="E36"/>
      <c r="F36"/>
      <c r="G36"/>
      <c r="H36"/>
      <c r="I36"/>
      <c r="J36"/>
      <c r="K36"/>
      <c r="L36"/>
    </row>
    <row r="37" spans="2:12" x14ac:dyDescent="0.2">
      <c r="B37"/>
      <c r="C37"/>
      <c r="E37"/>
      <c r="F37"/>
      <c r="G37"/>
      <c r="H37"/>
      <c r="I37"/>
      <c r="J37"/>
      <c r="K37"/>
      <c r="L37"/>
    </row>
    <row r="38" spans="2:12" x14ac:dyDescent="0.2">
      <c r="B38"/>
      <c r="C38"/>
      <c r="E38"/>
      <c r="F38"/>
      <c r="G38"/>
      <c r="H38"/>
      <c r="I38"/>
      <c r="J38"/>
      <c r="K38"/>
      <c r="L38"/>
    </row>
    <row r="39" spans="2:12" x14ac:dyDescent="0.2">
      <c r="B39"/>
      <c r="C39"/>
      <c r="E39"/>
      <c r="F39"/>
      <c r="G39"/>
      <c r="H39"/>
      <c r="I39"/>
      <c r="J39"/>
      <c r="K39"/>
      <c r="L39"/>
    </row>
    <row r="40" spans="2:12" x14ac:dyDescent="0.2">
      <c r="B40"/>
      <c r="C40"/>
      <c r="E40"/>
      <c r="F40"/>
      <c r="G40"/>
      <c r="H40"/>
      <c r="I40"/>
      <c r="J40"/>
      <c r="K40"/>
      <c r="L40"/>
    </row>
    <row r="41" spans="2:12" x14ac:dyDescent="0.2">
      <c r="B41"/>
      <c r="C41"/>
      <c r="E41"/>
      <c r="F41"/>
      <c r="G41"/>
      <c r="H41"/>
      <c r="I41"/>
      <c r="J41"/>
      <c r="K41"/>
      <c r="L41"/>
    </row>
    <row r="42" spans="2:12" x14ac:dyDescent="0.2">
      <c r="B42"/>
      <c r="C42"/>
      <c r="E42"/>
      <c r="F42"/>
      <c r="G42"/>
      <c r="H42"/>
      <c r="I42"/>
      <c r="J42"/>
      <c r="K42"/>
      <c r="L42"/>
    </row>
    <row r="43" spans="2:12" x14ac:dyDescent="0.2">
      <c r="B43"/>
      <c r="C43"/>
      <c r="E43"/>
      <c r="F43"/>
      <c r="G43"/>
      <c r="H43"/>
      <c r="I43"/>
      <c r="J43"/>
      <c r="K43"/>
      <c r="L43"/>
    </row>
    <row r="44" spans="2:12" x14ac:dyDescent="0.2">
      <c r="B44"/>
      <c r="C44"/>
      <c r="E44"/>
      <c r="F44"/>
      <c r="G44"/>
      <c r="H44"/>
      <c r="I44"/>
      <c r="J44"/>
      <c r="K44"/>
      <c r="L44"/>
    </row>
    <row r="45" spans="2:12" x14ac:dyDescent="0.2">
      <c r="B45"/>
      <c r="C45"/>
      <c r="E45"/>
      <c r="F45"/>
      <c r="G45"/>
      <c r="H45"/>
      <c r="I45"/>
      <c r="J45"/>
      <c r="K45"/>
      <c r="L45"/>
    </row>
    <row r="46" spans="2:12" x14ac:dyDescent="0.2">
      <c r="B46"/>
      <c r="C46"/>
      <c r="E46"/>
      <c r="F46"/>
      <c r="G46"/>
      <c r="H46"/>
      <c r="I46"/>
      <c r="J46"/>
      <c r="K46"/>
      <c r="L46"/>
    </row>
    <row r="47" spans="2:12" x14ac:dyDescent="0.2">
      <c r="B47"/>
      <c r="C47"/>
      <c r="E47"/>
      <c r="F47"/>
      <c r="G47"/>
      <c r="H47"/>
      <c r="I47"/>
      <c r="J47"/>
      <c r="K47"/>
      <c r="L47"/>
    </row>
    <row r="48" spans="2:12" x14ac:dyDescent="0.2">
      <c r="B48"/>
      <c r="C48"/>
      <c r="E48"/>
      <c r="F48"/>
      <c r="G48"/>
      <c r="H48"/>
      <c r="I48"/>
      <c r="J48"/>
      <c r="K48"/>
      <c r="L48"/>
    </row>
    <row r="49" spans="2:12" x14ac:dyDescent="0.2">
      <c r="B49"/>
      <c r="C49"/>
      <c r="E49"/>
      <c r="F49"/>
      <c r="G49"/>
      <c r="H49"/>
      <c r="I49"/>
      <c r="J49"/>
      <c r="K49"/>
      <c r="L49"/>
    </row>
    <row r="50" spans="2:12" x14ac:dyDescent="0.2">
      <c r="B50"/>
      <c r="C50"/>
      <c r="E50"/>
      <c r="F50"/>
      <c r="G50"/>
      <c r="H50"/>
      <c r="I50"/>
      <c r="J50"/>
      <c r="K50"/>
      <c r="L50"/>
    </row>
    <row r="51" spans="2:12" x14ac:dyDescent="0.2">
      <c r="B51"/>
      <c r="C51"/>
      <c r="E51"/>
      <c r="F51"/>
      <c r="G51"/>
      <c r="H51"/>
      <c r="I51"/>
      <c r="J51"/>
      <c r="K51"/>
      <c r="L51"/>
    </row>
    <row r="52" spans="2:12" x14ac:dyDescent="0.2">
      <c r="B52"/>
      <c r="C52"/>
      <c r="E52"/>
      <c r="F52"/>
      <c r="G52"/>
      <c r="H52"/>
      <c r="I52"/>
      <c r="J52"/>
      <c r="K52"/>
      <c r="L52"/>
    </row>
    <row r="53" spans="2:12" x14ac:dyDescent="0.2">
      <c r="B53"/>
      <c r="C53"/>
      <c r="E53"/>
      <c r="F53"/>
      <c r="G53"/>
      <c r="H53"/>
      <c r="I53"/>
      <c r="J53"/>
      <c r="K53"/>
      <c r="L53"/>
    </row>
    <row r="54" spans="2:12" x14ac:dyDescent="0.2">
      <c r="B54"/>
      <c r="C54"/>
      <c r="E54"/>
      <c r="F54"/>
      <c r="G54"/>
      <c r="H54"/>
      <c r="I54"/>
      <c r="J54"/>
      <c r="K54"/>
      <c r="L54"/>
    </row>
    <row r="55" spans="2:12" x14ac:dyDescent="0.2">
      <c r="B55"/>
      <c r="C55"/>
      <c r="E55"/>
      <c r="F55"/>
      <c r="G55"/>
      <c r="H55"/>
      <c r="I55"/>
      <c r="J55"/>
      <c r="K55"/>
      <c r="L55"/>
    </row>
    <row r="56" spans="2:12" x14ac:dyDescent="0.2">
      <c r="B56"/>
      <c r="C56"/>
      <c r="E56"/>
      <c r="F56"/>
      <c r="G56"/>
      <c r="H56"/>
      <c r="I56"/>
      <c r="J56"/>
      <c r="K56"/>
      <c r="L56"/>
    </row>
    <row r="57" spans="2:12" x14ac:dyDescent="0.2">
      <c r="B57"/>
      <c r="C57"/>
      <c r="E57"/>
      <c r="F57"/>
      <c r="G57"/>
      <c r="H57"/>
      <c r="I57"/>
      <c r="J57"/>
      <c r="K57"/>
      <c r="L57"/>
    </row>
    <row r="58" spans="2:12" x14ac:dyDescent="0.2">
      <c r="B58"/>
      <c r="C58"/>
      <c r="E58"/>
      <c r="F58"/>
      <c r="G58"/>
      <c r="H58"/>
      <c r="I58"/>
      <c r="J58"/>
      <c r="K58"/>
      <c r="L58"/>
    </row>
    <row r="59" spans="2:12" x14ac:dyDescent="0.2">
      <c r="B59"/>
      <c r="C59"/>
      <c r="E59"/>
      <c r="F59"/>
      <c r="G59"/>
      <c r="H59"/>
      <c r="I59"/>
      <c r="J59"/>
      <c r="K59"/>
      <c r="L59"/>
    </row>
    <row r="60" spans="2:12" x14ac:dyDescent="0.2">
      <c r="B60"/>
      <c r="C60"/>
      <c r="E60"/>
      <c r="F60"/>
      <c r="G60"/>
      <c r="H60"/>
      <c r="I60"/>
      <c r="J60"/>
      <c r="K60"/>
      <c r="L60"/>
    </row>
    <row r="61" spans="2:12" x14ac:dyDescent="0.2">
      <c r="B61"/>
      <c r="C61"/>
      <c r="E61"/>
      <c r="F61"/>
      <c r="G61"/>
      <c r="H61"/>
      <c r="I61"/>
      <c r="J61"/>
      <c r="K61"/>
      <c r="L61"/>
    </row>
    <row r="62" spans="2:12" x14ac:dyDescent="0.2">
      <c r="B62"/>
      <c r="C62"/>
      <c r="E62"/>
      <c r="F62"/>
      <c r="G62"/>
      <c r="H62"/>
      <c r="I62"/>
      <c r="J62"/>
      <c r="K62"/>
      <c r="L62"/>
    </row>
    <row r="63" spans="2:12" x14ac:dyDescent="0.2">
      <c r="B63"/>
      <c r="C63"/>
      <c r="E63"/>
      <c r="F63"/>
      <c r="G63"/>
      <c r="H63"/>
      <c r="I63"/>
      <c r="J63"/>
      <c r="K63"/>
      <c r="L63"/>
    </row>
    <row r="64" spans="2:12" x14ac:dyDescent="0.2">
      <c r="B64"/>
      <c r="C64"/>
      <c r="E64"/>
      <c r="F64"/>
      <c r="G64"/>
      <c r="H64"/>
      <c r="I64"/>
      <c r="J64"/>
      <c r="K64"/>
      <c r="L64"/>
    </row>
    <row r="65" spans="2:12" x14ac:dyDescent="0.2">
      <c r="B65"/>
      <c r="C65"/>
      <c r="E65"/>
      <c r="F65"/>
      <c r="G65"/>
      <c r="H65"/>
      <c r="I65"/>
      <c r="J65"/>
      <c r="K65"/>
      <c r="L65"/>
    </row>
    <row r="66" spans="2:12" x14ac:dyDescent="0.2">
      <c r="B66"/>
      <c r="C66"/>
      <c r="E66"/>
      <c r="F66"/>
      <c r="G66"/>
      <c r="H66"/>
      <c r="I66"/>
      <c r="J66"/>
      <c r="K66"/>
      <c r="L66"/>
    </row>
    <row r="67" spans="2:12" x14ac:dyDescent="0.2">
      <c r="B67"/>
      <c r="C67"/>
      <c r="E67"/>
      <c r="F67"/>
      <c r="G67"/>
      <c r="H67"/>
      <c r="I67"/>
      <c r="J67"/>
      <c r="K67"/>
      <c r="L67"/>
    </row>
    <row r="68" spans="2:12" x14ac:dyDescent="0.2">
      <c r="B68"/>
      <c r="C68"/>
      <c r="E68"/>
      <c r="F68"/>
      <c r="G68"/>
      <c r="H68"/>
      <c r="I68"/>
      <c r="J68"/>
      <c r="K68"/>
      <c r="L68"/>
    </row>
    <row r="69" spans="2:12" x14ac:dyDescent="0.2">
      <c r="B69"/>
      <c r="C69"/>
      <c r="E69"/>
      <c r="F69"/>
      <c r="G69"/>
      <c r="H69"/>
      <c r="I69"/>
      <c r="J69"/>
      <c r="K69"/>
      <c r="L69"/>
    </row>
    <row r="70" spans="2:12" x14ac:dyDescent="0.2">
      <c r="B70"/>
      <c r="C70"/>
      <c r="E70"/>
      <c r="F70"/>
      <c r="G70"/>
      <c r="H70"/>
      <c r="I70"/>
      <c r="J70"/>
      <c r="K70"/>
      <c r="L70"/>
    </row>
    <row r="71" spans="2:12" x14ac:dyDescent="0.2">
      <c r="B71"/>
      <c r="C71"/>
      <c r="E71"/>
      <c r="F71"/>
      <c r="G71"/>
      <c r="H71"/>
      <c r="I71"/>
      <c r="J71"/>
      <c r="K71"/>
      <c r="L71"/>
    </row>
    <row r="72" spans="2:12" x14ac:dyDescent="0.2">
      <c r="B72"/>
      <c r="C72"/>
      <c r="E72"/>
      <c r="F72"/>
      <c r="G72"/>
      <c r="H72"/>
      <c r="I72"/>
      <c r="J72"/>
      <c r="K72"/>
      <c r="L72"/>
    </row>
    <row r="73" spans="2:12" x14ac:dyDescent="0.2">
      <c r="B73"/>
      <c r="C73"/>
      <c r="E73"/>
      <c r="F73"/>
      <c r="G73"/>
      <c r="H73"/>
      <c r="I73"/>
      <c r="J73"/>
      <c r="K73"/>
      <c r="L73"/>
    </row>
    <row r="74" spans="2:12" x14ac:dyDescent="0.2">
      <c r="B74"/>
      <c r="C74"/>
      <c r="E74"/>
      <c r="F74"/>
      <c r="G74"/>
      <c r="H74"/>
      <c r="I74"/>
      <c r="J74"/>
      <c r="K74"/>
      <c r="L74"/>
    </row>
    <row r="75" spans="2:12" x14ac:dyDescent="0.2">
      <c r="B75"/>
      <c r="C75"/>
      <c r="E75"/>
      <c r="F75"/>
      <c r="G75"/>
      <c r="H75"/>
      <c r="I75"/>
      <c r="J75"/>
      <c r="K75"/>
      <c r="L75"/>
    </row>
    <row r="76" spans="2:12" x14ac:dyDescent="0.2">
      <c r="B76"/>
      <c r="C76"/>
      <c r="E76"/>
      <c r="F76"/>
      <c r="G76"/>
      <c r="H76"/>
      <c r="I76"/>
      <c r="J76"/>
      <c r="K76"/>
      <c r="L76"/>
    </row>
    <row r="77" spans="2:12" x14ac:dyDescent="0.2">
      <c r="B77"/>
      <c r="C77"/>
      <c r="E77"/>
      <c r="F77"/>
      <c r="G77"/>
      <c r="H77"/>
      <c r="I77"/>
      <c r="J77"/>
      <c r="K77"/>
      <c r="L77"/>
    </row>
    <row r="78" spans="2:12" x14ac:dyDescent="0.2">
      <c r="B78"/>
      <c r="C78"/>
      <c r="E78"/>
      <c r="F78"/>
      <c r="G78"/>
      <c r="H78"/>
      <c r="I78"/>
      <c r="J78"/>
      <c r="K78"/>
      <c r="L78"/>
    </row>
    <row r="79" spans="2:12" x14ac:dyDescent="0.2">
      <c r="B79"/>
      <c r="C79"/>
      <c r="E79"/>
      <c r="F79"/>
      <c r="G79"/>
      <c r="H79"/>
      <c r="I79"/>
      <c r="J79"/>
      <c r="K79"/>
      <c r="L79"/>
    </row>
    <row r="80" spans="2:12" x14ac:dyDescent="0.2">
      <c r="B80"/>
      <c r="C80"/>
      <c r="E80"/>
      <c r="F80"/>
      <c r="G80"/>
      <c r="H80"/>
      <c r="I80"/>
      <c r="J80"/>
      <c r="K80"/>
      <c r="L80"/>
    </row>
    <row r="81" spans="2:12" x14ac:dyDescent="0.2">
      <c r="B81"/>
      <c r="C81"/>
      <c r="E81"/>
      <c r="F81"/>
      <c r="G81"/>
      <c r="H81"/>
      <c r="I81"/>
      <c r="J81"/>
      <c r="K81"/>
      <c r="L81"/>
    </row>
    <row r="82" spans="2:12" x14ac:dyDescent="0.2">
      <c r="B82"/>
      <c r="C82"/>
      <c r="E82"/>
      <c r="F82"/>
      <c r="G82"/>
      <c r="H82"/>
      <c r="I82"/>
      <c r="J82"/>
      <c r="K82"/>
      <c r="L82"/>
    </row>
    <row r="83" spans="2:12" x14ac:dyDescent="0.2">
      <c r="B83"/>
      <c r="C83"/>
      <c r="E83"/>
      <c r="F83"/>
      <c r="G83"/>
      <c r="H83"/>
      <c r="I83"/>
      <c r="J83"/>
      <c r="K83"/>
      <c r="L83"/>
    </row>
    <row r="84" spans="2:12" x14ac:dyDescent="0.2">
      <c r="B84"/>
      <c r="C84"/>
      <c r="E84"/>
      <c r="F84"/>
      <c r="G84"/>
      <c r="H84"/>
      <c r="I84"/>
      <c r="J84"/>
      <c r="K84"/>
      <c r="L84"/>
    </row>
    <row r="85" spans="2:12" x14ac:dyDescent="0.2">
      <c r="B85"/>
      <c r="C85"/>
      <c r="E85"/>
      <c r="F85"/>
      <c r="G85"/>
      <c r="H85"/>
      <c r="I85"/>
      <c r="J85"/>
      <c r="K85"/>
      <c r="L85"/>
    </row>
    <row r="86" spans="2:12" x14ac:dyDescent="0.2">
      <c r="B86"/>
      <c r="C86"/>
      <c r="E86"/>
      <c r="F86"/>
      <c r="G86"/>
      <c r="H86"/>
      <c r="I86"/>
      <c r="J86"/>
      <c r="K86"/>
      <c r="L86"/>
    </row>
    <row r="87" spans="2:12" x14ac:dyDescent="0.2">
      <c r="B87"/>
      <c r="C87"/>
      <c r="E87"/>
      <c r="F87"/>
      <c r="G87"/>
      <c r="H87"/>
      <c r="I87"/>
      <c r="J87"/>
      <c r="K87"/>
      <c r="L87"/>
    </row>
    <row r="88" spans="2:12" x14ac:dyDescent="0.2">
      <c r="B88"/>
      <c r="C88"/>
      <c r="E88"/>
      <c r="F88"/>
      <c r="G88"/>
      <c r="H88"/>
      <c r="I88"/>
      <c r="J88"/>
      <c r="K88"/>
      <c r="L88"/>
    </row>
    <row r="89" spans="2:12" x14ac:dyDescent="0.2">
      <c r="B89"/>
      <c r="C89"/>
      <c r="E89"/>
      <c r="F89"/>
      <c r="G89"/>
      <c r="H89"/>
      <c r="I89"/>
      <c r="J89"/>
      <c r="K89"/>
      <c r="L89"/>
    </row>
    <row r="90" spans="2:12" x14ac:dyDescent="0.2">
      <c r="B90"/>
      <c r="C90"/>
      <c r="E90"/>
      <c r="F90"/>
      <c r="G90"/>
      <c r="H90"/>
      <c r="I90"/>
      <c r="J90"/>
      <c r="K90"/>
      <c r="L90"/>
    </row>
    <row r="91" spans="2:12" x14ac:dyDescent="0.2">
      <c r="B91"/>
      <c r="C91"/>
      <c r="E91"/>
      <c r="F91"/>
      <c r="G91"/>
      <c r="H91"/>
      <c r="I91"/>
      <c r="J91"/>
      <c r="K91"/>
      <c r="L91"/>
    </row>
    <row r="92" spans="2:12" x14ac:dyDescent="0.2">
      <c r="B92"/>
      <c r="C92"/>
      <c r="E92"/>
      <c r="F92"/>
      <c r="G92"/>
      <c r="H92"/>
      <c r="I92"/>
      <c r="J92"/>
      <c r="K92"/>
      <c r="L92"/>
    </row>
    <row r="93" spans="2:12" x14ac:dyDescent="0.2">
      <c r="B93"/>
      <c r="C93"/>
      <c r="E93"/>
      <c r="F93"/>
      <c r="G93"/>
      <c r="H93"/>
      <c r="I93"/>
      <c r="J93"/>
      <c r="K93"/>
      <c r="L93"/>
    </row>
    <row r="94" spans="2:12" x14ac:dyDescent="0.2">
      <c r="B94"/>
      <c r="C94"/>
      <c r="E94"/>
      <c r="F94"/>
      <c r="G94"/>
      <c r="H94"/>
      <c r="I94"/>
      <c r="J94"/>
      <c r="K94"/>
      <c r="L94"/>
    </row>
    <row r="95" spans="2:12" x14ac:dyDescent="0.2">
      <c r="B95"/>
      <c r="C95"/>
      <c r="E95"/>
      <c r="F95"/>
      <c r="G95"/>
      <c r="H95"/>
      <c r="I95"/>
      <c r="J95"/>
      <c r="K95"/>
      <c r="L95"/>
    </row>
    <row r="96" spans="2:12" x14ac:dyDescent="0.2">
      <c r="B96"/>
      <c r="C96"/>
      <c r="E96"/>
      <c r="F96"/>
      <c r="G96"/>
      <c r="H96"/>
      <c r="I96"/>
      <c r="J96"/>
      <c r="K96"/>
      <c r="L96"/>
    </row>
    <row r="97" spans="2:12" x14ac:dyDescent="0.2">
      <c r="B97"/>
      <c r="C97"/>
      <c r="E97"/>
      <c r="F97"/>
      <c r="G97"/>
      <c r="H97"/>
      <c r="I97"/>
      <c r="J97"/>
      <c r="K97"/>
      <c r="L97"/>
    </row>
    <row r="98" spans="2:12" x14ac:dyDescent="0.2">
      <c r="B98"/>
      <c r="C98"/>
      <c r="E98"/>
      <c r="F98"/>
      <c r="G98"/>
      <c r="H98"/>
      <c r="I98"/>
      <c r="J98"/>
      <c r="K98"/>
      <c r="L98"/>
    </row>
    <row r="99" spans="2:12" x14ac:dyDescent="0.2">
      <c r="B99"/>
      <c r="C99"/>
      <c r="E99"/>
      <c r="F99"/>
      <c r="G99"/>
      <c r="H99"/>
      <c r="I99"/>
      <c r="J99"/>
      <c r="K99"/>
      <c r="L99"/>
    </row>
    <row r="100" spans="2:12" x14ac:dyDescent="0.2">
      <c r="B100"/>
      <c r="C100"/>
      <c r="E100"/>
      <c r="F100"/>
      <c r="G100"/>
      <c r="H100"/>
      <c r="I100"/>
      <c r="J100"/>
      <c r="K100"/>
      <c r="L100"/>
    </row>
    <row r="101" spans="2:12" x14ac:dyDescent="0.2">
      <c r="B101"/>
      <c r="C101"/>
      <c r="E101"/>
      <c r="F101"/>
      <c r="G101"/>
      <c r="H101"/>
      <c r="I101"/>
      <c r="J101"/>
      <c r="K101"/>
      <c r="L101"/>
    </row>
    <row r="102" spans="2:12" x14ac:dyDescent="0.2">
      <c r="B102"/>
      <c r="C102"/>
      <c r="E102"/>
      <c r="F102"/>
      <c r="G102"/>
      <c r="H102"/>
      <c r="I102"/>
      <c r="J102"/>
      <c r="K102"/>
      <c r="L102"/>
    </row>
    <row r="103" spans="2:12" x14ac:dyDescent="0.2">
      <c r="B103"/>
      <c r="C103"/>
      <c r="E103"/>
      <c r="F103"/>
      <c r="G103"/>
      <c r="H103"/>
      <c r="I103"/>
      <c r="J103"/>
      <c r="K103"/>
      <c r="L103"/>
    </row>
    <row r="104" spans="2:12" x14ac:dyDescent="0.2">
      <c r="E104"/>
      <c r="F104"/>
      <c r="G104"/>
      <c r="H104"/>
      <c r="I104"/>
      <c r="J104"/>
      <c r="K104"/>
      <c r="L104"/>
    </row>
    <row r="105" spans="2:12" x14ac:dyDescent="0.2">
      <c r="E105"/>
      <c r="F105"/>
      <c r="G105"/>
      <c r="H105"/>
      <c r="I105"/>
      <c r="J105"/>
      <c r="K105"/>
      <c r="L105"/>
    </row>
    <row r="106" spans="2:12" x14ac:dyDescent="0.2">
      <c r="E106"/>
      <c r="F106"/>
      <c r="G106"/>
      <c r="H106"/>
      <c r="I106"/>
      <c r="J106"/>
      <c r="K106"/>
      <c r="L106"/>
    </row>
  </sheetData>
  <mergeCells count="1">
    <mergeCell ref="G3:H3"/>
  </mergeCells>
  <phoneticPr fontId="2" type="noConversion"/>
  <hyperlinks>
    <hyperlink ref="G3" location="Network!A1" display="Return to Network"/>
  </hyperlinks>
  <pageMargins left="0.75" right="0.75" top="1" bottom="1" header="0.5" footer="0.5"/>
  <pageSetup orientation="portrait" verticalDpi="0" r:id="rId1"/>
  <headerFooter alignWithMargins="0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L106"/>
  <sheetViews>
    <sheetView showGridLines="0" showRowColHeaders="0" workbookViewId="0">
      <selection activeCell="K9" sqref="K9"/>
    </sheetView>
  </sheetViews>
  <sheetFormatPr defaultRowHeight="12.75" x14ac:dyDescent="0.2"/>
  <cols>
    <col min="1" max="1" width="5.5703125" style="1" customWidth="1"/>
    <col min="2" max="3" width="14.5703125" style="6" customWidth="1"/>
    <col min="4" max="4" width="14.5703125" customWidth="1"/>
    <col min="5" max="5" width="14.5703125" style="6" customWidth="1"/>
    <col min="6" max="6" width="14.5703125" style="1" customWidth="1"/>
    <col min="7" max="7" width="9.140625" style="1"/>
    <col min="8" max="8" width="6" style="1" customWidth="1"/>
    <col min="9" max="16384" width="9.140625" style="1"/>
  </cols>
  <sheetData>
    <row r="1" spans="2:12" x14ac:dyDescent="0.2">
      <c r="D1" s="6"/>
    </row>
    <row r="2" spans="2:12" ht="14.25" customHeight="1" x14ac:dyDescent="0.2">
      <c r="D2" s="6"/>
    </row>
    <row r="3" spans="2:12" ht="25.5" customHeight="1" x14ac:dyDescent="0.2">
      <c r="D3" s="6"/>
      <c r="G3" s="199"/>
      <c r="H3" s="199"/>
    </row>
    <row r="4" spans="2:12" x14ac:dyDescent="0.2">
      <c r="B4" s="16"/>
      <c r="C4" s="17"/>
      <c r="D4" s="6"/>
    </row>
    <row r="5" spans="2:12" ht="13.5" thickBot="1" x14ac:dyDescent="0.25">
      <c r="B5" s="20" t="s">
        <v>1</v>
      </c>
      <c r="C5" s="20" t="s">
        <v>2</v>
      </c>
      <c r="D5" s="20" t="s">
        <v>17</v>
      </c>
    </row>
    <row r="6" spans="2:12" x14ac:dyDescent="0.2">
      <c r="B6" s="31">
        <v>1</v>
      </c>
      <c r="C6" s="32">
        <v>1</v>
      </c>
      <c r="D6" s="32">
        <v>0.5</v>
      </c>
      <c r="E6"/>
      <c r="F6"/>
      <c r="G6"/>
      <c r="H6"/>
      <c r="I6"/>
      <c r="J6"/>
      <c r="K6"/>
      <c r="L6"/>
    </row>
    <row r="7" spans="2:12" ht="13.5" thickBot="1" x14ac:dyDescent="0.25">
      <c r="B7" s="36"/>
      <c r="C7" s="37">
        <v>2</v>
      </c>
      <c r="D7" s="37">
        <v>0.5</v>
      </c>
      <c r="E7"/>
      <c r="F7"/>
      <c r="G7"/>
      <c r="H7"/>
      <c r="I7"/>
      <c r="J7"/>
      <c r="K7"/>
      <c r="L7"/>
    </row>
    <row r="8" spans="2:12" x14ac:dyDescent="0.2">
      <c r="B8" s="31">
        <v>2</v>
      </c>
      <c r="C8" s="32">
        <v>1</v>
      </c>
      <c r="D8" s="32">
        <v>0.5</v>
      </c>
      <c r="E8"/>
      <c r="F8"/>
      <c r="G8"/>
      <c r="H8"/>
      <c r="I8"/>
      <c r="J8"/>
      <c r="K8"/>
      <c r="L8"/>
    </row>
    <row r="9" spans="2:12" ht="13.5" thickBot="1" x14ac:dyDescent="0.25">
      <c r="B9" s="36"/>
      <c r="C9" s="37">
        <v>2</v>
      </c>
      <c r="D9" s="37">
        <v>0.5</v>
      </c>
      <c r="E9"/>
      <c r="F9"/>
      <c r="G9"/>
      <c r="H9"/>
      <c r="I9"/>
      <c r="J9"/>
      <c r="K9"/>
      <c r="L9"/>
    </row>
    <row r="10" spans="2:12" x14ac:dyDescent="0.2">
      <c r="B10" s="31">
        <v>3</v>
      </c>
      <c r="C10" s="32">
        <v>1</v>
      </c>
      <c r="D10" s="32">
        <v>0.5</v>
      </c>
      <c r="E10"/>
      <c r="F10"/>
      <c r="G10"/>
      <c r="H10"/>
      <c r="I10"/>
      <c r="J10"/>
      <c r="K10"/>
      <c r="L10"/>
    </row>
    <row r="11" spans="2:12" ht="13.5" thickBot="1" x14ac:dyDescent="0.25">
      <c r="B11" s="36"/>
      <c r="C11" s="37">
        <v>2</v>
      </c>
      <c r="D11" s="37">
        <v>0.5</v>
      </c>
      <c r="E11"/>
      <c r="F11"/>
      <c r="G11"/>
      <c r="H11"/>
      <c r="I11"/>
      <c r="J11"/>
      <c r="K11"/>
      <c r="L11"/>
    </row>
    <row r="12" spans="2:12" x14ac:dyDescent="0.2">
      <c r="B12"/>
      <c r="C12"/>
      <c r="E12"/>
      <c r="F12"/>
      <c r="G12"/>
      <c r="H12"/>
      <c r="I12"/>
      <c r="J12"/>
      <c r="K12"/>
      <c r="L12"/>
    </row>
    <row r="13" spans="2:12" x14ac:dyDescent="0.2">
      <c r="B13"/>
      <c r="C13"/>
      <c r="E13"/>
      <c r="F13"/>
      <c r="G13"/>
      <c r="H13"/>
      <c r="I13"/>
      <c r="J13"/>
      <c r="K13"/>
      <c r="L13"/>
    </row>
    <row r="14" spans="2:12" x14ac:dyDescent="0.2">
      <c r="B14"/>
      <c r="C14"/>
      <c r="E14"/>
      <c r="F14"/>
      <c r="G14"/>
      <c r="H14"/>
      <c r="I14"/>
      <c r="J14"/>
      <c r="K14"/>
      <c r="L14"/>
    </row>
    <row r="15" spans="2:12" x14ac:dyDescent="0.2">
      <c r="B15"/>
      <c r="C15"/>
      <c r="E15"/>
      <c r="F15"/>
      <c r="G15"/>
      <c r="H15"/>
      <c r="I15"/>
      <c r="J15"/>
      <c r="K15"/>
      <c r="L15"/>
    </row>
    <row r="16" spans="2:12" x14ac:dyDescent="0.2">
      <c r="B16"/>
      <c r="C16"/>
      <c r="E16"/>
      <c r="F16"/>
      <c r="G16"/>
      <c r="H16"/>
      <c r="I16"/>
      <c r="J16"/>
      <c r="K16"/>
      <c r="L16"/>
    </row>
    <row r="17" spans="2:12" x14ac:dyDescent="0.2">
      <c r="B17"/>
      <c r="C17"/>
      <c r="E17"/>
      <c r="F17"/>
      <c r="G17"/>
      <c r="H17"/>
      <c r="I17"/>
      <c r="J17"/>
      <c r="K17"/>
      <c r="L17"/>
    </row>
    <row r="18" spans="2:12" x14ac:dyDescent="0.2">
      <c r="B18"/>
      <c r="C18"/>
      <c r="E18"/>
      <c r="F18"/>
      <c r="G18"/>
      <c r="H18"/>
      <c r="I18"/>
      <c r="J18"/>
      <c r="K18"/>
      <c r="L18"/>
    </row>
    <row r="19" spans="2:12" x14ac:dyDescent="0.2">
      <c r="B19"/>
      <c r="C19"/>
      <c r="E19"/>
      <c r="F19"/>
      <c r="G19"/>
      <c r="H19"/>
      <c r="I19"/>
      <c r="J19"/>
      <c r="K19"/>
      <c r="L19"/>
    </row>
    <row r="20" spans="2:12" x14ac:dyDescent="0.2">
      <c r="B20"/>
      <c r="C20"/>
      <c r="E20"/>
      <c r="F20"/>
      <c r="G20"/>
      <c r="H20"/>
      <c r="I20"/>
      <c r="J20"/>
      <c r="K20"/>
      <c r="L20"/>
    </row>
    <row r="21" spans="2:12" x14ac:dyDescent="0.2">
      <c r="B21"/>
      <c r="C21"/>
      <c r="E21"/>
      <c r="F21"/>
      <c r="G21"/>
      <c r="H21"/>
      <c r="I21"/>
      <c r="J21"/>
      <c r="K21"/>
      <c r="L21"/>
    </row>
    <row r="22" spans="2:12" x14ac:dyDescent="0.2">
      <c r="B22"/>
      <c r="C22"/>
      <c r="E22"/>
      <c r="F22"/>
      <c r="G22"/>
      <c r="H22"/>
      <c r="I22"/>
      <c r="J22"/>
      <c r="K22"/>
      <c r="L22"/>
    </row>
    <row r="23" spans="2:12" x14ac:dyDescent="0.2">
      <c r="B23"/>
      <c r="C23"/>
      <c r="E23"/>
      <c r="F23"/>
      <c r="G23"/>
      <c r="H23"/>
      <c r="I23"/>
      <c r="J23"/>
      <c r="K23"/>
      <c r="L23"/>
    </row>
    <row r="24" spans="2:12" x14ac:dyDescent="0.2">
      <c r="B24"/>
      <c r="C24"/>
      <c r="E24"/>
      <c r="F24"/>
      <c r="G24"/>
      <c r="H24"/>
      <c r="I24"/>
      <c r="J24"/>
      <c r="K24"/>
      <c r="L24"/>
    </row>
    <row r="25" spans="2:12" x14ac:dyDescent="0.2">
      <c r="B25"/>
      <c r="C25"/>
      <c r="E25"/>
      <c r="F25"/>
      <c r="G25"/>
      <c r="H25"/>
      <c r="I25"/>
      <c r="J25"/>
      <c r="K25"/>
      <c r="L25"/>
    </row>
    <row r="26" spans="2:12" x14ac:dyDescent="0.2">
      <c r="B26"/>
      <c r="C26"/>
      <c r="E26"/>
      <c r="F26"/>
      <c r="G26"/>
      <c r="H26"/>
      <c r="I26"/>
      <c r="J26"/>
      <c r="K26"/>
      <c r="L26"/>
    </row>
    <row r="27" spans="2:12" x14ac:dyDescent="0.2">
      <c r="B27"/>
      <c r="C27"/>
      <c r="E27"/>
      <c r="F27"/>
      <c r="G27"/>
      <c r="H27"/>
      <c r="I27"/>
      <c r="J27"/>
      <c r="K27"/>
      <c r="L27"/>
    </row>
    <row r="28" spans="2:12" x14ac:dyDescent="0.2">
      <c r="B28"/>
      <c r="C28"/>
      <c r="E28"/>
      <c r="F28"/>
      <c r="G28"/>
      <c r="H28"/>
      <c r="I28"/>
      <c r="J28"/>
      <c r="K28"/>
      <c r="L28"/>
    </row>
    <row r="29" spans="2:12" x14ac:dyDescent="0.2">
      <c r="B29"/>
      <c r="C29"/>
      <c r="E29"/>
      <c r="F29"/>
      <c r="G29"/>
      <c r="H29"/>
      <c r="I29"/>
      <c r="J29"/>
      <c r="K29"/>
      <c r="L29"/>
    </row>
    <row r="30" spans="2:12" x14ac:dyDescent="0.2">
      <c r="B30"/>
      <c r="C30"/>
      <c r="E30"/>
      <c r="F30"/>
      <c r="G30"/>
      <c r="H30"/>
      <c r="I30"/>
      <c r="J30"/>
      <c r="K30"/>
      <c r="L30"/>
    </row>
    <row r="31" spans="2:12" x14ac:dyDescent="0.2">
      <c r="B31"/>
      <c r="C31"/>
      <c r="E31"/>
      <c r="F31"/>
      <c r="G31"/>
      <c r="H31"/>
      <c r="I31"/>
      <c r="J31"/>
      <c r="K31"/>
      <c r="L31"/>
    </row>
    <row r="32" spans="2:12" x14ac:dyDescent="0.2">
      <c r="B32"/>
      <c r="C32"/>
      <c r="E32"/>
      <c r="F32"/>
      <c r="G32"/>
      <c r="H32"/>
      <c r="I32"/>
      <c r="J32"/>
      <c r="K32"/>
      <c r="L32"/>
    </row>
    <row r="33" spans="2:12" x14ac:dyDescent="0.2">
      <c r="B33"/>
      <c r="C33"/>
      <c r="E33"/>
      <c r="F33"/>
      <c r="G33"/>
      <c r="H33"/>
      <c r="I33"/>
      <c r="J33"/>
      <c r="K33"/>
      <c r="L33"/>
    </row>
    <row r="34" spans="2:12" x14ac:dyDescent="0.2">
      <c r="B34"/>
      <c r="C34"/>
      <c r="E34"/>
      <c r="F34"/>
      <c r="G34"/>
      <c r="H34"/>
      <c r="I34"/>
      <c r="J34"/>
      <c r="K34"/>
      <c r="L34"/>
    </row>
    <row r="35" spans="2:12" x14ac:dyDescent="0.2">
      <c r="B35"/>
      <c r="C35"/>
      <c r="E35"/>
      <c r="F35"/>
      <c r="G35"/>
      <c r="H35"/>
      <c r="I35"/>
      <c r="J35"/>
      <c r="K35"/>
      <c r="L35"/>
    </row>
    <row r="36" spans="2:12" x14ac:dyDescent="0.2">
      <c r="B36"/>
      <c r="C36"/>
      <c r="E36"/>
      <c r="F36"/>
      <c r="G36"/>
      <c r="H36"/>
      <c r="I36"/>
      <c r="J36"/>
      <c r="K36"/>
      <c r="L36"/>
    </row>
    <row r="37" spans="2:12" x14ac:dyDescent="0.2">
      <c r="B37"/>
      <c r="C37"/>
      <c r="E37"/>
      <c r="F37"/>
      <c r="G37"/>
      <c r="H37"/>
      <c r="I37"/>
      <c r="J37"/>
      <c r="K37"/>
      <c r="L37"/>
    </row>
    <row r="38" spans="2:12" x14ac:dyDescent="0.2">
      <c r="B38"/>
      <c r="C38"/>
      <c r="E38"/>
      <c r="F38"/>
      <c r="G38"/>
      <c r="H38"/>
      <c r="I38"/>
      <c r="J38"/>
      <c r="K38"/>
      <c r="L38"/>
    </row>
    <row r="39" spans="2:12" x14ac:dyDescent="0.2">
      <c r="B39"/>
      <c r="C39"/>
      <c r="E39"/>
      <c r="F39"/>
      <c r="G39"/>
      <c r="H39"/>
      <c r="I39"/>
      <c r="J39"/>
      <c r="K39"/>
      <c r="L39"/>
    </row>
    <row r="40" spans="2:12" x14ac:dyDescent="0.2">
      <c r="B40"/>
      <c r="C40"/>
      <c r="E40"/>
      <c r="F40"/>
      <c r="G40"/>
      <c r="H40"/>
      <c r="I40"/>
      <c r="J40"/>
      <c r="K40"/>
      <c r="L40"/>
    </row>
    <row r="41" spans="2:12" x14ac:dyDescent="0.2">
      <c r="B41"/>
      <c r="C41"/>
      <c r="E41"/>
      <c r="F41"/>
      <c r="G41"/>
      <c r="H41"/>
      <c r="I41"/>
      <c r="J41"/>
      <c r="K41"/>
      <c r="L41"/>
    </row>
    <row r="42" spans="2:12" x14ac:dyDescent="0.2">
      <c r="B42"/>
      <c r="C42"/>
      <c r="E42"/>
      <c r="F42"/>
      <c r="G42"/>
      <c r="H42"/>
      <c r="I42"/>
      <c r="J42"/>
      <c r="K42"/>
      <c r="L42"/>
    </row>
    <row r="43" spans="2:12" x14ac:dyDescent="0.2">
      <c r="B43"/>
      <c r="C43"/>
      <c r="E43"/>
      <c r="F43"/>
      <c r="G43"/>
      <c r="H43"/>
      <c r="I43"/>
      <c r="J43"/>
      <c r="K43"/>
      <c r="L43"/>
    </row>
    <row r="44" spans="2:12" x14ac:dyDescent="0.2">
      <c r="B44"/>
      <c r="C44"/>
      <c r="E44"/>
      <c r="F44"/>
      <c r="G44"/>
      <c r="H44"/>
      <c r="I44"/>
      <c r="J44"/>
      <c r="K44"/>
      <c r="L44"/>
    </row>
    <row r="45" spans="2:12" x14ac:dyDescent="0.2">
      <c r="B45"/>
      <c r="C45"/>
      <c r="E45"/>
      <c r="F45"/>
      <c r="G45"/>
      <c r="H45"/>
      <c r="I45"/>
      <c r="J45"/>
      <c r="K45"/>
      <c r="L45"/>
    </row>
    <row r="46" spans="2:12" x14ac:dyDescent="0.2">
      <c r="B46"/>
      <c r="C46"/>
      <c r="E46"/>
      <c r="F46"/>
      <c r="G46"/>
      <c r="H46"/>
      <c r="I46"/>
      <c r="J46"/>
      <c r="K46"/>
      <c r="L46"/>
    </row>
    <row r="47" spans="2:12" x14ac:dyDescent="0.2">
      <c r="B47"/>
      <c r="C47"/>
      <c r="E47"/>
      <c r="F47"/>
      <c r="G47"/>
      <c r="H47"/>
      <c r="I47"/>
      <c r="J47"/>
      <c r="K47"/>
      <c r="L47"/>
    </row>
    <row r="48" spans="2:12" x14ac:dyDescent="0.2">
      <c r="B48"/>
      <c r="C48"/>
      <c r="E48"/>
      <c r="F48"/>
      <c r="G48"/>
      <c r="H48"/>
      <c r="I48"/>
      <c r="J48"/>
      <c r="K48"/>
      <c r="L48"/>
    </row>
    <row r="49" spans="2:12" x14ac:dyDescent="0.2">
      <c r="B49"/>
      <c r="C49"/>
      <c r="E49"/>
      <c r="F49"/>
      <c r="G49"/>
      <c r="H49"/>
      <c r="I49"/>
      <c r="J49"/>
      <c r="K49"/>
      <c r="L49"/>
    </row>
    <row r="50" spans="2:12" x14ac:dyDescent="0.2">
      <c r="B50"/>
      <c r="C50"/>
      <c r="E50"/>
      <c r="F50"/>
      <c r="G50"/>
      <c r="H50"/>
      <c r="I50"/>
      <c r="J50"/>
      <c r="K50"/>
      <c r="L50"/>
    </row>
    <row r="51" spans="2:12" x14ac:dyDescent="0.2">
      <c r="B51"/>
      <c r="C51"/>
      <c r="E51"/>
      <c r="F51"/>
      <c r="G51"/>
      <c r="H51"/>
      <c r="I51"/>
      <c r="J51"/>
      <c r="K51"/>
      <c r="L51"/>
    </row>
    <row r="52" spans="2:12" x14ac:dyDescent="0.2">
      <c r="B52"/>
      <c r="C52"/>
      <c r="E52"/>
      <c r="F52"/>
      <c r="G52"/>
      <c r="H52"/>
      <c r="I52"/>
      <c r="J52"/>
      <c r="K52"/>
      <c r="L52"/>
    </row>
    <row r="53" spans="2:12" x14ac:dyDescent="0.2">
      <c r="B53"/>
      <c r="C53"/>
      <c r="E53"/>
      <c r="F53"/>
      <c r="G53"/>
      <c r="H53"/>
      <c r="I53"/>
      <c r="J53"/>
      <c r="K53"/>
      <c r="L53"/>
    </row>
    <row r="54" spans="2:12" x14ac:dyDescent="0.2">
      <c r="B54"/>
      <c r="C54"/>
      <c r="E54"/>
      <c r="F54"/>
      <c r="G54"/>
      <c r="H54"/>
      <c r="I54"/>
      <c r="J54"/>
      <c r="K54"/>
      <c r="L54"/>
    </row>
    <row r="55" spans="2:12" x14ac:dyDescent="0.2">
      <c r="B55"/>
      <c r="C55"/>
      <c r="E55"/>
      <c r="F55"/>
      <c r="G55"/>
      <c r="H55"/>
      <c r="I55"/>
      <c r="J55"/>
      <c r="K55"/>
      <c r="L55"/>
    </row>
    <row r="56" spans="2:12" x14ac:dyDescent="0.2">
      <c r="B56"/>
      <c r="C56"/>
      <c r="E56"/>
      <c r="F56"/>
      <c r="G56"/>
      <c r="H56"/>
      <c r="I56"/>
      <c r="J56"/>
      <c r="K56"/>
      <c r="L56"/>
    </row>
    <row r="57" spans="2:12" x14ac:dyDescent="0.2">
      <c r="B57"/>
      <c r="C57"/>
      <c r="E57"/>
      <c r="F57"/>
      <c r="G57"/>
      <c r="H57"/>
      <c r="I57"/>
      <c r="J57"/>
      <c r="K57"/>
      <c r="L57"/>
    </row>
    <row r="58" spans="2:12" x14ac:dyDescent="0.2">
      <c r="B58"/>
      <c r="C58"/>
      <c r="E58"/>
      <c r="F58"/>
      <c r="G58"/>
      <c r="H58"/>
      <c r="I58"/>
      <c r="J58"/>
      <c r="K58"/>
      <c r="L58"/>
    </row>
    <row r="59" spans="2:12" x14ac:dyDescent="0.2">
      <c r="B59"/>
      <c r="C59"/>
      <c r="E59"/>
      <c r="F59"/>
      <c r="G59"/>
      <c r="H59"/>
      <c r="I59"/>
      <c r="J59"/>
      <c r="K59"/>
      <c r="L59"/>
    </row>
    <row r="60" spans="2:12" x14ac:dyDescent="0.2">
      <c r="B60"/>
      <c r="C60"/>
      <c r="E60"/>
      <c r="F60"/>
      <c r="G60"/>
      <c r="H60"/>
      <c r="I60"/>
      <c r="J60"/>
      <c r="K60"/>
      <c r="L60"/>
    </row>
    <row r="61" spans="2:12" x14ac:dyDescent="0.2">
      <c r="B61"/>
      <c r="C61"/>
      <c r="E61"/>
      <c r="F61"/>
      <c r="G61"/>
      <c r="H61"/>
      <c r="I61"/>
      <c r="J61"/>
      <c r="K61"/>
      <c r="L61"/>
    </row>
    <row r="62" spans="2:12" x14ac:dyDescent="0.2">
      <c r="B62"/>
      <c r="C62"/>
      <c r="E62"/>
      <c r="F62"/>
      <c r="G62"/>
      <c r="H62"/>
      <c r="I62"/>
      <c r="J62"/>
      <c r="K62"/>
      <c r="L62"/>
    </row>
    <row r="63" spans="2:12" x14ac:dyDescent="0.2">
      <c r="B63"/>
      <c r="C63"/>
      <c r="E63"/>
      <c r="F63"/>
      <c r="G63"/>
      <c r="H63"/>
      <c r="I63"/>
      <c r="J63"/>
      <c r="K63"/>
      <c r="L63"/>
    </row>
    <row r="64" spans="2:12" x14ac:dyDescent="0.2">
      <c r="B64"/>
      <c r="C64"/>
      <c r="E64"/>
      <c r="F64"/>
      <c r="G64"/>
      <c r="H64"/>
      <c r="I64"/>
      <c r="J64"/>
      <c r="K64"/>
      <c r="L64"/>
    </row>
    <row r="65" spans="2:12" x14ac:dyDescent="0.2">
      <c r="B65"/>
      <c r="C65"/>
      <c r="E65"/>
      <c r="F65"/>
      <c r="G65"/>
      <c r="H65"/>
      <c r="I65"/>
      <c r="J65"/>
      <c r="K65"/>
      <c r="L65"/>
    </row>
    <row r="66" spans="2:12" x14ac:dyDescent="0.2">
      <c r="B66"/>
      <c r="C66"/>
      <c r="E66"/>
      <c r="F66"/>
      <c r="G66"/>
      <c r="H66"/>
      <c r="I66"/>
      <c r="J66"/>
      <c r="K66"/>
      <c r="L66"/>
    </row>
    <row r="67" spans="2:12" x14ac:dyDescent="0.2">
      <c r="B67"/>
      <c r="C67"/>
      <c r="E67"/>
      <c r="F67"/>
      <c r="G67"/>
      <c r="H67"/>
      <c r="I67"/>
      <c r="J67"/>
      <c r="K67"/>
      <c r="L67"/>
    </row>
    <row r="68" spans="2:12" x14ac:dyDescent="0.2">
      <c r="B68"/>
      <c r="C68"/>
      <c r="E68"/>
      <c r="F68"/>
      <c r="G68"/>
      <c r="H68"/>
      <c r="I68"/>
      <c r="J68"/>
      <c r="K68"/>
      <c r="L68"/>
    </row>
    <row r="69" spans="2:12" x14ac:dyDescent="0.2">
      <c r="B69"/>
      <c r="C69"/>
      <c r="E69"/>
      <c r="F69"/>
      <c r="G69"/>
      <c r="H69"/>
      <c r="I69"/>
      <c r="J69"/>
      <c r="K69"/>
      <c r="L69"/>
    </row>
    <row r="70" spans="2:12" x14ac:dyDescent="0.2">
      <c r="B70"/>
      <c r="C70"/>
      <c r="E70"/>
      <c r="F70"/>
      <c r="G70"/>
      <c r="H70"/>
      <c r="I70"/>
      <c r="J70"/>
      <c r="K70"/>
      <c r="L70"/>
    </row>
    <row r="71" spans="2:12" x14ac:dyDescent="0.2">
      <c r="B71"/>
      <c r="C71"/>
      <c r="E71"/>
      <c r="F71"/>
      <c r="G71"/>
      <c r="H71"/>
      <c r="I71"/>
      <c r="J71"/>
      <c r="K71"/>
      <c r="L71"/>
    </row>
    <row r="72" spans="2:12" x14ac:dyDescent="0.2">
      <c r="B72"/>
      <c r="C72"/>
      <c r="E72"/>
      <c r="F72"/>
      <c r="G72"/>
      <c r="H72"/>
      <c r="I72"/>
      <c r="J72"/>
      <c r="K72"/>
      <c r="L72"/>
    </row>
    <row r="73" spans="2:12" x14ac:dyDescent="0.2">
      <c r="B73"/>
      <c r="C73"/>
      <c r="E73"/>
      <c r="F73"/>
      <c r="G73"/>
      <c r="H73"/>
      <c r="I73"/>
      <c r="J73"/>
      <c r="K73"/>
      <c r="L73"/>
    </row>
    <row r="74" spans="2:12" x14ac:dyDescent="0.2">
      <c r="B74"/>
      <c r="C74"/>
      <c r="E74"/>
      <c r="F74"/>
      <c r="G74"/>
      <c r="H74"/>
      <c r="I74"/>
      <c r="J74"/>
      <c r="K74"/>
      <c r="L74"/>
    </row>
    <row r="75" spans="2:12" x14ac:dyDescent="0.2">
      <c r="B75"/>
      <c r="C75"/>
      <c r="E75"/>
      <c r="F75"/>
      <c r="G75"/>
      <c r="H75"/>
      <c r="I75"/>
      <c r="J75"/>
      <c r="K75"/>
      <c r="L75"/>
    </row>
    <row r="76" spans="2:12" x14ac:dyDescent="0.2">
      <c r="B76"/>
      <c r="C76"/>
      <c r="E76"/>
      <c r="F76"/>
      <c r="G76"/>
      <c r="H76"/>
      <c r="I76"/>
      <c r="J76"/>
      <c r="K76"/>
      <c r="L76"/>
    </row>
    <row r="77" spans="2:12" x14ac:dyDescent="0.2">
      <c r="B77"/>
      <c r="C77"/>
      <c r="E77"/>
      <c r="F77"/>
      <c r="G77"/>
      <c r="H77"/>
      <c r="I77"/>
      <c r="J77"/>
      <c r="K77"/>
      <c r="L77"/>
    </row>
    <row r="78" spans="2:12" x14ac:dyDescent="0.2">
      <c r="B78"/>
      <c r="C78"/>
      <c r="E78"/>
      <c r="F78"/>
      <c r="G78"/>
      <c r="H78"/>
      <c r="I78"/>
      <c r="J78"/>
      <c r="K78"/>
      <c r="L78"/>
    </row>
    <row r="79" spans="2:12" x14ac:dyDescent="0.2">
      <c r="B79"/>
      <c r="C79"/>
      <c r="E79"/>
      <c r="F79"/>
      <c r="G79"/>
      <c r="H79"/>
      <c r="I79"/>
      <c r="J79"/>
      <c r="K79"/>
      <c r="L79"/>
    </row>
    <row r="80" spans="2:12" x14ac:dyDescent="0.2">
      <c r="B80"/>
      <c r="C80"/>
      <c r="E80"/>
      <c r="F80"/>
      <c r="G80"/>
      <c r="H80"/>
      <c r="I80"/>
      <c r="J80"/>
      <c r="K80"/>
      <c r="L80"/>
    </row>
    <row r="81" spans="2:12" x14ac:dyDescent="0.2">
      <c r="B81"/>
      <c r="C81"/>
      <c r="E81"/>
      <c r="F81"/>
      <c r="G81"/>
      <c r="H81"/>
      <c r="I81"/>
      <c r="J81"/>
      <c r="K81"/>
      <c r="L81"/>
    </row>
    <row r="82" spans="2:12" x14ac:dyDescent="0.2">
      <c r="B82"/>
      <c r="C82"/>
      <c r="E82"/>
      <c r="F82"/>
      <c r="G82"/>
      <c r="H82"/>
      <c r="I82"/>
      <c r="J82"/>
      <c r="K82"/>
      <c r="L82"/>
    </row>
    <row r="83" spans="2:12" x14ac:dyDescent="0.2">
      <c r="B83"/>
      <c r="C83"/>
      <c r="E83"/>
      <c r="F83"/>
      <c r="G83"/>
      <c r="H83"/>
      <c r="I83"/>
      <c r="J83"/>
      <c r="K83"/>
      <c r="L83"/>
    </row>
    <row r="84" spans="2:12" x14ac:dyDescent="0.2">
      <c r="B84"/>
      <c r="C84"/>
      <c r="E84"/>
      <c r="F84"/>
      <c r="G84"/>
      <c r="H84"/>
      <c r="I84"/>
      <c r="J84"/>
      <c r="K84"/>
      <c r="L84"/>
    </row>
    <row r="85" spans="2:12" x14ac:dyDescent="0.2">
      <c r="B85"/>
      <c r="C85"/>
      <c r="E85"/>
      <c r="F85"/>
      <c r="G85"/>
      <c r="H85"/>
      <c r="I85"/>
      <c r="J85"/>
      <c r="K85"/>
      <c r="L85"/>
    </row>
    <row r="86" spans="2:12" x14ac:dyDescent="0.2">
      <c r="B86"/>
      <c r="C86"/>
      <c r="E86"/>
      <c r="F86"/>
      <c r="G86"/>
      <c r="H86"/>
      <c r="I86"/>
      <c r="J86"/>
      <c r="K86"/>
      <c r="L86"/>
    </row>
    <row r="87" spans="2:12" x14ac:dyDescent="0.2">
      <c r="B87"/>
      <c r="C87"/>
      <c r="E87"/>
      <c r="F87"/>
      <c r="G87"/>
      <c r="H87"/>
      <c r="I87"/>
      <c r="J87"/>
      <c r="K87"/>
      <c r="L87"/>
    </row>
    <row r="88" spans="2:12" x14ac:dyDescent="0.2">
      <c r="B88"/>
      <c r="C88"/>
      <c r="E88"/>
      <c r="F88"/>
      <c r="G88"/>
      <c r="H88"/>
      <c r="I88"/>
      <c r="J88"/>
      <c r="K88"/>
      <c r="L88"/>
    </row>
    <row r="89" spans="2:12" x14ac:dyDescent="0.2">
      <c r="B89"/>
      <c r="C89"/>
      <c r="E89"/>
      <c r="F89"/>
      <c r="G89"/>
      <c r="H89"/>
      <c r="I89"/>
      <c r="J89"/>
      <c r="K89"/>
      <c r="L89"/>
    </row>
    <row r="90" spans="2:12" x14ac:dyDescent="0.2">
      <c r="B90"/>
      <c r="C90"/>
      <c r="E90"/>
      <c r="F90"/>
      <c r="G90"/>
      <c r="H90"/>
      <c r="I90"/>
      <c r="J90"/>
      <c r="K90"/>
      <c r="L90"/>
    </row>
    <row r="91" spans="2:12" x14ac:dyDescent="0.2">
      <c r="B91"/>
      <c r="C91"/>
      <c r="E91"/>
      <c r="F91"/>
      <c r="G91"/>
      <c r="H91"/>
      <c r="I91"/>
      <c r="J91"/>
      <c r="K91"/>
      <c r="L91"/>
    </row>
    <row r="92" spans="2:12" x14ac:dyDescent="0.2">
      <c r="B92"/>
      <c r="C92"/>
      <c r="E92"/>
      <c r="F92"/>
      <c r="G92"/>
      <c r="H92"/>
      <c r="I92"/>
      <c r="J92"/>
      <c r="K92"/>
      <c r="L92"/>
    </row>
    <row r="93" spans="2:12" x14ac:dyDescent="0.2">
      <c r="B93"/>
      <c r="C93"/>
      <c r="E93"/>
      <c r="F93"/>
      <c r="G93"/>
      <c r="H93"/>
      <c r="I93"/>
      <c r="J93"/>
      <c r="K93"/>
      <c r="L93"/>
    </row>
    <row r="94" spans="2:12" x14ac:dyDescent="0.2">
      <c r="B94"/>
      <c r="C94"/>
      <c r="E94"/>
      <c r="F94"/>
      <c r="G94"/>
      <c r="H94"/>
      <c r="I94"/>
      <c r="J94"/>
      <c r="K94"/>
      <c r="L94"/>
    </row>
    <row r="95" spans="2:12" x14ac:dyDescent="0.2">
      <c r="B95"/>
      <c r="C95"/>
      <c r="E95"/>
      <c r="F95"/>
      <c r="G95"/>
      <c r="H95"/>
      <c r="I95"/>
      <c r="J95"/>
      <c r="K95"/>
      <c r="L95"/>
    </row>
    <row r="96" spans="2:12" x14ac:dyDescent="0.2">
      <c r="B96"/>
      <c r="C96"/>
      <c r="E96"/>
      <c r="F96"/>
      <c r="G96"/>
      <c r="H96"/>
      <c r="I96"/>
      <c r="J96"/>
      <c r="K96"/>
      <c r="L96"/>
    </row>
    <row r="97" spans="2:12" x14ac:dyDescent="0.2">
      <c r="B97"/>
      <c r="C97"/>
      <c r="E97"/>
      <c r="F97"/>
      <c r="G97"/>
      <c r="H97"/>
      <c r="I97"/>
      <c r="J97"/>
      <c r="K97"/>
      <c r="L97"/>
    </row>
    <row r="98" spans="2:12" x14ac:dyDescent="0.2">
      <c r="B98"/>
      <c r="C98"/>
      <c r="E98"/>
      <c r="F98"/>
      <c r="G98"/>
      <c r="H98"/>
      <c r="I98"/>
      <c r="J98"/>
      <c r="K98"/>
      <c r="L98"/>
    </row>
    <row r="99" spans="2:12" x14ac:dyDescent="0.2">
      <c r="B99"/>
      <c r="C99"/>
      <c r="E99"/>
      <c r="F99"/>
      <c r="G99"/>
      <c r="H99"/>
      <c r="I99"/>
      <c r="J99"/>
      <c r="K99"/>
      <c r="L99"/>
    </row>
    <row r="100" spans="2:12" x14ac:dyDescent="0.2">
      <c r="B100"/>
      <c r="C100"/>
      <c r="E100"/>
      <c r="F100"/>
      <c r="G100"/>
      <c r="H100"/>
      <c r="I100"/>
      <c r="J100"/>
      <c r="K100"/>
      <c r="L100"/>
    </row>
    <row r="101" spans="2:12" x14ac:dyDescent="0.2">
      <c r="B101"/>
      <c r="C101"/>
      <c r="E101"/>
      <c r="F101"/>
      <c r="G101"/>
      <c r="H101"/>
      <c r="I101"/>
      <c r="J101"/>
      <c r="K101"/>
      <c r="L101"/>
    </row>
    <row r="102" spans="2:12" x14ac:dyDescent="0.2">
      <c r="B102"/>
      <c r="C102"/>
      <c r="E102"/>
      <c r="F102"/>
      <c r="G102"/>
      <c r="H102"/>
      <c r="I102"/>
      <c r="J102"/>
      <c r="K102"/>
      <c r="L102"/>
    </row>
    <row r="103" spans="2:12" x14ac:dyDescent="0.2">
      <c r="B103"/>
      <c r="C103"/>
      <c r="E103"/>
      <c r="F103"/>
      <c r="G103"/>
      <c r="H103"/>
      <c r="I103"/>
      <c r="J103"/>
      <c r="K103"/>
      <c r="L103"/>
    </row>
    <row r="104" spans="2:12" x14ac:dyDescent="0.2">
      <c r="B104"/>
      <c r="C104"/>
      <c r="E104"/>
      <c r="F104"/>
      <c r="G104"/>
      <c r="H104"/>
      <c r="I104"/>
      <c r="J104"/>
      <c r="K104"/>
      <c r="L104"/>
    </row>
    <row r="105" spans="2:12" x14ac:dyDescent="0.2">
      <c r="E105"/>
      <c r="F105"/>
      <c r="G105"/>
      <c r="H105"/>
      <c r="I105"/>
      <c r="J105"/>
      <c r="K105"/>
      <c r="L105"/>
    </row>
    <row r="106" spans="2:12" x14ac:dyDescent="0.2">
      <c r="E106"/>
      <c r="F106"/>
      <c r="G106"/>
      <c r="H106"/>
      <c r="I106"/>
      <c r="J106"/>
      <c r="K106"/>
      <c r="L106"/>
    </row>
  </sheetData>
  <mergeCells count="1">
    <mergeCell ref="G3:H3"/>
  </mergeCells>
  <phoneticPr fontId="2" type="noConversion"/>
  <hyperlinks>
    <hyperlink ref="G3" location="Network!A1" display="Return to Network"/>
  </hyperlinks>
  <pageMargins left="0.75" right="0.75" top="1" bottom="1" header="0.5" footer="0.5"/>
  <pageSetup orientation="portrait" verticalDpi="0" r:id="rId1"/>
  <headerFooter alignWithMargins="0"/>
  <drawing r:id="rId2"/>
  <picture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L106"/>
  <sheetViews>
    <sheetView showGridLines="0" showRowColHeaders="0" workbookViewId="0">
      <selection activeCell="F13" sqref="F13:F14"/>
    </sheetView>
  </sheetViews>
  <sheetFormatPr defaultRowHeight="12.75" x14ac:dyDescent="0.2"/>
  <cols>
    <col min="1" max="1" width="5.7109375" style="1" customWidth="1"/>
    <col min="2" max="2" width="9.5703125" style="6" bestFit="1" customWidth="1"/>
    <col min="3" max="3" width="7.7109375" style="6" bestFit="1" customWidth="1"/>
    <col min="4" max="4" width="7" style="6" bestFit="1" customWidth="1"/>
    <col min="5" max="5" width="15.42578125" bestFit="1" customWidth="1"/>
    <col min="6" max="6" width="14.5703125" style="1" customWidth="1"/>
    <col min="7" max="7" width="9.140625" style="1"/>
    <col min="8" max="8" width="6" style="1" customWidth="1"/>
    <col min="9" max="16384" width="9.140625" style="1"/>
  </cols>
  <sheetData>
    <row r="1" spans="2:12" x14ac:dyDescent="0.2">
      <c r="E1" s="6"/>
    </row>
    <row r="2" spans="2:12" ht="14.25" customHeight="1" x14ac:dyDescent="0.2">
      <c r="E2" s="6"/>
    </row>
    <row r="3" spans="2:12" ht="25.5" customHeight="1" x14ac:dyDescent="0.2">
      <c r="E3" s="6"/>
      <c r="G3" s="199"/>
      <c r="H3" s="199"/>
    </row>
    <row r="4" spans="2:12" x14ac:dyDescent="0.2">
      <c r="C4" s="17"/>
      <c r="E4" s="6"/>
    </row>
    <row r="5" spans="2:12" ht="13.5" thickBot="1" x14ac:dyDescent="0.25">
      <c r="B5" s="20" t="s">
        <v>1</v>
      </c>
      <c r="C5" s="20" t="s">
        <v>3</v>
      </c>
      <c r="D5" s="20" t="s">
        <v>2</v>
      </c>
      <c r="E5" s="30" t="s">
        <v>18</v>
      </c>
      <c r="F5"/>
      <c r="G5"/>
      <c r="H5"/>
      <c r="I5"/>
      <c r="J5"/>
      <c r="K5"/>
      <c r="L5"/>
    </row>
    <row r="6" spans="2:12" x14ac:dyDescent="0.2">
      <c r="B6" s="31">
        <v>1</v>
      </c>
      <c r="C6" s="32">
        <v>1</v>
      </c>
      <c r="D6" s="32">
        <v>1</v>
      </c>
      <c r="E6" s="33">
        <v>0.25</v>
      </c>
      <c r="F6"/>
      <c r="G6"/>
      <c r="H6"/>
      <c r="I6"/>
      <c r="J6"/>
      <c r="K6"/>
      <c r="L6"/>
    </row>
    <row r="7" spans="2:12" x14ac:dyDescent="0.2">
      <c r="B7" s="34"/>
      <c r="C7" s="29"/>
      <c r="D7" s="29">
        <v>2</v>
      </c>
      <c r="E7" s="35">
        <v>0.25</v>
      </c>
      <c r="F7"/>
      <c r="G7"/>
      <c r="H7"/>
      <c r="I7"/>
      <c r="J7"/>
      <c r="K7"/>
      <c r="L7"/>
    </row>
    <row r="8" spans="2:12" x14ac:dyDescent="0.2">
      <c r="B8" s="34"/>
      <c r="C8" s="29">
        <v>2</v>
      </c>
      <c r="D8" s="29">
        <v>1</v>
      </c>
      <c r="E8" s="35">
        <v>0.25</v>
      </c>
      <c r="F8"/>
      <c r="G8"/>
      <c r="H8"/>
      <c r="I8"/>
      <c r="J8"/>
      <c r="K8"/>
      <c r="L8"/>
    </row>
    <row r="9" spans="2:12" x14ac:dyDescent="0.2">
      <c r="B9" s="34"/>
      <c r="C9" s="29"/>
      <c r="D9" s="29">
        <v>2</v>
      </c>
      <c r="E9" s="35">
        <v>0.25</v>
      </c>
      <c r="F9"/>
      <c r="G9"/>
      <c r="H9"/>
      <c r="I9"/>
      <c r="J9"/>
      <c r="K9"/>
      <c r="L9"/>
    </row>
    <row r="10" spans="2:12" x14ac:dyDescent="0.2">
      <c r="B10" s="34"/>
      <c r="C10" s="29">
        <v>3</v>
      </c>
      <c r="D10" s="29">
        <v>1</v>
      </c>
      <c r="E10" s="35">
        <v>0.25</v>
      </c>
      <c r="F10"/>
      <c r="G10"/>
      <c r="H10"/>
      <c r="I10"/>
      <c r="J10"/>
      <c r="K10"/>
      <c r="L10"/>
    </row>
    <row r="11" spans="2:12" ht="13.5" thickBot="1" x14ac:dyDescent="0.25">
      <c r="B11" s="34"/>
      <c r="C11" s="29"/>
      <c r="D11" s="29">
        <v>2</v>
      </c>
      <c r="E11" s="35">
        <v>0.25</v>
      </c>
      <c r="F11"/>
      <c r="G11"/>
      <c r="H11"/>
      <c r="I11"/>
      <c r="J11"/>
      <c r="K11"/>
      <c r="L11"/>
    </row>
    <row r="12" spans="2:12" x14ac:dyDescent="0.2">
      <c r="B12" s="31">
        <v>2</v>
      </c>
      <c r="C12" s="32">
        <v>1</v>
      </c>
      <c r="D12" s="32">
        <v>1</v>
      </c>
      <c r="E12" s="33">
        <v>0.25</v>
      </c>
      <c r="F12"/>
      <c r="G12"/>
      <c r="H12"/>
      <c r="I12"/>
      <c r="J12"/>
      <c r="K12"/>
      <c r="L12"/>
    </row>
    <row r="13" spans="2:12" x14ac:dyDescent="0.2">
      <c r="B13" s="34"/>
      <c r="C13" s="29"/>
      <c r="D13" s="29">
        <v>2</v>
      </c>
      <c r="E13" s="35">
        <v>0.25</v>
      </c>
      <c r="F13"/>
      <c r="G13"/>
      <c r="H13"/>
      <c r="I13"/>
      <c r="J13"/>
      <c r="K13"/>
      <c r="L13"/>
    </row>
    <row r="14" spans="2:12" x14ac:dyDescent="0.2">
      <c r="B14" s="34"/>
      <c r="C14" s="29">
        <v>2</v>
      </c>
      <c r="D14" s="29">
        <v>1</v>
      </c>
      <c r="E14" s="35">
        <v>0.25</v>
      </c>
      <c r="F14"/>
      <c r="G14"/>
      <c r="H14"/>
      <c r="I14"/>
      <c r="J14"/>
      <c r="K14"/>
      <c r="L14"/>
    </row>
    <row r="15" spans="2:12" x14ac:dyDescent="0.2">
      <c r="B15" s="34"/>
      <c r="C15" s="29"/>
      <c r="D15" s="29">
        <v>2</v>
      </c>
      <c r="E15" s="35">
        <v>0.25</v>
      </c>
      <c r="F15"/>
      <c r="G15"/>
      <c r="H15"/>
      <c r="I15"/>
      <c r="J15"/>
      <c r="K15"/>
      <c r="L15"/>
    </row>
    <row r="16" spans="2:12" x14ac:dyDescent="0.2">
      <c r="B16" s="34"/>
      <c r="C16" s="29">
        <v>3</v>
      </c>
      <c r="D16" s="29">
        <v>1</v>
      </c>
      <c r="E16" s="35">
        <v>0.25</v>
      </c>
      <c r="F16"/>
      <c r="G16"/>
      <c r="H16"/>
      <c r="I16"/>
      <c r="J16"/>
      <c r="K16"/>
      <c r="L16"/>
    </row>
    <row r="17" spans="2:12" ht="13.5" thickBot="1" x14ac:dyDescent="0.25">
      <c r="B17" s="34"/>
      <c r="C17" s="29"/>
      <c r="D17" s="29">
        <v>2</v>
      </c>
      <c r="E17" s="35">
        <v>0.25</v>
      </c>
      <c r="F17"/>
      <c r="G17"/>
      <c r="H17"/>
      <c r="I17"/>
      <c r="J17"/>
      <c r="K17"/>
      <c r="L17"/>
    </row>
    <row r="18" spans="2:12" x14ac:dyDescent="0.2">
      <c r="B18" s="31">
        <v>3</v>
      </c>
      <c r="C18" s="32">
        <v>1</v>
      </c>
      <c r="D18" s="32">
        <v>1</v>
      </c>
      <c r="E18" s="33">
        <v>0.25</v>
      </c>
      <c r="F18"/>
      <c r="G18"/>
      <c r="H18"/>
      <c r="I18"/>
      <c r="J18"/>
      <c r="K18"/>
      <c r="L18"/>
    </row>
    <row r="19" spans="2:12" x14ac:dyDescent="0.2">
      <c r="B19" s="34"/>
      <c r="C19" s="29"/>
      <c r="D19" s="29">
        <v>2</v>
      </c>
      <c r="E19" s="35">
        <v>0.25</v>
      </c>
      <c r="F19"/>
      <c r="G19"/>
      <c r="H19"/>
      <c r="I19"/>
      <c r="J19"/>
      <c r="K19"/>
      <c r="L19"/>
    </row>
    <row r="20" spans="2:12" x14ac:dyDescent="0.2">
      <c r="B20" s="34"/>
      <c r="C20" s="29">
        <v>2</v>
      </c>
      <c r="D20" s="29">
        <v>1</v>
      </c>
      <c r="E20" s="35">
        <v>0.25</v>
      </c>
      <c r="F20"/>
      <c r="G20"/>
      <c r="H20"/>
      <c r="I20"/>
      <c r="J20"/>
      <c r="K20"/>
      <c r="L20"/>
    </row>
    <row r="21" spans="2:12" x14ac:dyDescent="0.2">
      <c r="B21" s="34"/>
      <c r="C21" s="29"/>
      <c r="D21" s="29">
        <v>2</v>
      </c>
      <c r="E21" s="35">
        <v>0.25</v>
      </c>
      <c r="F21"/>
      <c r="G21"/>
      <c r="H21"/>
      <c r="I21"/>
      <c r="J21"/>
      <c r="K21"/>
      <c r="L21"/>
    </row>
    <row r="22" spans="2:12" x14ac:dyDescent="0.2">
      <c r="B22" s="34"/>
      <c r="C22" s="29">
        <v>3</v>
      </c>
      <c r="D22" s="29">
        <v>1</v>
      </c>
      <c r="E22" s="35">
        <v>0.25</v>
      </c>
      <c r="F22"/>
      <c r="G22"/>
      <c r="H22"/>
      <c r="I22"/>
      <c r="J22"/>
      <c r="K22"/>
      <c r="L22"/>
    </row>
    <row r="23" spans="2:12" x14ac:dyDescent="0.2">
      <c r="B23" s="34"/>
      <c r="C23" s="29"/>
      <c r="D23" s="29">
        <v>2</v>
      </c>
      <c r="E23" s="35">
        <v>0.25</v>
      </c>
      <c r="F23"/>
      <c r="G23"/>
      <c r="H23"/>
      <c r="I23"/>
      <c r="J23"/>
      <c r="K23"/>
      <c r="L23"/>
    </row>
    <row r="24" spans="2:12" x14ac:dyDescent="0.2">
      <c r="B24"/>
      <c r="C24"/>
      <c r="D24"/>
      <c r="F24"/>
      <c r="G24"/>
      <c r="H24"/>
      <c r="I24"/>
      <c r="J24"/>
      <c r="K24"/>
      <c r="L24"/>
    </row>
    <row r="25" spans="2:12" x14ac:dyDescent="0.2">
      <c r="B25"/>
      <c r="C25"/>
      <c r="D25"/>
      <c r="F25"/>
      <c r="G25"/>
      <c r="H25"/>
      <c r="I25"/>
      <c r="J25"/>
      <c r="K25"/>
      <c r="L25"/>
    </row>
    <row r="26" spans="2:12" x14ac:dyDescent="0.2">
      <c r="B26"/>
      <c r="C26"/>
      <c r="D26"/>
      <c r="F26"/>
      <c r="G26"/>
      <c r="H26"/>
      <c r="I26"/>
      <c r="J26"/>
      <c r="K26"/>
      <c r="L26"/>
    </row>
    <row r="27" spans="2:12" x14ac:dyDescent="0.2">
      <c r="B27"/>
      <c r="C27"/>
      <c r="D27"/>
      <c r="F27"/>
      <c r="G27"/>
      <c r="H27"/>
      <c r="I27"/>
      <c r="J27"/>
      <c r="K27"/>
      <c r="L27"/>
    </row>
    <row r="28" spans="2:12" x14ac:dyDescent="0.2">
      <c r="B28"/>
      <c r="C28"/>
      <c r="D28"/>
      <c r="F28"/>
      <c r="G28"/>
      <c r="H28"/>
      <c r="I28"/>
      <c r="J28"/>
      <c r="K28"/>
      <c r="L28"/>
    </row>
    <row r="29" spans="2:12" x14ac:dyDescent="0.2">
      <c r="B29"/>
      <c r="C29"/>
      <c r="D29"/>
      <c r="F29"/>
      <c r="G29"/>
      <c r="H29"/>
      <c r="I29"/>
      <c r="J29"/>
      <c r="K29"/>
      <c r="L29"/>
    </row>
    <row r="30" spans="2:12" x14ac:dyDescent="0.2">
      <c r="B30"/>
      <c r="C30"/>
      <c r="D30"/>
      <c r="F30"/>
      <c r="G30"/>
      <c r="H30"/>
      <c r="I30"/>
      <c r="J30"/>
      <c r="K30"/>
      <c r="L30"/>
    </row>
    <row r="31" spans="2:12" x14ac:dyDescent="0.2">
      <c r="B31"/>
      <c r="C31"/>
      <c r="D31"/>
      <c r="F31"/>
      <c r="G31"/>
      <c r="H31"/>
      <c r="I31"/>
      <c r="J31"/>
      <c r="K31"/>
      <c r="L31"/>
    </row>
    <row r="32" spans="2:12" x14ac:dyDescent="0.2">
      <c r="B32"/>
      <c r="C32"/>
      <c r="D32"/>
      <c r="F32"/>
      <c r="G32"/>
      <c r="H32"/>
      <c r="I32"/>
      <c r="J32"/>
      <c r="K32"/>
      <c r="L32"/>
    </row>
    <row r="33" spans="2:12" x14ac:dyDescent="0.2">
      <c r="B33"/>
      <c r="C33"/>
      <c r="D33"/>
      <c r="F33"/>
      <c r="G33"/>
      <c r="H33"/>
      <c r="I33"/>
      <c r="J33"/>
      <c r="K33"/>
      <c r="L33"/>
    </row>
    <row r="34" spans="2:12" x14ac:dyDescent="0.2">
      <c r="B34"/>
      <c r="C34"/>
      <c r="D34"/>
      <c r="F34"/>
      <c r="G34"/>
      <c r="H34"/>
      <c r="I34"/>
      <c r="J34"/>
      <c r="K34"/>
      <c r="L34"/>
    </row>
    <row r="35" spans="2:12" x14ac:dyDescent="0.2">
      <c r="B35"/>
      <c r="C35"/>
      <c r="D35"/>
      <c r="F35"/>
      <c r="G35"/>
      <c r="H35"/>
      <c r="I35"/>
      <c r="J35"/>
      <c r="K35"/>
      <c r="L35"/>
    </row>
    <row r="36" spans="2:12" x14ac:dyDescent="0.2">
      <c r="B36"/>
      <c r="C36"/>
      <c r="D36"/>
      <c r="F36"/>
      <c r="G36"/>
      <c r="H36"/>
      <c r="I36"/>
      <c r="J36"/>
      <c r="K36"/>
      <c r="L36"/>
    </row>
    <row r="37" spans="2:12" x14ac:dyDescent="0.2">
      <c r="B37"/>
      <c r="C37"/>
      <c r="D37"/>
      <c r="F37"/>
      <c r="G37"/>
      <c r="H37"/>
      <c r="I37"/>
      <c r="J37"/>
      <c r="K37"/>
      <c r="L37"/>
    </row>
    <row r="38" spans="2:12" x14ac:dyDescent="0.2">
      <c r="B38"/>
      <c r="C38"/>
      <c r="D38"/>
      <c r="F38"/>
      <c r="G38"/>
      <c r="H38"/>
      <c r="I38"/>
      <c r="J38"/>
      <c r="K38"/>
      <c r="L38"/>
    </row>
    <row r="39" spans="2:12" x14ac:dyDescent="0.2">
      <c r="B39"/>
      <c r="C39"/>
      <c r="D39"/>
      <c r="F39"/>
      <c r="G39"/>
      <c r="H39"/>
      <c r="I39"/>
      <c r="J39"/>
      <c r="K39"/>
      <c r="L39"/>
    </row>
    <row r="40" spans="2:12" x14ac:dyDescent="0.2">
      <c r="B40"/>
      <c r="C40"/>
      <c r="D40"/>
      <c r="F40"/>
      <c r="G40"/>
      <c r="H40"/>
      <c r="I40"/>
      <c r="J40"/>
      <c r="K40"/>
      <c r="L40"/>
    </row>
    <row r="41" spans="2:12" x14ac:dyDescent="0.2">
      <c r="B41"/>
      <c r="C41"/>
      <c r="D41"/>
      <c r="F41"/>
      <c r="G41"/>
      <c r="H41"/>
      <c r="I41"/>
      <c r="J41"/>
      <c r="K41"/>
      <c r="L41"/>
    </row>
    <row r="42" spans="2:12" x14ac:dyDescent="0.2">
      <c r="B42"/>
      <c r="C42"/>
      <c r="D42"/>
      <c r="F42"/>
      <c r="G42"/>
      <c r="H42"/>
      <c r="I42"/>
      <c r="J42"/>
      <c r="K42"/>
      <c r="L42"/>
    </row>
    <row r="43" spans="2:12" x14ac:dyDescent="0.2">
      <c r="B43"/>
      <c r="C43"/>
      <c r="D43"/>
      <c r="F43"/>
      <c r="G43"/>
      <c r="H43"/>
      <c r="I43"/>
      <c r="J43"/>
      <c r="K43"/>
      <c r="L43"/>
    </row>
    <row r="44" spans="2:12" x14ac:dyDescent="0.2">
      <c r="B44"/>
      <c r="C44"/>
      <c r="D44"/>
      <c r="F44"/>
      <c r="G44"/>
      <c r="H44"/>
      <c r="I44"/>
      <c r="J44"/>
      <c r="K44"/>
      <c r="L44"/>
    </row>
    <row r="45" spans="2:12" x14ac:dyDescent="0.2">
      <c r="B45"/>
      <c r="C45"/>
      <c r="D45"/>
      <c r="F45"/>
      <c r="G45"/>
      <c r="H45"/>
      <c r="I45"/>
      <c r="J45"/>
      <c r="K45"/>
      <c r="L45"/>
    </row>
    <row r="46" spans="2:12" x14ac:dyDescent="0.2">
      <c r="B46"/>
      <c r="C46"/>
      <c r="D46"/>
      <c r="F46"/>
      <c r="G46"/>
      <c r="H46"/>
      <c r="I46"/>
      <c r="J46"/>
      <c r="K46"/>
      <c r="L46"/>
    </row>
    <row r="47" spans="2:12" x14ac:dyDescent="0.2">
      <c r="B47"/>
      <c r="C47"/>
      <c r="D47"/>
      <c r="F47"/>
      <c r="G47"/>
      <c r="H47"/>
      <c r="I47"/>
      <c r="J47"/>
      <c r="K47"/>
      <c r="L47"/>
    </row>
    <row r="48" spans="2:12" x14ac:dyDescent="0.2">
      <c r="B48"/>
      <c r="C48"/>
      <c r="D48"/>
      <c r="F48"/>
      <c r="G48"/>
      <c r="H48"/>
      <c r="I48"/>
      <c r="J48"/>
      <c r="K48"/>
      <c r="L48"/>
    </row>
    <row r="49" spans="2:12" x14ac:dyDescent="0.2">
      <c r="B49"/>
      <c r="C49"/>
      <c r="D49"/>
      <c r="F49"/>
      <c r="G49"/>
      <c r="H49"/>
      <c r="I49"/>
      <c r="J49"/>
      <c r="K49"/>
      <c r="L49"/>
    </row>
    <row r="50" spans="2:12" x14ac:dyDescent="0.2">
      <c r="B50"/>
      <c r="C50"/>
      <c r="D50"/>
      <c r="F50"/>
      <c r="G50"/>
      <c r="H50"/>
      <c r="I50"/>
      <c r="J50"/>
      <c r="K50"/>
      <c r="L50"/>
    </row>
    <row r="51" spans="2:12" x14ac:dyDescent="0.2">
      <c r="B51"/>
      <c r="C51"/>
      <c r="D51"/>
      <c r="F51"/>
      <c r="G51"/>
      <c r="H51"/>
      <c r="I51"/>
      <c r="J51"/>
      <c r="K51"/>
      <c r="L51"/>
    </row>
    <row r="52" spans="2:12" x14ac:dyDescent="0.2">
      <c r="B52"/>
      <c r="C52"/>
      <c r="D52"/>
      <c r="F52"/>
      <c r="G52"/>
      <c r="H52"/>
      <c r="I52"/>
      <c r="J52"/>
      <c r="K52"/>
      <c r="L52"/>
    </row>
    <row r="53" spans="2:12" x14ac:dyDescent="0.2">
      <c r="B53"/>
      <c r="C53"/>
      <c r="D53"/>
      <c r="F53"/>
      <c r="G53"/>
      <c r="H53"/>
      <c r="I53"/>
      <c r="J53"/>
      <c r="K53"/>
      <c r="L53"/>
    </row>
    <row r="54" spans="2:12" x14ac:dyDescent="0.2">
      <c r="B54"/>
      <c r="C54"/>
      <c r="D54"/>
      <c r="F54"/>
      <c r="G54"/>
      <c r="H54"/>
      <c r="I54"/>
      <c r="J54"/>
      <c r="K54"/>
      <c r="L54"/>
    </row>
    <row r="55" spans="2:12" x14ac:dyDescent="0.2">
      <c r="B55"/>
      <c r="C55"/>
      <c r="D55"/>
      <c r="F55"/>
      <c r="G55"/>
      <c r="H55"/>
      <c r="I55"/>
      <c r="J55"/>
      <c r="K55"/>
      <c r="L55"/>
    </row>
    <row r="56" spans="2:12" x14ac:dyDescent="0.2">
      <c r="B56"/>
      <c r="C56"/>
      <c r="D56"/>
      <c r="F56"/>
      <c r="G56"/>
      <c r="H56"/>
      <c r="I56"/>
      <c r="J56"/>
      <c r="K56"/>
      <c r="L56"/>
    </row>
    <row r="57" spans="2:12" x14ac:dyDescent="0.2">
      <c r="B57"/>
      <c r="C57"/>
      <c r="D57"/>
      <c r="F57"/>
      <c r="G57"/>
      <c r="H57"/>
      <c r="I57"/>
      <c r="J57"/>
      <c r="K57"/>
      <c r="L57"/>
    </row>
    <row r="58" spans="2:12" x14ac:dyDescent="0.2">
      <c r="B58"/>
      <c r="C58"/>
      <c r="D58"/>
      <c r="F58"/>
      <c r="G58"/>
      <c r="H58"/>
      <c r="I58"/>
      <c r="J58"/>
      <c r="K58"/>
      <c r="L58"/>
    </row>
    <row r="59" spans="2:12" x14ac:dyDescent="0.2">
      <c r="B59"/>
      <c r="C59"/>
      <c r="D59"/>
      <c r="F59"/>
      <c r="G59"/>
      <c r="H59"/>
      <c r="I59"/>
      <c r="J59"/>
      <c r="K59"/>
      <c r="L59"/>
    </row>
    <row r="60" spans="2:12" x14ac:dyDescent="0.2">
      <c r="B60"/>
      <c r="C60"/>
      <c r="D60"/>
      <c r="F60"/>
      <c r="G60"/>
      <c r="H60"/>
      <c r="I60"/>
      <c r="J60"/>
      <c r="K60"/>
      <c r="L60"/>
    </row>
    <row r="61" spans="2:12" x14ac:dyDescent="0.2">
      <c r="B61"/>
      <c r="C61"/>
      <c r="D61"/>
      <c r="F61"/>
      <c r="G61"/>
      <c r="H61"/>
      <c r="I61"/>
      <c r="J61"/>
      <c r="K61"/>
      <c r="L61"/>
    </row>
    <row r="62" spans="2:12" x14ac:dyDescent="0.2">
      <c r="B62"/>
      <c r="C62"/>
      <c r="D62"/>
      <c r="F62"/>
      <c r="G62"/>
      <c r="H62"/>
      <c r="I62"/>
      <c r="J62"/>
      <c r="K62"/>
      <c r="L62"/>
    </row>
    <row r="63" spans="2:12" x14ac:dyDescent="0.2">
      <c r="B63"/>
      <c r="C63"/>
      <c r="D63"/>
      <c r="F63"/>
      <c r="G63"/>
      <c r="H63"/>
      <c r="I63"/>
      <c r="J63"/>
      <c r="K63"/>
      <c r="L63"/>
    </row>
    <row r="64" spans="2:12" x14ac:dyDescent="0.2">
      <c r="B64"/>
      <c r="C64"/>
      <c r="D64"/>
      <c r="F64"/>
      <c r="G64"/>
      <c r="H64"/>
      <c r="I64"/>
      <c r="J64"/>
      <c r="K64"/>
      <c r="L64"/>
    </row>
    <row r="65" spans="2:12" x14ac:dyDescent="0.2">
      <c r="B65"/>
      <c r="C65"/>
      <c r="D65"/>
      <c r="F65"/>
      <c r="G65"/>
      <c r="H65"/>
      <c r="I65"/>
      <c r="J65"/>
      <c r="K65"/>
      <c r="L65"/>
    </row>
    <row r="66" spans="2:12" x14ac:dyDescent="0.2">
      <c r="B66"/>
      <c r="C66"/>
      <c r="D66"/>
      <c r="F66"/>
      <c r="G66"/>
      <c r="H66"/>
      <c r="I66"/>
      <c r="J66"/>
      <c r="K66"/>
      <c r="L66"/>
    </row>
    <row r="67" spans="2:12" x14ac:dyDescent="0.2">
      <c r="B67"/>
      <c r="C67"/>
      <c r="D67"/>
      <c r="F67"/>
      <c r="G67"/>
      <c r="H67"/>
      <c r="I67"/>
      <c r="J67"/>
      <c r="K67"/>
      <c r="L67"/>
    </row>
    <row r="68" spans="2:12" x14ac:dyDescent="0.2">
      <c r="B68"/>
      <c r="C68"/>
      <c r="D68"/>
      <c r="F68"/>
      <c r="G68"/>
      <c r="H68"/>
      <c r="I68"/>
      <c r="J68"/>
      <c r="K68"/>
      <c r="L68"/>
    </row>
    <row r="69" spans="2:12" x14ac:dyDescent="0.2">
      <c r="B69"/>
      <c r="C69"/>
      <c r="D69"/>
      <c r="F69"/>
      <c r="G69"/>
      <c r="H69"/>
      <c r="I69"/>
      <c r="J69"/>
      <c r="K69"/>
      <c r="L69"/>
    </row>
    <row r="70" spans="2:12" x14ac:dyDescent="0.2">
      <c r="B70"/>
      <c r="C70"/>
      <c r="D70"/>
      <c r="F70"/>
      <c r="G70"/>
      <c r="H70"/>
      <c r="I70"/>
      <c r="J70"/>
      <c r="K70"/>
      <c r="L70"/>
    </row>
    <row r="71" spans="2:12" x14ac:dyDescent="0.2">
      <c r="B71"/>
      <c r="C71"/>
      <c r="D71"/>
      <c r="F71"/>
      <c r="G71"/>
      <c r="H71"/>
      <c r="I71"/>
      <c r="J71"/>
      <c r="K71"/>
      <c r="L71"/>
    </row>
    <row r="72" spans="2:12" x14ac:dyDescent="0.2">
      <c r="B72"/>
      <c r="C72"/>
      <c r="D72"/>
      <c r="F72"/>
      <c r="G72"/>
      <c r="H72"/>
      <c r="I72"/>
      <c r="J72"/>
      <c r="K72"/>
      <c r="L72"/>
    </row>
    <row r="73" spans="2:12" x14ac:dyDescent="0.2">
      <c r="B73"/>
      <c r="C73"/>
      <c r="D73"/>
      <c r="F73"/>
      <c r="G73"/>
      <c r="H73"/>
      <c r="I73"/>
      <c r="J73"/>
      <c r="K73"/>
      <c r="L73"/>
    </row>
    <row r="74" spans="2:12" x14ac:dyDescent="0.2">
      <c r="B74"/>
      <c r="C74"/>
      <c r="D74"/>
      <c r="F74"/>
      <c r="G74"/>
      <c r="H74"/>
      <c r="I74"/>
      <c r="J74"/>
      <c r="K74"/>
      <c r="L74"/>
    </row>
    <row r="75" spans="2:12" x14ac:dyDescent="0.2">
      <c r="B75"/>
      <c r="C75"/>
      <c r="D75"/>
      <c r="F75"/>
      <c r="G75"/>
      <c r="H75"/>
      <c r="I75"/>
      <c r="J75"/>
      <c r="K75"/>
      <c r="L75"/>
    </row>
    <row r="76" spans="2:12" x14ac:dyDescent="0.2">
      <c r="B76"/>
      <c r="C76"/>
      <c r="D76"/>
      <c r="F76"/>
      <c r="G76"/>
      <c r="H76"/>
      <c r="I76"/>
      <c r="J76"/>
      <c r="K76"/>
      <c r="L76"/>
    </row>
    <row r="77" spans="2:12" x14ac:dyDescent="0.2">
      <c r="B77"/>
      <c r="C77"/>
      <c r="D77"/>
      <c r="F77"/>
      <c r="G77"/>
      <c r="H77"/>
      <c r="I77"/>
      <c r="J77"/>
      <c r="K77"/>
      <c r="L77"/>
    </row>
    <row r="78" spans="2:12" x14ac:dyDescent="0.2">
      <c r="B78"/>
      <c r="C78"/>
      <c r="D78"/>
      <c r="F78"/>
      <c r="G78"/>
      <c r="H78"/>
      <c r="I78"/>
      <c r="J78"/>
      <c r="K78"/>
      <c r="L78"/>
    </row>
    <row r="79" spans="2:12" x14ac:dyDescent="0.2">
      <c r="B79"/>
      <c r="C79"/>
      <c r="D79"/>
      <c r="F79"/>
      <c r="G79"/>
      <c r="H79"/>
      <c r="I79"/>
      <c r="J79"/>
      <c r="K79"/>
      <c r="L79"/>
    </row>
    <row r="80" spans="2:12" x14ac:dyDescent="0.2">
      <c r="B80"/>
      <c r="C80"/>
      <c r="D80"/>
      <c r="F80"/>
      <c r="G80"/>
      <c r="H80"/>
      <c r="I80"/>
      <c r="J80"/>
      <c r="K80"/>
      <c r="L80"/>
    </row>
    <row r="81" spans="2:12" x14ac:dyDescent="0.2">
      <c r="B81"/>
      <c r="C81"/>
      <c r="D81"/>
      <c r="F81"/>
      <c r="G81"/>
      <c r="H81"/>
      <c r="I81"/>
      <c r="J81"/>
      <c r="K81"/>
      <c r="L81"/>
    </row>
    <row r="82" spans="2:12" x14ac:dyDescent="0.2">
      <c r="B82"/>
      <c r="C82"/>
      <c r="D82"/>
      <c r="F82"/>
      <c r="G82"/>
      <c r="H82"/>
      <c r="I82"/>
      <c r="J82"/>
      <c r="K82"/>
      <c r="L82"/>
    </row>
    <row r="83" spans="2:12" x14ac:dyDescent="0.2">
      <c r="B83"/>
      <c r="C83"/>
      <c r="D83"/>
      <c r="F83"/>
      <c r="G83"/>
      <c r="H83"/>
      <c r="I83"/>
      <c r="J83"/>
      <c r="K83"/>
      <c r="L83"/>
    </row>
    <row r="84" spans="2:12" x14ac:dyDescent="0.2">
      <c r="B84"/>
      <c r="C84"/>
      <c r="D84"/>
      <c r="F84"/>
      <c r="G84"/>
      <c r="H84"/>
      <c r="I84"/>
      <c r="J84"/>
      <c r="K84"/>
      <c r="L84"/>
    </row>
    <row r="85" spans="2:12" x14ac:dyDescent="0.2">
      <c r="B85"/>
      <c r="C85"/>
      <c r="D85"/>
      <c r="F85"/>
      <c r="G85"/>
      <c r="H85"/>
      <c r="I85"/>
      <c r="J85"/>
      <c r="K85"/>
      <c r="L85"/>
    </row>
    <row r="86" spans="2:12" x14ac:dyDescent="0.2">
      <c r="B86"/>
      <c r="C86"/>
      <c r="D86"/>
      <c r="F86"/>
      <c r="G86"/>
      <c r="H86"/>
      <c r="I86"/>
      <c r="J86"/>
      <c r="K86"/>
      <c r="L86"/>
    </row>
    <row r="87" spans="2:12" x14ac:dyDescent="0.2">
      <c r="B87"/>
      <c r="C87"/>
      <c r="D87"/>
      <c r="F87"/>
      <c r="G87"/>
      <c r="H87"/>
      <c r="I87"/>
      <c r="J87"/>
      <c r="K87"/>
      <c r="L87"/>
    </row>
    <row r="88" spans="2:12" x14ac:dyDescent="0.2">
      <c r="B88"/>
      <c r="C88"/>
      <c r="D88"/>
      <c r="F88"/>
      <c r="G88"/>
      <c r="H88"/>
      <c r="I88"/>
      <c r="J88"/>
      <c r="K88"/>
      <c r="L88"/>
    </row>
    <row r="89" spans="2:12" x14ac:dyDescent="0.2">
      <c r="B89"/>
      <c r="C89"/>
      <c r="D89"/>
      <c r="F89"/>
      <c r="G89"/>
      <c r="H89"/>
      <c r="I89"/>
      <c r="J89"/>
      <c r="K89"/>
      <c r="L89"/>
    </row>
    <row r="90" spans="2:12" x14ac:dyDescent="0.2">
      <c r="B90"/>
      <c r="C90"/>
      <c r="D90"/>
      <c r="F90"/>
      <c r="G90"/>
      <c r="H90"/>
      <c r="I90"/>
      <c r="J90"/>
      <c r="K90"/>
      <c r="L90"/>
    </row>
    <row r="91" spans="2:12" x14ac:dyDescent="0.2">
      <c r="B91"/>
      <c r="C91"/>
      <c r="D91"/>
      <c r="F91"/>
      <c r="G91"/>
      <c r="H91"/>
      <c r="I91"/>
      <c r="J91"/>
      <c r="K91"/>
      <c r="L91"/>
    </row>
    <row r="92" spans="2:12" x14ac:dyDescent="0.2">
      <c r="B92"/>
      <c r="C92"/>
      <c r="D92"/>
      <c r="F92"/>
      <c r="G92"/>
      <c r="H92"/>
      <c r="I92"/>
      <c r="J92"/>
      <c r="K92"/>
      <c r="L92"/>
    </row>
    <row r="93" spans="2:12" x14ac:dyDescent="0.2">
      <c r="F93"/>
      <c r="G93"/>
      <c r="H93"/>
      <c r="I93"/>
      <c r="J93"/>
      <c r="K93"/>
      <c r="L93"/>
    </row>
    <row r="94" spans="2:12" x14ac:dyDescent="0.2">
      <c r="F94"/>
      <c r="G94"/>
      <c r="H94"/>
      <c r="I94"/>
      <c r="J94"/>
      <c r="K94"/>
      <c r="L94"/>
    </row>
    <row r="95" spans="2:12" x14ac:dyDescent="0.2">
      <c r="F95"/>
      <c r="G95"/>
      <c r="H95"/>
      <c r="I95"/>
      <c r="J95"/>
      <c r="K95"/>
      <c r="L95"/>
    </row>
    <row r="96" spans="2:12" x14ac:dyDescent="0.2">
      <c r="F96"/>
      <c r="G96"/>
      <c r="H96"/>
      <c r="I96"/>
      <c r="J96"/>
      <c r="K96"/>
      <c r="L96"/>
    </row>
    <row r="97" spans="6:12" x14ac:dyDescent="0.2">
      <c r="F97"/>
      <c r="G97"/>
      <c r="H97"/>
      <c r="I97"/>
      <c r="J97"/>
      <c r="K97"/>
      <c r="L97"/>
    </row>
    <row r="98" spans="6:12" x14ac:dyDescent="0.2">
      <c r="F98"/>
      <c r="G98"/>
      <c r="H98"/>
      <c r="I98"/>
      <c r="J98"/>
      <c r="K98"/>
      <c r="L98"/>
    </row>
    <row r="99" spans="6:12" x14ac:dyDescent="0.2">
      <c r="F99"/>
      <c r="G99"/>
      <c r="H99"/>
      <c r="I99"/>
      <c r="J99"/>
      <c r="K99"/>
      <c r="L99"/>
    </row>
    <row r="100" spans="6:12" x14ac:dyDescent="0.2">
      <c r="F100"/>
      <c r="G100"/>
      <c r="H100"/>
      <c r="I100"/>
      <c r="J100"/>
      <c r="K100"/>
      <c r="L100"/>
    </row>
    <row r="101" spans="6:12" x14ac:dyDescent="0.2">
      <c r="F101"/>
      <c r="G101"/>
      <c r="H101"/>
      <c r="I101"/>
      <c r="J101"/>
      <c r="K101"/>
      <c r="L101"/>
    </row>
    <row r="102" spans="6:12" x14ac:dyDescent="0.2">
      <c r="F102"/>
      <c r="G102"/>
      <c r="H102"/>
      <c r="I102"/>
      <c r="J102"/>
      <c r="K102"/>
      <c r="L102"/>
    </row>
    <row r="103" spans="6:12" x14ac:dyDescent="0.2">
      <c r="F103"/>
      <c r="G103"/>
      <c r="H103"/>
      <c r="I103"/>
      <c r="J103"/>
      <c r="K103"/>
      <c r="L103"/>
    </row>
    <row r="104" spans="6:12" x14ac:dyDescent="0.2">
      <c r="F104"/>
      <c r="G104"/>
      <c r="H104"/>
      <c r="I104"/>
      <c r="J104"/>
      <c r="K104"/>
      <c r="L104"/>
    </row>
    <row r="105" spans="6:12" x14ac:dyDescent="0.2">
      <c r="F105"/>
      <c r="G105"/>
      <c r="H105"/>
      <c r="I105"/>
      <c r="J105"/>
      <c r="K105"/>
      <c r="L105"/>
    </row>
    <row r="106" spans="6:12" x14ac:dyDescent="0.2">
      <c r="F106"/>
      <c r="G106"/>
      <c r="H106"/>
      <c r="I106"/>
      <c r="J106"/>
      <c r="K106"/>
      <c r="L106"/>
    </row>
  </sheetData>
  <mergeCells count="1">
    <mergeCell ref="G3:H3"/>
  </mergeCells>
  <phoneticPr fontId="2" type="noConversion"/>
  <hyperlinks>
    <hyperlink ref="G3" location="Network!A1" display="Return to Network"/>
  </hyperlinks>
  <pageMargins left="0.75" right="0.75" top="1" bottom="1" header="0.5" footer="0.5"/>
  <pageSetup orientation="portrait" verticalDpi="0" r:id="rId1"/>
  <headerFooter alignWithMargins="0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D457"/>
  <sheetViews>
    <sheetView showGridLines="0" showRowColHeaders="0" workbookViewId="0">
      <selection activeCell="BD7" sqref="BD7"/>
    </sheetView>
  </sheetViews>
  <sheetFormatPr defaultRowHeight="12.75" x14ac:dyDescent="0.2"/>
  <cols>
    <col min="1" max="1" width="5.7109375" style="1" customWidth="1"/>
    <col min="2" max="2" width="9.42578125" style="6" customWidth="1"/>
    <col min="3" max="3" width="7.7109375" style="6" bestFit="1" customWidth="1"/>
    <col min="4" max="4" width="7" style="6" bestFit="1" customWidth="1"/>
    <col min="5" max="5" width="18.85546875" style="6" bestFit="1" customWidth="1"/>
    <col min="6" max="6" width="11.140625" style="1" customWidth="1"/>
    <col min="7" max="7" width="9.28515625" style="1" customWidth="1"/>
    <col min="8" max="8" width="7.7109375" style="1" bestFit="1" customWidth="1"/>
    <col min="9" max="9" width="9.5703125" style="1" bestFit="1" customWidth="1"/>
    <col min="10" max="10" width="7" style="1" bestFit="1" customWidth="1"/>
    <col min="11" max="11" width="15.28515625" style="1" bestFit="1" customWidth="1"/>
    <col min="12" max="12" width="9.140625" style="1"/>
    <col min="13" max="13" width="10.140625" style="1" customWidth="1"/>
    <col min="14" max="14" width="7.7109375" style="1" bestFit="1" customWidth="1"/>
    <col min="15" max="15" width="7" style="1" bestFit="1" customWidth="1"/>
    <col min="16" max="16" width="16.42578125" style="1" bestFit="1" customWidth="1"/>
    <col min="17" max="17" width="9.140625" style="1"/>
    <col min="18" max="18" width="17.7109375" style="1" bestFit="1" customWidth="1"/>
    <col min="19" max="20" width="10.42578125" style="1" customWidth="1"/>
    <col min="21" max="21" width="7.7109375" style="1" bestFit="1" customWidth="1"/>
    <col min="22" max="22" width="7" style="1" bestFit="1" customWidth="1"/>
    <col min="23" max="23" width="15.7109375" style="1" bestFit="1" customWidth="1"/>
    <col min="24" max="24" width="11.42578125" style="1" customWidth="1"/>
    <col min="25" max="25" width="17.42578125" style="1" bestFit="1" customWidth="1"/>
    <col min="26" max="26" width="9.140625" style="1"/>
    <col min="27" max="27" width="10" style="1" customWidth="1"/>
    <col min="28" max="28" width="7.7109375" style="1" bestFit="1" customWidth="1"/>
    <col min="29" max="29" width="7" style="1" bestFit="1" customWidth="1"/>
    <col min="30" max="30" width="9.42578125" style="1" bestFit="1" customWidth="1"/>
    <col min="31" max="33" width="9.140625" style="1"/>
    <col min="34" max="34" width="11.7109375" style="1" customWidth="1"/>
    <col min="35" max="35" width="9.5703125" style="1" bestFit="1" customWidth="1"/>
    <col min="36" max="36" width="7" style="1" bestFit="1" customWidth="1"/>
    <col min="37" max="37" width="16.28515625" style="1" bestFit="1" customWidth="1"/>
    <col min="38" max="38" width="9.140625" style="1"/>
    <col min="39" max="39" width="8.5703125" style="1" bestFit="1" customWidth="1"/>
    <col min="40" max="40" width="9.140625" style="1"/>
    <col min="41" max="41" width="8.85546875" style="1" customWidth="1"/>
    <col min="42" max="42" width="7.7109375" style="1" bestFit="1" customWidth="1"/>
    <col min="43" max="43" width="9.5703125" style="1" bestFit="1" customWidth="1"/>
    <col min="44" max="44" width="19" style="1" bestFit="1" customWidth="1"/>
    <col min="45" max="45" width="9.140625" style="1"/>
    <col min="46" max="46" width="8" style="1" bestFit="1" customWidth="1"/>
    <col min="47" max="47" width="7.7109375" style="1" bestFit="1" customWidth="1"/>
    <col min="48" max="48" width="7" style="1" bestFit="1" customWidth="1"/>
    <col min="49" max="49" width="17.85546875" style="1" bestFit="1" customWidth="1"/>
    <col min="50" max="50" width="9.140625" style="1"/>
    <col min="51" max="51" width="8" style="1" bestFit="1" customWidth="1"/>
    <col min="52" max="52" width="7.7109375" style="1" bestFit="1" customWidth="1"/>
    <col min="53" max="53" width="7" style="1" bestFit="1" customWidth="1"/>
    <col min="54" max="54" width="20.7109375" style="1" bestFit="1" customWidth="1"/>
    <col min="55" max="55" width="9.140625" style="1"/>
    <col min="56" max="56" width="12.5703125" style="1" customWidth="1"/>
    <col min="57" max="16384" width="9.140625" style="1"/>
  </cols>
  <sheetData>
    <row r="2" spans="2:56" ht="14.25" customHeight="1" x14ac:dyDescent="0.2"/>
    <row r="3" spans="2:56" ht="17.25" customHeight="1" x14ac:dyDescent="0.2">
      <c r="G3" s="199"/>
      <c r="H3" s="199"/>
    </row>
    <row r="4" spans="2:56" x14ac:dyDescent="0.2">
      <c r="B4" s="19" t="s">
        <v>5</v>
      </c>
      <c r="C4" s="17"/>
      <c r="M4" s="19" t="s">
        <v>8</v>
      </c>
      <c r="AO4" s="19" t="s">
        <v>10</v>
      </c>
    </row>
    <row r="5" spans="2:56" x14ac:dyDescent="0.2">
      <c r="B5" s="6" t="s">
        <v>6</v>
      </c>
      <c r="G5" s="1" t="s">
        <v>7</v>
      </c>
      <c r="J5"/>
      <c r="K5"/>
      <c r="L5"/>
      <c r="M5" t="s">
        <v>37</v>
      </c>
      <c r="N5"/>
      <c r="O5"/>
      <c r="P5"/>
      <c r="Q5"/>
      <c r="R5"/>
      <c r="S5"/>
      <c r="T5" s="1" t="s">
        <v>57</v>
      </c>
      <c r="U5"/>
      <c r="V5"/>
      <c r="W5"/>
      <c r="AA5" s="1" t="s">
        <v>9</v>
      </c>
      <c r="AH5" s="1" t="s">
        <v>23</v>
      </c>
      <c r="AO5" s="1" t="s">
        <v>11</v>
      </c>
    </row>
    <row r="6" spans="2:56" ht="13.5" thickBot="1" x14ac:dyDescent="0.25">
      <c r="B6" s="20" t="s">
        <v>1</v>
      </c>
      <c r="C6" s="20" t="s">
        <v>3</v>
      </c>
      <c r="D6" s="20" t="s">
        <v>2</v>
      </c>
      <c r="E6" s="20" t="s">
        <v>21</v>
      </c>
      <c r="G6" s="20" t="s">
        <v>1</v>
      </c>
      <c r="H6" s="20" t="s">
        <v>3</v>
      </c>
      <c r="I6" s="20" t="s">
        <v>0</v>
      </c>
      <c r="J6" s="20" t="s">
        <v>2</v>
      </c>
      <c r="K6" s="20" t="s">
        <v>22</v>
      </c>
      <c r="L6"/>
      <c r="M6" s="20" t="s">
        <v>1</v>
      </c>
      <c r="N6" s="20" t="s">
        <v>3</v>
      </c>
      <c r="O6" s="20" t="s">
        <v>2</v>
      </c>
      <c r="P6" s="20" t="s">
        <v>25</v>
      </c>
      <c r="Q6"/>
      <c r="R6" s="20" t="s">
        <v>24</v>
      </c>
      <c r="T6" s="20" t="s">
        <v>4</v>
      </c>
      <c r="U6" s="20" t="s">
        <v>3</v>
      </c>
      <c r="V6" s="20" t="s">
        <v>2</v>
      </c>
      <c r="W6" s="20" t="s">
        <v>16</v>
      </c>
      <c r="Y6" s="20" t="s">
        <v>15</v>
      </c>
      <c r="AA6" s="20" t="s">
        <v>1</v>
      </c>
      <c r="AB6" s="20" t="s">
        <v>3</v>
      </c>
      <c r="AC6" s="20" t="s">
        <v>2</v>
      </c>
      <c r="AD6" s="20" t="s">
        <v>26</v>
      </c>
      <c r="AH6" s="20" t="s">
        <v>1</v>
      </c>
      <c r="AI6" s="20" t="s">
        <v>0</v>
      </c>
      <c r="AJ6" s="20" t="s">
        <v>2</v>
      </c>
      <c r="AK6" s="40" t="s">
        <v>27</v>
      </c>
      <c r="AM6" s="40" t="s">
        <v>14</v>
      </c>
      <c r="AO6" s="20" t="s">
        <v>1</v>
      </c>
      <c r="AP6" s="20" t="s">
        <v>3</v>
      </c>
      <c r="AQ6" s="20" t="s">
        <v>0</v>
      </c>
      <c r="AR6" s="20" t="s">
        <v>28</v>
      </c>
      <c r="AT6" s="20" t="s">
        <v>1</v>
      </c>
      <c r="AU6" s="20" t="s">
        <v>3</v>
      </c>
      <c r="AV6" s="20" t="s">
        <v>2</v>
      </c>
      <c r="AW6" s="20" t="s">
        <v>29</v>
      </c>
      <c r="AY6" s="20" t="s">
        <v>1</v>
      </c>
      <c r="AZ6" s="20" t="s">
        <v>3</v>
      </c>
      <c r="BA6" s="20" t="s">
        <v>2</v>
      </c>
      <c r="BB6" s="30" t="s">
        <v>30</v>
      </c>
      <c r="BD6" s="20" t="s">
        <v>31</v>
      </c>
    </row>
    <row r="7" spans="2:56" ht="13.5" thickBot="1" x14ac:dyDescent="0.25">
      <c r="B7" s="31">
        <v>1</v>
      </c>
      <c r="C7" s="32">
        <v>1</v>
      </c>
      <c r="D7" s="32">
        <v>1</v>
      </c>
      <c r="E7" s="60">
        <v>0</v>
      </c>
      <c r="G7" s="31">
        <v>1</v>
      </c>
      <c r="H7" s="32">
        <v>1</v>
      </c>
      <c r="I7" s="32">
        <v>1</v>
      </c>
      <c r="J7" s="32">
        <v>1</v>
      </c>
      <c r="K7" s="58">
        <v>0</v>
      </c>
      <c r="L7"/>
      <c r="M7" s="31">
        <v>1</v>
      </c>
      <c r="N7" s="32">
        <v>1</v>
      </c>
      <c r="O7" s="32">
        <v>1</v>
      </c>
      <c r="P7" s="53">
        <f>SUM(K7,K9,K11)</f>
        <v>0</v>
      </c>
      <c r="Q7" s="41" t="s">
        <v>13</v>
      </c>
      <c r="R7" s="51">
        <f t="shared" ref="R7:R24" si="0">DVToProd</f>
        <v>0</v>
      </c>
      <c r="T7" s="31">
        <v>1</v>
      </c>
      <c r="U7" s="32">
        <v>1</v>
      </c>
      <c r="V7" s="32">
        <v>1</v>
      </c>
      <c r="W7" s="53">
        <f>Model!E7*ResNeeded!D6+Model!E13*ResNeeded!$D$7+Model!E19*ResNeeded!$D$8</f>
        <v>100000</v>
      </c>
      <c r="X7" s="13" t="s">
        <v>13</v>
      </c>
      <c r="Y7" s="56">
        <f>AvailRes!E6</f>
        <v>100000</v>
      </c>
      <c r="AA7" s="31">
        <v>1</v>
      </c>
      <c r="AB7" s="32">
        <v>1</v>
      </c>
      <c r="AC7" s="43">
        <v>1</v>
      </c>
      <c r="AD7" s="53">
        <f>InitialInv!D6+E7-P7</f>
        <v>1000</v>
      </c>
      <c r="AE7" s="13" t="s">
        <v>12</v>
      </c>
      <c r="AF7" s="51">
        <v>0</v>
      </c>
      <c r="AH7" s="21">
        <v>1</v>
      </c>
      <c r="AI7" s="22">
        <v>1</v>
      </c>
      <c r="AJ7" s="22">
        <v>1</v>
      </c>
      <c r="AK7" s="45">
        <f t="shared" ref="AK7:AK12" si="1">SUM(K7,K13,K19)</f>
        <v>1333</v>
      </c>
      <c r="AL7" s="13" t="s">
        <v>12</v>
      </c>
      <c r="AM7" s="48">
        <f>Demand!E6</f>
        <v>1333</v>
      </c>
      <c r="AO7" s="31">
        <v>1</v>
      </c>
      <c r="AP7" s="32">
        <v>1</v>
      </c>
      <c r="AQ7" s="32">
        <v>1</v>
      </c>
      <c r="AR7" s="66">
        <f>SUM(K7:K8)*ShippingCost!E6</f>
        <v>0</v>
      </c>
      <c r="AT7" s="31">
        <v>1</v>
      </c>
      <c r="AU7" s="32">
        <v>1</v>
      </c>
      <c r="AV7" s="43">
        <v>1</v>
      </c>
      <c r="AW7" s="62">
        <f>AD7*HoldingCost!$D$6</f>
        <v>500</v>
      </c>
      <c r="AY7" s="31">
        <v>1</v>
      </c>
      <c r="AZ7" s="32">
        <v>1</v>
      </c>
      <c r="BA7" s="32">
        <v>1</v>
      </c>
      <c r="BB7" s="62">
        <f>E7*ProductionCost!E6</f>
        <v>0</v>
      </c>
      <c r="BD7" s="65">
        <f>SUM(OFShipCost,OFHoldCost,OFProdCost)</f>
        <v>23558.399999999998</v>
      </c>
    </row>
    <row r="8" spans="2:56" x14ac:dyDescent="0.2">
      <c r="B8" s="34"/>
      <c r="C8" s="29"/>
      <c r="D8" s="29">
        <v>2</v>
      </c>
      <c r="E8" s="61">
        <v>3867</v>
      </c>
      <c r="G8" s="23"/>
      <c r="H8" s="18"/>
      <c r="I8" s="18"/>
      <c r="J8" s="18">
        <v>2</v>
      </c>
      <c r="K8" s="59">
        <v>0</v>
      </c>
      <c r="L8"/>
      <c r="M8" s="34"/>
      <c r="N8" s="29"/>
      <c r="O8" s="29">
        <v>2</v>
      </c>
      <c r="P8" s="54">
        <f>SUM(K8,K10,K12)</f>
        <v>3867</v>
      </c>
      <c r="Q8" s="41" t="s">
        <v>13</v>
      </c>
      <c r="R8" s="52">
        <f t="shared" si="0"/>
        <v>3867</v>
      </c>
      <c r="T8" s="34"/>
      <c r="U8" s="29"/>
      <c r="V8" s="29">
        <v>2</v>
      </c>
      <c r="W8" s="54">
        <f>E8*ResNeeded!$D$6+Model!E14*ResNeeded!$D$7+Model!E20*ResNeeded!$D$8</f>
        <v>100000</v>
      </c>
      <c r="X8" s="13" t="s">
        <v>13</v>
      </c>
      <c r="Y8" s="57">
        <f>AvailRes!E7</f>
        <v>100000</v>
      </c>
      <c r="AA8" s="34"/>
      <c r="AB8" s="29"/>
      <c r="AC8" s="44">
        <v>2</v>
      </c>
      <c r="AD8" s="54">
        <f>AD7+E8-P8</f>
        <v>1000</v>
      </c>
      <c r="AE8" s="13" t="s">
        <v>12</v>
      </c>
      <c r="AF8" s="52">
        <v>0</v>
      </c>
      <c r="AH8" s="23"/>
      <c r="AI8" s="18"/>
      <c r="AJ8" s="18">
        <v>2</v>
      </c>
      <c r="AK8" s="46">
        <f t="shared" si="1"/>
        <v>2000</v>
      </c>
      <c r="AL8" s="13" t="s">
        <v>12</v>
      </c>
      <c r="AM8" s="49">
        <f>Demand!E7</f>
        <v>2000</v>
      </c>
      <c r="AO8" s="34"/>
      <c r="AP8" s="29"/>
      <c r="AQ8" s="29">
        <v>2</v>
      </c>
      <c r="AR8" s="67">
        <f>SUM(K9:K10)*ShippingCost!E7</f>
        <v>280.05</v>
      </c>
      <c r="AT8" s="34"/>
      <c r="AU8" s="29"/>
      <c r="AV8" s="44">
        <v>2</v>
      </c>
      <c r="AW8" s="63">
        <f>AD8*HoldingCost!$D$7</f>
        <v>500</v>
      </c>
      <c r="AY8" s="34"/>
      <c r="AZ8" s="29"/>
      <c r="BA8" s="29">
        <v>2</v>
      </c>
      <c r="BB8" s="63">
        <f>E8*ProductionCost!E7</f>
        <v>966.75</v>
      </c>
    </row>
    <row r="9" spans="2:56" x14ac:dyDescent="0.2">
      <c r="B9" s="34"/>
      <c r="C9" s="29">
        <v>2</v>
      </c>
      <c r="D9" s="29">
        <v>1</v>
      </c>
      <c r="E9" s="61">
        <v>3999</v>
      </c>
      <c r="G9" s="42"/>
      <c r="H9" s="38"/>
      <c r="I9" s="29">
        <v>2</v>
      </c>
      <c r="J9" s="29">
        <v>1</v>
      </c>
      <c r="K9" s="59">
        <v>0</v>
      </c>
      <c r="L9"/>
      <c r="M9" s="34"/>
      <c r="N9" s="29">
        <v>2</v>
      </c>
      <c r="O9" s="29">
        <v>1</v>
      </c>
      <c r="P9" s="54">
        <f>SUM(K13,K15,K17)</f>
        <v>3999</v>
      </c>
      <c r="Q9" s="41" t="s">
        <v>13</v>
      </c>
      <c r="R9" s="52">
        <f t="shared" si="0"/>
        <v>3999</v>
      </c>
      <c r="T9" s="34"/>
      <c r="U9" s="29">
        <v>2</v>
      </c>
      <c r="V9" s="29">
        <v>1</v>
      </c>
      <c r="W9" s="54">
        <f>E9*ResNeeded!$D$6+Model!E15*ResNeeded!$D$7+Model!E21*ResNeeded!$D$8</f>
        <v>62640</v>
      </c>
      <c r="X9" s="13" t="s">
        <v>13</v>
      </c>
      <c r="Y9" s="57">
        <f>AvailRes!E8</f>
        <v>100000</v>
      </c>
      <c r="AA9" s="34"/>
      <c r="AB9" s="29">
        <v>2</v>
      </c>
      <c r="AC9" s="44">
        <v>1</v>
      </c>
      <c r="AD9" s="54">
        <f>InitialInv!D7+E9-P9</f>
        <v>1000</v>
      </c>
      <c r="AE9" s="13" t="s">
        <v>12</v>
      </c>
      <c r="AF9" s="52">
        <v>0</v>
      </c>
      <c r="AH9" s="23"/>
      <c r="AI9" s="18">
        <v>2</v>
      </c>
      <c r="AJ9" s="18">
        <v>1</v>
      </c>
      <c r="AK9" s="46">
        <f t="shared" si="1"/>
        <v>1333</v>
      </c>
      <c r="AL9" s="13" t="s">
        <v>12</v>
      </c>
      <c r="AM9" s="49">
        <f>Demand!E8</f>
        <v>1333</v>
      </c>
      <c r="AO9" s="34"/>
      <c r="AP9" s="29"/>
      <c r="AQ9" s="29">
        <v>3</v>
      </c>
      <c r="AR9" s="67">
        <f>SUM(K11:K12)*ShippingCost!E8</f>
        <v>300</v>
      </c>
      <c r="AT9" s="34"/>
      <c r="AU9" s="29">
        <v>2</v>
      </c>
      <c r="AV9" s="44">
        <v>1</v>
      </c>
      <c r="AW9" s="63">
        <f>AD9*HoldingCost!$D$6</f>
        <v>500</v>
      </c>
      <c r="AY9" s="34"/>
      <c r="AZ9" s="29">
        <v>2</v>
      </c>
      <c r="BA9" s="29">
        <v>1</v>
      </c>
      <c r="BB9" s="63">
        <f>E9*ProductionCost!E8</f>
        <v>999.75</v>
      </c>
    </row>
    <row r="10" spans="2:56" x14ac:dyDescent="0.2">
      <c r="B10" s="34"/>
      <c r="C10" s="29"/>
      <c r="D10" s="29">
        <v>2</v>
      </c>
      <c r="E10" s="61">
        <v>2001</v>
      </c>
      <c r="G10" s="23"/>
      <c r="H10" s="18"/>
      <c r="I10" s="18"/>
      <c r="J10" s="18">
        <v>2</v>
      </c>
      <c r="K10" s="59">
        <v>1867</v>
      </c>
      <c r="L10"/>
      <c r="M10" s="34"/>
      <c r="N10" s="29"/>
      <c r="O10" s="29">
        <v>2</v>
      </c>
      <c r="P10" s="54">
        <f>SUM(K14,K16,K18)</f>
        <v>2001</v>
      </c>
      <c r="Q10" s="41" t="s">
        <v>13</v>
      </c>
      <c r="R10" s="52">
        <f t="shared" si="0"/>
        <v>2001</v>
      </c>
      <c r="T10" s="34"/>
      <c r="U10" s="29"/>
      <c r="V10" s="29">
        <v>2</v>
      </c>
      <c r="W10" s="54">
        <f>E10*ResNeeded!$D$6+Model!E16*ResNeeded!$D$7+Model!E22*ResNeeded!$D$8</f>
        <v>100000</v>
      </c>
      <c r="X10" s="13" t="s">
        <v>13</v>
      </c>
      <c r="Y10" s="57">
        <f>AvailRes!E9</f>
        <v>100000</v>
      </c>
      <c r="AA10" s="34"/>
      <c r="AB10" s="29"/>
      <c r="AC10" s="44">
        <v>2</v>
      </c>
      <c r="AD10" s="54">
        <f>AD9+E10-P10</f>
        <v>1000</v>
      </c>
      <c r="AE10" s="13" t="s">
        <v>12</v>
      </c>
      <c r="AF10" s="52">
        <v>0</v>
      </c>
      <c r="AH10" s="23"/>
      <c r="AI10" s="18"/>
      <c r="AJ10" s="18">
        <v>2</v>
      </c>
      <c r="AK10" s="46">
        <f t="shared" si="1"/>
        <v>2000</v>
      </c>
      <c r="AL10" s="13" t="s">
        <v>12</v>
      </c>
      <c r="AM10" s="49">
        <f>Demand!E9</f>
        <v>2000</v>
      </c>
      <c r="AO10" s="34"/>
      <c r="AP10" s="29">
        <v>2</v>
      </c>
      <c r="AQ10" s="29">
        <v>1</v>
      </c>
      <c r="AR10" s="67">
        <f>SUM(K13:K14)*ShippingCost!E9</f>
        <v>480.15</v>
      </c>
      <c r="AT10" s="34"/>
      <c r="AU10" s="29"/>
      <c r="AV10" s="44">
        <v>2</v>
      </c>
      <c r="AW10" s="63">
        <f>AD10*HoldingCost!$D$7</f>
        <v>500</v>
      </c>
      <c r="AY10" s="34"/>
      <c r="AZ10" s="29"/>
      <c r="BA10" s="29">
        <v>2</v>
      </c>
      <c r="BB10" s="63">
        <f>E10*ProductionCost!E9</f>
        <v>500.25</v>
      </c>
    </row>
    <row r="11" spans="2:56" x14ac:dyDescent="0.2">
      <c r="B11" s="34"/>
      <c r="C11" s="29">
        <v>3</v>
      </c>
      <c r="D11" s="29">
        <v>1</v>
      </c>
      <c r="E11" s="61">
        <v>0</v>
      </c>
      <c r="G11" s="23"/>
      <c r="H11" s="18"/>
      <c r="I11" s="29">
        <v>3</v>
      </c>
      <c r="J11" s="29">
        <v>1</v>
      </c>
      <c r="K11" s="59">
        <v>0</v>
      </c>
      <c r="L11"/>
      <c r="M11" s="34"/>
      <c r="N11" s="29">
        <v>3</v>
      </c>
      <c r="O11" s="29">
        <v>1</v>
      </c>
      <c r="P11" s="54">
        <f>SUM(K19,K21,K23)</f>
        <v>0</v>
      </c>
      <c r="Q11" s="41" t="s">
        <v>13</v>
      </c>
      <c r="R11" s="52">
        <f t="shared" si="0"/>
        <v>0</v>
      </c>
      <c r="T11" s="34"/>
      <c r="U11" s="29">
        <v>3</v>
      </c>
      <c r="V11" s="29">
        <v>1</v>
      </c>
      <c r="W11" s="54">
        <f>E11*ResNeeded!$D$6+Model!E17*ResNeeded!$D$7+Model!E23*ResNeeded!$D$8</f>
        <v>0</v>
      </c>
      <c r="X11" s="13" t="s">
        <v>13</v>
      </c>
      <c r="Y11" s="57">
        <f>AvailRes!E10</f>
        <v>100000</v>
      </c>
      <c r="AA11" s="34"/>
      <c r="AB11" s="29">
        <v>3</v>
      </c>
      <c r="AC11" s="44">
        <v>1</v>
      </c>
      <c r="AD11" s="54">
        <f>InitialInv!D8+E11-P11</f>
        <v>1000</v>
      </c>
      <c r="AE11" s="13" t="s">
        <v>12</v>
      </c>
      <c r="AF11" s="52">
        <v>0</v>
      </c>
      <c r="AH11" s="23"/>
      <c r="AI11" s="18">
        <v>3</v>
      </c>
      <c r="AJ11" s="18">
        <v>1</v>
      </c>
      <c r="AK11" s="46">
        <f t="shared" si="1"/>
        <v>1333</v>
      </c>
      <c r="AL11" s="13" t="s">
        <v>12</v>
      </c>
      <c r="AM11" s="49">
        <f>Demand!E10</f>
        <v>1333</v>
      </c>
      <c r="AO11" s="34"/>
      <c r="AP11" s="29"/>
      <c r="AQ11" s="29">
        <v>2</v>
      </c>
      <c r="AR11" s="67">
        <f>SUM(K15:K16)*ShippingCost!E10</f>
        <v>219.9</v>
      </c>
      <c r="AT11" s="34"/>
      <c r="AU11" s="29">
        <v>3</v>
      </c>
      <c r="AV11" s="44">
        <v>1</v>
      </c>
      <c r="AW11" s="63">
        <f>AD11*HoldingCost!$D$6</f>
        <v>500</v>
      </c>
      <c r="AY11" s="34"/>
      <c r="AZ11" s="29">
        <v>3</v>
      </c>
      <c r="BA11" s="29">
        <v>1</v>
      </c>
      <c r="BB11" s="63">
        <f>E11*ProductionCost!E10</f>
        <v>0</v>
      </c>
    </row>
    <row r="12" spans="2:56" ht="13.5" thickBot="1" x14ac:dyDescent="0.25">
      <c r="B12" s="23"/>
      <c r="C12" s="29"/>
      <c r="D12" s="29">
        <v>2</v>
      </c>
      <c r="E12" s="59">
        <v>132</v>
      </c>
      <c r="F12"/>
      <c r="G12" s="23"/>
      <c r="H12" s="18"/>
      <c r="I12" s="18"/>
      <c r="J12" s="18">
        <v>2</v>
      </c>
      <c r="K12" s="59">
        <v>2000</v>
      </c>
      <c r="L12"/>
      <c r="M12" s="23"/>
      <c r="N12" s="29"/>
      <c r="O12" s="29">
        <v>2</v>
      </c>
      <c r="P12" s="54">
        <f>SUM(K20,K22,K24)</f>
        <v>132</v>
      </c>
      <c r="Q12" s="41" t="s">
        <v>13</v>
      </c>
      <c r="R12" s="52">
        <f t="shared" si="0"/>
        <v>132</v>
      </c>
      <c r="T12" s="23"/>
      <c r="U12" s="29"/>
      <c r="V12" s="29">
        <v>2</v>
      </c>
      <c r="W12" s="54">
        <f>E12*ResNeeded!$D$6+Model!E18*ResNeeded!$D$7+Model!E24*ResNeeded!$D$8</f>
        <v>1320</v>
      </c>
      <c r="X12" s="13" t="s">
        <v>13</v>
      </c>
      <c r="Y12" s="57">
        <f>AvailRes!E11</f>
        <v>100000</v>
      </c>
      <c r="AA12" s="34"/>
      <c r="AB12" s="29"/>
      <c r="AC12" s="44">
        <v>2</v>
      </c>
      <c r="AD12" s="54">
        <f>AD11+E12-P12</f>
        <v>1000</v>
      </c>
      <c r="AE12" s="13" t="s">
        <v>12</v>
      </c>
      <c r="AF12" s="52">
        <v>0</v>
      </c>
      <c r="AH12" s="23"/>
      <c r="AI12" s="18"/>
      <c r="AJ12" s="18">
        <v>2</v>
      </c>
      <c r="AK12" s="46">
        <f t="shared" si="1"/>
        <v>2000</v>
      </c>
      <c r="AL12" s="13" t="s">
        <v>12</v>
      </c>
      <c r="AM12" s="49">
        <f>Demand!E11</f>
        <v>2000</v>
      </c>
      <c r="AO12" s="34"/>
      <c r="AP12" s="29"/>
      <c r="AQ12" s="29">
        <v>3</v>
      </c>
      <c r="AR12" s="67">
        <f>SUM(K17:K18)*ShippingCost!E11</f>
        <v>199.95</v>
      </c>
      <c r="AT12" s="34"/>
      <c r="AU12" s="29"/>
      <c r="AV12" s="44">
        <v>2</v>
      </c>
      <c r="AW12" s="63">
        <f>AD12*HoldingCost!$D$7</f>
        <v>500</v>
      </c>
      <c r="AY12" s="34"/>
      <c r="AZ12" s="29"/>
      <c r="BA12" s="29">
        <v>2</v>
      </c>
      <c r="BB12" s="63">
        <f>E12*ProductionCost!E11</f>
        <v>33</v>
      </c>
    </row>
    <row r="13" spans="2:56" x14ac:dyDescent="0.2">
      <c r="B13" s="31">
        <v>2</v>
      </c>
      <c r="C13" s="32">
        <v>1</v>
      </c>
      <c r="D13" s="32">
        <v>1</v>
      </c>
      <c r="E13" s="60">
        <v>2401</v>
      </c>
      <c r="F13"/>
      <c r="G13" s="23"/>
      <c r="H13" s="29">
        <v>2</v>
      </c>
      <c r="I13" s="29">
        <v>1</v>
      </c>
      <c r="J13" s="29">
        <v>1</v>
      </c>
      <c r="K13" s="59">
        <v>1333</v>
      </c>
      <c r="L13"/>
      <c r="M13" s="31">
        <v>2</v>
      </c>
      <c r="N13" s="32">
        <v>1</v>
      </c>
      <c r="O13" s="32">
        <v>1</v>
      </c>
      <c r="P13" s="53">
        <f>SUM(K25,K27,K29)</f>
        <v>2401</v>
      </c>
      <c r="Q13" s="41" t="s">
        <v>13</v>
      </c>
      <c r="R13" s="52">
        <f t="shared" si="0"/>
        <v>2401</v>
      </c>
      <c r="T13" s="31">
        <v>2</v>
      </c>
      <c r="U13" s="32">
        <v>1</v>
      </c>
      <c r="V13" s="32">
        <v>1</v>
      </c>
      <c r="W13" s="53">
        <f>E7*ResNeeded!D9+E13*ResNeeded!$D$10+E19*ResNeeded!$D$11</f>
        <v>100000</v>
      </c>
      <c r="X13" s="13" t="s">
        <v>13</v>
      </c>
      <c r="Y13" s="57">
        <f>AvailRes!E12</f>
        <v>100000</v>
      </c>
      <c r="AA13" s="31">
        <v>2</v>
      </c>
      <c r="AB13" s="32">
        <v>1</v>
      </c>
      <c r="AC13" s="43">
        <v>1</v>
      </c>
      <c r="AD13" s="55">
        <f>InitialInv!D9+E13-P13</f>
        <v>1000</v>
      </c>
      <c r="AE13" s="13" t="s">
        <v>12</v>
      </c>
      <c r="AF13" s="52">
        <v>0</v>
      </c>
      <c r="AH13" s="21">
        <v>2</v>
      </c>
      <c r="AI13" s="22">
        <v>1</v>
      </c>
      <c r="AJ13" s="22">
        <v>1</v>
      </c>
      <c r="AK13" s="47">
        <f t="shared" ref="AK13:AK18" si="2">SUM(K25,K31,K37)</f>
        <v>1333</v>
      </c>
      <c r="AL13" s="13" t="s">
        <v>12</v>
      </c>
      <c r="AM13" s="50">
        <f>Demand!E12</f>
        <v>1333</v>
      </c>
      <c r="AO13" s="34"/>
      <c r="AP13" s="29">
        <v>3</v>
      </c>
      <c r="AQ13" s="29">
        <v>1</v>
      </c>
      <c r="AR13" s="67">
        <f>SUM(K19:K20)*ShippingCost!E12</f>
        <v>19.8</v>
      </c>
      <c r="AT13" s="31">
        <v>2</v>
      </c>
      <c r="AU13" s="32">
        <v>1</v>
      </c>
      <c r="AV13" s="43">
        <v>1</v>
      </c>
      <c r="AW13" s="62">
        <f>AD13*HoldingCost!$D$8</f>
        <v>500</v>
      </c>
      <c r="AY13" s="31">
        <v>2</v>
      </c>
      <c r="AZ13" s="32">
        <v>1</v>
      </c>
      <c r="BA13" s="32">
        <v>1</v>
      </c>
      <c r="BB13" s="63">
        <f>E13*ProductionCost!E12</f>
        <v>600.25</v>
      </c>
    </row>
    <row r="14" spans="2:56" x14ac:dyDescent="0.2">
      <c r="B14" s="34"/>
      <c r="C14" s="29"/>
      <c r="D14" s="29">
        <v>2</v>
      </c>
      <c r="E14" s="61">
        <v>6133</v>
      </c>
      <c r="F14"/>
      <c r="G14" s="23"/>
      <c r="H14" s="18"/>
      <c r="I14" s="18"/>
      <c r="J14" s="18">
        <v>2</v>
      </c>
      <c r="K14" s="59">
        <v>1868</v>
      </c>
      <c r="L14"/>
      <c r="M14" s="34"/>
      <c r="N14" s="29"/>
      <c r="O14" s="29">
        <v>2</v>
      </c>
      <c r="P14" s="54">
        <f>SUM(K26,K28,K30)</f>
        <v>6133</v>
      </c>
      <c r="Q14" s="41" t="s">
        <v>13</v>
      </c>
      <c r="R14" s="52">
        <f t="shared" si="0"/>
        <v>6133</v>
      </c>
      <c r="T14" s="34"/>
      <c r="U14" s="29"/>
      <c r="V14" s="29">
        <v>2</v>
      </c>
      <c r="W14" s="54">
        <f>E8*ResNeeded!$D$9+E14*ResNeeded!$D$10+E20*ResNeeded!$D$11</f>
        <v>100000</v>
      </c>
      <c r="X14" s="13" t="s">
        <v>13</v>
      </c>
      <c r="Y14" s="57">
        <f>AvailRes!E13</f>
        <v>100000</v>
      </c>
      <c r="AA14" s="34"/>
      <c r="AB14" s="29"/>
      <c r="AC14" s="44">
        <v>2</v>
      </c>
      <c r="AD14" s="54">
        <f>AD13+E14-P14</f>
        <v>1000</v>
      </c>
      <c r="AE14" s="13" t="s">
        <v>12</v>
      </c>
      <c r="AF14" s="52">
        <v>0</v>
      </c>
      <c r="AH14" s="23"/>
      <c r="AI14" s="18"/>
      <c r="AJ14" s="18">
        <v>2</v>
      </c>
      <c r="AK14" s="46">
        <f t="shared" si="2"/>
        <v>2000</v>
      </c>
      <c r="AL14" s="13" t="s">
        <v>12</v>
      </c>
      <c r="AM14" s="49">
        <f>Demand!E13</f>
        <v>2000</v>
      </c>
      <c r="AO14" s="34"/>
      <c r="AP14" s="29"/>
      <c r="AQ14" s="29">
        <v>2</v>
      </c>
      <c r="AR14" s="67">
        <f>SUM(K21:K22)*ShippingCost!E13</f>
        <v>0</v>
      </c>
      <c r="AT14" s="34"/>
      <c r="AU14" s="29"/>
      <c r="AV14" s="44">
        <v>2</v>
      </c>
      <c r="AW14" s="63">
        <f>AD14*HoldingCost!$D$9</f>
        <v>500</v>
      </c>
      <c r="AY14" s="34"/>
      <c r="AZ14" s="29"/>
      <c r="BA14" s="29">
        <v>2</v>
      </c>
      <c r="BB14" s="63">
        <f>E14*ProductionCost!E13</f>
        <v>1533.25</v>
      </c>
    </row>
    <row r="15" spans="2:56" ht="13.5" thickBot="1" x14ac:dyDescent="0.25">
      <c r="B15" s="34"/>
      <c r="C15" s="29">
        <v>2</v>
      </c>
      <c r="D15" s="29">
        <v>1</v>
      </c>
      <c r="E15" s="61">
        <v>2265</v>
      </c>
      <c r="F15"/>
      <c r="G15" s="23"/>
      <c r="H15" s="38"/>
      <c r="I15" s="29">
        <v>2</v>
      </c>
      <c r="J15" s="29">
        <v>1</v>
      </c>
      <c r="K15" s="59">
        <v>1333</v>
      </c>
      <c r="L15"/>
      <c r="M15" s="34"/>
      <c r="N15" s="29">
        <v>2</v>
      </c>
      <c r="O15" s="29">
        <v>1</v>
      </c>
      <c r="P15" s="54">
        <f>SUM(K31,K33,K35)</f>
        <v>2265</v>
      </c>
      <c r="Q15" s="41" t="s">
        <v>13</v>
      </c>
      <c r="R15" s="52">
        <f t="shared" si="0"/>
        <v>2265</v>
      </c>
      <c r="T15" s="34"/>
      <c r="U15" s="29">
        <v>2</v>
      </c>
      <c r="V15" s="29">
        <v>1</v>
      </c>
      <c r="W15" s="54">
        <f>E9*ResNeeded!$D$9+E15*ResNeeded!$D$10+E21*ResNeeded!$D$11</f>
        <v>62640</v>
      </c>
      <c r="X15" s="13" t="s">
        <v>13</v>
      </c>
      <c r="Y15" s="57">
        <f>AvailRes!E14</f>
        <v>100000</v>
      </c>
      <c r="AA15" s="34"/>
      <c r="AB15" s="29">
        <v>2</v>
      </c>
      <c r="AC15" s="44">
        <v>1</v>
      </c>
      <c r="AD15" s="54">
        <f>InitialInv!D10+E15-P15</f>
        <v>1000</v>
      </c>
      <c r="AE15" s="13" t="s">
        <v>12</v>
      </c>
      <c r="AF15" s="52">
        <v>0</v>
      </c>
      <c r="AH15" s="23"/>
      <c r="AI15" s="18">
        <v>2</v>
      </c>
      <c r="AJ15" s="18">
        <v>1</v>
      </c>
      <c r="AK15" s="46">
        <f t="shared" si="2"/>
        <v>1333</v>
      </c>
      <c r="AL15" s="13" t="s">
        <v>12</v>
      </c>
      <c r="AM15" s="49">
        <f>Demand!E14</f>
        <v>1333</v>
      </c>
      <c r="AO15" s="34"/>
      <c r="AP15" s="29"/>
      <c r="AQ15" s="29">
        <v>3</v>
      </c>
      <c r="AR15" s="67">
        <f>SUM(K23:K24)*ShippingCost!E14</f>
        <v>0</v>
      </c>
      <c r="AT15" s="34"/>
      <c r="AU15" s="29">
        <v>2</v>
      </c>
      <c r="AV15" s="44">
        <v>1</v>
      </c>
      <c r="AW15" s="63">
        <f>AD15*HoldingCost!$D$8</f>
        <v>500</v>
      </c>
      <c r="AY15" s="34"/>
      <c r="AZ15" s="29">
        <v>2</v>
      </c>
      <c r="BA15" s="29">
        <v>1</v>
      </c>
      <c r="BB15" s="63">
        <f>E15*ProductionCost!E14</f>
        <v>566.25</v>
      </c>
    </row>
    <row r="16" spans="2:56" x14ac:dyDescent="0.2">
      <c r="B16" s="34"/>
      <c r="C16" s="29"/>
      <c r="D16" s="29">
        <v>2</v>
      </c>
      <c r="E16" s="61">
        <v>0</v>
      </c>
      <c r="F16"/>
      <c r="G16" s="23"/>
      <c r="H16" s="18"/>
      <c r="I16" s="18"/>
      <c r="J16" s="18">
        <v>2</v>
      </c>
      <c r="K16" s="59">
        <v>133</v>
      </c>
      <c r="L16"/>
      <c r="M16" s="34"/>
      <c r="N16" s="29"/>
      <c r="O16" s="29">
        <v>2</v>
      </c>
      <c r="P16" s="54">
        <f>SUM(K32,K34,K36)</f>
        <v>0</v>
      </c>
      <c r="Q16" s="41" t="s">
        <v>13</v>
      </c>
      <c r="R16" s="52">
        <f t="shared" si="0"/>
        <v>0</v>
      </c>
      <c r="T16" s="34"/>
      <c r="U16" s="29"/>
      <c r="V16" s="29">
        <v>2</v>
      </c>
      <c r="W16" s="54">
        <f>E10*ResNeeded!$D$9+E16*ResNeeded!$D$10+E22*ResNeeded!$D$11</f>
        <v>100000</v>
      </c>
      <c r="X16" s="13" t="s">
        <v>13</v>
      </c>
      <c r="Y16" s="57">
        <f>AvailRes!E15</f>
        <v>100000</v>
      </c>
      <c r="AA16" s="34"/>
      <c r="AB16" s="29"/>
      <c r="AC16" s="44">
        <v>2</v>
      </c>
      <c r="AD16" s="54">
        <f>AD15+E16-P16</f>
        <v>1000</v>
      </c>
      <c r="AE16" s="13" t="s">
        <v>12</v>
      </c>
      <c r="AF16" s="52">
        <v>0</v>
      </c>
      <c r="AH16" s="23"/>
      <c r="AI16" s="18"/>
      <c r="AJ16" s="18">
        <v>2</v>
      </c>
      <c r="AK16" s="46">
        <f t="shared" si="2"/>
        <v>2000</v>
      </c>
      <c r="AL16" s="13" t="s">
        <v>12</v>
      </c>
      <c r="AM16" s="49">
        <f>Demand!E15</f>
        <v>2000</v>
      </c>
      <c r="AO16" s="31">
        <v>2</v>
      </c>
      <c r="AP16" s="32">
        <v>1</v>
      </c>
      <c r="AQ16" s="32">
        <v>1</v>
      </c>
      <c r="AR16" s="66">
        <f>SUM(K25:K26)*ShippingCost!E15</f>
        <v>300</v>
      </c>
      <c r="AT16" s="34"/>
      <c r="AU16" s="29"/>
      <c r="AV16" s="44">
        <v>2</v>
      </c>
      <c r="AW16" s="63">
        <f>AD16*HoldingCost!$D$9</f>
        <v>500</v>
      </c>
      <c r="AY16" s="34"/>
      <c r="AZ16" s="29"/>
      <c r="BA16" s="29">
        <v>2</v>
      </c>
      <c r="BB16" s="63">
        <f>E16*ProductionCost!E15</f>
        <v>0</v>
      </c>
    </row>
    <row r="17" spans="2:54" x14ac:dyDescent="0.2">
      <c r="B17" s="34"/>
      <c r="C17" s="29">
        <v>3</v>
      </c>
      <c r="D17" s="29">
        <v>1</v>
      </c>
      <c r="E17" s="61">
        <v>0</v>
      </c>
      <c r="F17"/>
      <c r="G17" s="23"/>
      <c r="H17" s="18"/>
      <c r="I17" s="29">
        <v>3</v>
      </c>
      <c r="J17" s="29">
        <v>1</v>
      </c>
      <c r="K17" s="59">
        <v>1333</v>
      </c>
      <c r="L17"/>
      <c r="M17" s="34"/>
      <c r="N17" s="29">
        <v>3</v>
      </c>
      <c r="O17" s="29">
        <v>1</v>
      </c>
      <c r="P17" s="54">
        <f>SUM(K37,K39,K41)</f>
        <v>0</v>
      </c>
      <c r="Q17" s="41" t="s">
        <v>13</v>
      </c>
      <c r="R17" s="52">
        <f t="shared" si="0"/>
        <v>0</v>
      </c>
      <c r="T17" s="34"/>
      <c r="U17" s="29">
        <v>3</v>
      </c>
      <c r="V17" s="29">
        <v>1</v>
      </c>
      <c r="W17" s="54">
        <f>E11*ResNeeded!$D$9+E17*ResNeeded!$D$10+E23*ResNeeded!$D$11</f>
        <v>0</v>
      </c>
      <c r="X17" s="13" t="s">
        <v>13</v>
      </c>
      <c r="Y17" s="57">
        <f>AvailRes!E16</f>
        <v>100000</v>
      </c>
      <c r="AA17" s="34"/>
      <c r="AB17" s="29">
        <v>3</v>
      </c>
      <c r="AC17" s="44">
        <v>1</v>
      </c>
      <c r="AD17" s="54">
        <f>InitialInv!D11+E17-P17</f>
        <v>1000</v>
      </c>
      <c r="AE17" s="13" t="s">
        <v>12</v>
      </c>
      <c r="AF17" s="52">
        <v>0</v>
      </c>
      <c r="AH17" s="23"/>
      <c r="AI17" s="18">
        <v>3</v>
      </c>
      <c r="AJ17" s="18">
        <v>1</v>
      </c>
      <c r="AK17" s="46">
        <f t="shared" si="2"/>
        <v>2000</v>
      </c>
      <c r="AL17" s="13" t="s">
        <v>12</v>
      </c>
      <c r="AM17" s="49">
        <f>Demand!E16</f>
        <v>2000</v>
      </c>
      <c r="AO17" s="34"/>
      <c r="AP17" s="29"/>
      <c r="AQ17" s="29">
        <v>2</v>
      </c>
      <c r="AR17" s="67">
        <f>SUM(K27:K28)*ShippingCost!E16</f>
        <v>360.15</v>
      </c>
      <c r="AT17" s="34"/>
      <c r="AU17" s="29">
        <v>3</v>
      </c>
      <c r="AV17" s="44">
        <v>1</v>
      </c>
      <c r="AW17" s="63">
        <f>AD17*HoldingCost!$D$8</f>
        <v>500</v>
      </c>
      <c r="AY17" s="34"/>
      <c r="AZ17" s="29">
        <v>3</v>
      </c>
      <c r="BA17" s="29">
        <v>1</v>
      </c>
      <c r="BB17" s="63">
        <f>E17*ProductionCost!E16</f>
        <v>0</v>
      </c>
    </row>
    <row r="18" spans="2:54" ht="13.5" thickBot="1" x14ac:dyDescent="0.25">
      <c r="B18" s="23"/>
      <c r="C18" s="29"/>
      <c r="D18" s="29">
        <v>2</v>
      </c>
      <c r="E18" s="59">
        <v>0</v>
      </c>
      <c r="F18"/>
      <c r="G18" s="23"/>
      <c r="H18" s="18"/>
      <c r="I18" s="18"/>
      <c r="J18" s="18">
        <v>2</v>
      </c>
      <c r="K18" s="59">
        <v>0</v>
      </c>
      <c r="L18"/>
      <c r="M18" s="23"/>
      <c r="N18" s="29"/>
      <c r="O18" s="29">
        <v>2</v>
      </c>
      <c r="P18" s="54">
        <f>SUM(K38,K40,K42)</f>
        <v>0</v>
      </c>
      <c r="Q18" s="41" t="s">
        <v>13</v>
      </c>
      <c r="R18" s="52">
        <f t="shared" si="0"/>
        <v>0</v>
      </c>
      <c r="T18" s="23"/>
      <c r="U18" s="29"/>
      <c r="V18" s="29">
        <v>2</v>
      </c>
      <c r="W18" s="54">
        <f>E12*ResNeeded!$D$9+E18*ResNeeded!$D$10+E24*ResNeeded!$D$11</f>
        <v>1320</v>
      </c>
      <c r="X18" s="13" t="s">
        <v>13</v>
      </c>
      <c r="Y18" s="57">
        <f>AvailRes!E17</f>
        <v>100000</v>
      </c>
      <c r="AA18" s="34"/>
      <c r="AB18" s="29"/>
      <c r="AC18" s="44">
        <v>2</v>
      </c>
      <c r="AD18" s="54">
        <f>AD17+E18-P18</f>
        <v>1000</v>
      </c>
      <c r="AE18" s="13" t="s">
        <v>12</v>
      </c>
      <c r="AF18" s="52">
        <v>0</v>
      </c>
      <c r="AH18" s="23"/>
      <c r="AI18" s="18"/>
      <c r="AJ18" s="18">
        <v>2</v>
      </c>
      <c r="AK18" s="46">
        <f t="shared" si="2"/>
        <v>2133</v>
      </c>
      <c r="AL18" s="13" t="s">
        <v>12</v>
      </c>
      <c r="AM18" s="49">
        <f>Demand!E17</f>
        <v>2133</v>
      </c>
      <c r="AO18" s="34"/>
      <c r="AP18" s="29"/>
      <c r="AQ18" s="29">
        <v>3</v>
      </c>
      <c r="AR18" s="67">
        <f>SUM(K29:K30)*ShippingCost!E17</f>
        <v>619.94999999999993</v>
      </c>
      <c r="AT18" s="34"/>
      <c r="AU18" s="29"/>
      <c r="AV18" s="44">
        <v>2</v>
      </c>
      <c r="AW18" s="63">
        <f>AD18*HoldingCost!$D$9</f>
        <v>500</v>
      </c>
      <c r="AY18" s="23"/>
      <c r="AZ18" s="29"/>
      <c r="BA18" s="29">
        <v>2</v>
      </c>
      <c r="BB18" s="63">
        <f>E18*ProductionCost!E17</f>
        <v>0</v>
      </c>
    </row>
    <row r="19" spans="2:54" x14ac:dyDescent="0.2">
      <c r="B19" s="31">
        <v>3</v>
      </c>
      <c r="C19" s="32">
        <v>1</v>
      </c>
      <c r="D19" s="32">
        <v>1</v>
      </c>
      <c r="E19" s="60">
        <v>7599</v>
      </c>
      <c r="F19"/>
      <c r="G19" s="23"/>
      <c r="H19" s="29">
        <v>3</v>
      </c>
      <c r="I19" s="29">
        <v>1</v>
      </c>
      <c r="J19" s="29">
        <v>1</v>
      </c>
      <c r="K19" s="59">
        <v>0</v>
      </c>
      <c r="L19"/>
      <c r="M19" s="31">
        <v>3</v>
      </c>
      <c r="N19" s="32">
        <v>1</v>
      </c>
      <c r="O19" s="32">
        <v>1</v>
      </c>
      <c r="P19" s="55">
        <f>SUM(K43,K45,K47)</f>
        <v>7599</v>
      </c>
      <c r="Q19" s="41" t="s">
        <v>13</v>
      </c>
      <c r="R19" s="52">
        <f t="shared" si="0"/>
        <v>7599</v>
      </c>
      <c r="T19" s="31">
        <v>3</v>
      </c>
      <c r="U19" s="32">
        <v>1</v>
      </c>
      <c r="V19" s="32">
        <v>1</v>
      </c>
      <c r="W19" s="53">
        <f>E7*ResNeeded!$D$12+E13*ResNeeded!$D$13+E19*ResNeeded!$D$14</f>
        <v>100000</v>
      </c>
      <c r="X19" s="13" t="s">
        <v>13</v>
      </c>
      <c r="Y19" s="57">
        <f>AvailRes!E18</f>
        <v>100000</v>
      </c>
      <c r="AA19" s="31">
        <v>3</v>
      </c>
      <c r="AB19" s="32">
        <v>1</v>
      </c>
      <c r="AC19" s="43">
        <v>1</v>
      </c>
      <c r="AD19" s="55">
        <f>InitialInv!D12+E19-P19</f>
        <v>1000</v>
      </c>
      <c r="AE19" s="13" t="s">
        <v>12</v>
      </c>
      <c r="AF19" s="52">
        <v>0</v>
      </c>
      <c r="AH19" s="21">
        <v>3</v>
      </c>
      <c r="AI19" s="22">
        <v>1</v>
      </c>
      <c r="AJ19" s="22">
        <v>1</v>
      </c>
      <c r="AK19" s="47">
        <f t="shared" ref="AK19:AK24" si="3">SUM(K43,K49,K55)</f>
        <v>2266</v>
      </c>
      <c r="AL19" s="13" t="s">
        <v>12</v>
      </c>
      <c r="AM19" s="50">
        <f>Demand!E18</f>
        <v>2266</v>
      </c>
      <c r="AO19" s="34"/>
      <c r="AP19" s="29">
        <v>2</v>
      </c>
      <c r="AQ19" s="29">
        <v>1</v>
      </c>
      <c r="AR19" s="67">
        <f>SUM(K31:K32)*ShippingCost!E18</f>
        <v>199.95</v>
      </c>
      <c r="AT19" s="31">
        <v>3</v>
      </c>
      <c r="AU19" s="32">
        <v>1</v>
      </c>
      <c r="AV19" s="43">
        <v>1</v>
      </c>
      <c r="AW19" s="62">
        <f>AD19*HoldingCost!$D$10</f>
        <v>500</v>
      </c>
      <c r="AY19" s="31">
        <v>3</v>
      </c>
      <c r="AZ19" s="32">
        <v>1</v>
      </c>
      <c r="BA19" s="32">
        <v>1</v>
      </c>
      <c r="BB19" s="63">
        <f>E19*ProductionCost!E18</f>
        <v>1899.75</v>
      </c>
    </row>
    <row r="20" spans="2:54" x14ac:dyDescent="0.2">
      <c r="B20" s="34"/>
      <c r="C20" s="29"/>
      <c r="D20" s="29">
        <v>2</v>
      </c>
      <c r="E20" s="61">
        <v>0</v>
      </c>
      <c r="F20"/>
      <c r="G20" s="42"/>
      <c r="H20" s="18"/>
      <c r="I20" s="18"/>
      <c r="J20" s="18">
        <v>2</v>
      </c>
      <c r="K20" s="59">
        <v>132</v>
      </c>
      <c r="L20"/>
      <c r="M20" s="34"/>
      <c r="N20" s="29"/>
      <c r="O20" s="29">
        <v>2</v>
      </c>
      <c r="P20" s="55">
        <f>SUM(K44,K46,K48)</f>
        <v>0</v>
      </c>
      <c r="Q20" s="41" t="s">
        <v>13</v>
      </c>
      <c r="R20" s="52">
        <f t="shared" si="0"/>
        <v>0</v>
      </c>
      <c r="T20" s="34"/>
      <c r="U20" s="29"/>
      <c r="V20" s="29">
        <v>2</v>
      </c>
      <c r="W20" s="54">
        <f>E8*ResNeeded!$D$12+E14*ResNeeded!$D$13+E20*ResNeeded!$D$14</f>
        <v>100000</v>
      </c>
      <c r="X20" s="13" t="s">
        <v>13</v>
      </c>
      <c r="Y20" s="57">
        <f>AvailRes!E19</f>
        <v>100000</v>
      </c>
      <c r="AA20" s="34"/>
      <c r="AB20" s="29"/>
      <c r="AC20" s="44">
        <v>2</v>
      </c>
      <c r="AD20" s="54">
        <f>AD19+E20-P20</f>
        <v>1000</v>
      </c>
      <c r="AE20" s="13" t="s">
        <v>12</v>
      </c>
      <c r="AF20" s="52">
        <v>0</v>
      </c>
      <c r="AH20" s="23"/>
      <c r="AI20" s="18"/>
      <c r="AJ20" s="18">
        <v>2</v>
      </c>
      <c r="AK20" s="46">
        <f t="shared" si="3"/>
        <v>2400</v>
      </c>
      <c r="AL20" s="13" t="s">
        <v>12</v>
      </c>
      <c r="AM20" s="49">
        <f>Demand!E19</f>
        <v>2400</v>
      </c>
      <c r="AO20" s="34"/>
      <c r="AP20" s="29"/>
      <c r="AQ20" s="29">
        <v>2</v>
      </c>
      <c r="AR20" s="67">
        <f>SUM(K33:K34)*ShippingCost!E19</f>
        <v>139.79999999999998</v>
      </c>
      <c r="AT20" s="34"/>
      <c r="AU20" s="29"/>
      <c r="AV20" s="44">
        <v>2</v>
      </c>
      <c r="AW20" s="63">
        <f>AD20*HoldingCost!$D$11</f>
        <v>500</v>
      </c>
      <c r="AY20" s="34"/>
      <c r="AZ20" s="29"/>
      <c r="BA20" s="29">
        <v>2</v>
      </c>
      <c r="BB20" s="63">
        <f>E20*ProductionCost!E19</f>
        <v>0</v>
      </c>
    </row>
    <row r="21" spans="2:54" x14ac:dyDescent="0.2">
      <c r="B21" s="34"/>
      <c r="C21" s="29">
        <v>2</v>
      </c>
      <c r="D21" s="29">
        <v>1</v>
      </c>
      <c r="E21" s="61">
        <v>0</v>
      </c>
      <c r="F21"/>
      <c r="G21" s="42"/>
      <c r="H21" s="38"/>
      <c r="I21" s="29">
        <v>2</v>
      </c>
      <c r="J21" s="29">
        <v>1</v>
      </c>
      <c r="K21" s="59">
        <v>0</v>
      </c>
      <c r="L21"/>
      <c r="M21" s="34"/>
      <c r="N21" s="29">
        <v>2</v>
      </c>
      <c r="O21" s="29">
        <v>1</v>
      </c>
      <c r="P21" s="54">
        <f>SUM(K49,K51,K53)</f>
        <v>0</v>
      </c>
      <c r="Q21" s="41" t="s">
        <v>13</v>
      </c>
      <c r="R21" s="52">
        <f t="shared" si="0"/>
        <v>0</v>
      </c>
      <c r="T21" s="34"/>
      <c r="U21" s="29">
        <v>2</v>
      </c>
      <c r="V21" s="29">
        <v>1</v>
      </c>
      <c r="W21" s="54">
        <f>E9*ResNeeded!$D$12+E15*ResNeeded!$D$13+E21*ResNeeded!$D$14</f>
        <v>62640</v>
      </c>
      <c r="X21" s="13" t="s">
        <v>13</v>
      </c>
      <c r="Y21" s="57">
        <f>AvailRes!E20</f>
        <v>100000</v>
      </c>
      <c r="AA21" s="34"/>
      <c r="AB21" s="29">
        <v>2</v>
      </c>
      <c r="AC21" s="44">
        <v>1</v>
      </c>
      <c r="AD21" s="54">
        <f>InitialInv!D13+E21-P21</f>
        <v>1000</v>
      </c>
      <c r="AE21" s="13" t="s">
        <v>12</v>
      </c>
      <c r="AF21" s="52">
        <v>0</v>
      </c>
      <c r="AH21" s="23"/>
      <c r="AI21" s="18">
        <v>2</v>
      </c>
      <c r="AJ21" s="18">
        <v>1</v>
      </c>
      <c r="AK21" s="46">
        <f t="shared" si="3"/>
        <v>2533</v>
      </c>
      <c r="AL21" s="13" t="s">
        <v>12</v>
      </c>
      <c r="AM21" s="49">
        <f>Demand!E20</f>
        <v>2533</v>
      </c>
      <c r="AO21" s="34"/>
      <c r="AP21" s="29"/>
      <c r="AQ21" s="29">
        <v>3</v>
      </c>
      <c r="AR21" s="67">
        <f>SUM(K35:K36)*ShippingCost!E20</f>
        <v>0</v>
      </c>
      <c r="AT21" s="34"/>
      <c r="AU21" s="29">
        <v>2</v>
      </c>
      <c r="AV21" s="44">
        <v>1</v>
      </c>
      <c r="AW21" s="63">
        <f>AD21*HoldingCost!$D$10</f>
        <v>500</v>
      </c>
      <c r="AY21" s="34"/>
      <c r="AZ21" s="29">
        <v>2</v>
      </c>
      <c r="BA21" s="29">
        <v>1</v>
      </c>
      <c r="BB21" s="63">
        <f>E21*ProductionCost!E20</f>
        <v>0</v>
      </c>
    </row>
    <row r="22" spans="2:54" x14ac:dyDescent="0.2">
      <c r="B22" s="34"/>
      <c r="C22" s="29"/>
      <c r="D22" s="29">
        <v>2</v>
      </c>
      <c r="E22" s="61">
        <v>7999</v>
      </c>
      <c r="F22"/>
      <c r="G22" s="42"/>
      <c r="H22" s="18"/>
      <c r="I22" s="18"/>
      <c r="J22" s="18">
        <v>2</v>
      </c>
      <c r="K22" s="59">
        <v>0</v>
      </c>
      <c r="L22"/>
      <c r="M22" s="34"/>
      <c r="N22" s="29"/>
      <c r="O22" s="29">
        <v>2</v>
      </c>
      <c r="P22" s="54">
        <f>SUM(K50,K52,K54)</f>
        <v>7999</v>
      </c>
      <c r="Q22" s="41" t="s">
        <v>13</v>
      </c>
      <c r="R22" s="52">
        <f t="shared" si="0"/>
        <v>7999</v>
      </c>
      <c r="T22" s="34"/>
      <c r="U22" s="29"/>
      <c r="V22" s="29">
        <v>2</v>
      </c>
      <c r="W22" s="54">
        <f>E10*ResNeeded!$D$12+E16*ResNeeded!$D$13+E22*ResNeeded!$D$14</f>
        <v>100000</v>
      </c>
      <c r="X22" s="13" t="s">
        <v>13</v>
      </c>
      <c r="Y22" s="57">
        <f>AvailRes!E21</f>
        <v>100000</v>
      </c>
      <c r="AA22" s="34"/>
      <c r="AB22" s="29"/>
      <c r="AC22" s="44">
        <v>2</v>
      </c>
      <c r="AD22" s="54">
        <f>AD21+E22-P22</f>
        <v>1000</v>
      </c>
      <c r="AE22" s="13" t="s">
        <v>12</v>
      </c>
      <c r="AF22" s="52">
        <v>0</v>
      </c>
      <c r="AH22" s="23"/>
      <c r="AI22" s="18"/>
      <c r="AJ22" s="18">
        <v>2</v>
      </c>
      <c r="AK22" s="46">
        <f t="shared" si="3"/>
        <v>2666</v>
      </c>
      <c r="AL22" s="13" t="s">
        <v>12</v>
      </c>
      <c r="AM22" s="49">
        <f>Demand!E21</f>
        <v>2666</v>
      </c>
      <c r="AO22" s="34"/>
      <c r="AP22" s="29">
        <v>3</v>
      </c>
      <c r="AQ22" s="29">
        <v>1</v>
      </c>
      <c r="AR22" s="67">
        <f>SUM(K37:K38)*ShippingCost!E21</f>
        <v>0</v>
      </c>
      <c r="AT22" s="34"/>
      <c r="AU22" s="29"/>
      <c r="AV22" s="44">
        <v>2</v>
      </c>
      <c r="AW22" s="63">
        <f>AD22*HoldingCost!$D$11</f>
        <v>500</v>
      </c>
      <c r="AY22" s="34"/>
      <c r="AZ22" s="29"/>
      <c r="BA22" s="29">
        <v>2</v>
      </c>
      <c r="BB22" s="63">
        <f>E22*ProductionCost!E21</f>
        <v>1999.75</v>
      </c>
    </row>
    <row r="23" spans="2:54" x14ac:dyDescent="0.2">
      <c r="B23" s="34"/>
      <c r="C23" s="29">
        <v>3</v>
      </c>
      <c r="D23" s="29">
        <v>1</v>
      </c>
      <c r="E23" s="61">
        <v>0</v>
      </c>
      <c r="F23"/>
      <c r="G23" s="42"/>
      <c r="H23" s="18"/>
      <c r="I23" s="29">
        <v>3</v>
      </c>
      <c r="J23" s="29">
        <v>1</v>
      </c>
      <c r="K23" s="59">
        <v>0</v>
      </c>
      <c r="L23"/>
      <c r="M23" s="34"/>
      <c r="N23" s="29">
        <v>3</v>
      </c>
      <c r="O23" s="29">
        <v>1</v>
      </c>
      <c r="P23" s="54">
        <f>SUM(K55,K57,K59)</f>
        <v>0</v>
      </c>
      <c r="Q23" s="41" t="s">
        <v>13</v>
      </c>
      <c r="R23" s="52">
        <f t="shared" si="0"/>
        <v>0</v>
      </c>
      <c r="T23" s="34"/>
      <c r="U23" s="29">
        <v>3</v>
      </c>
      <c r="V23" s="29">
        <v>1</v>
      </c>
      <c r="W23" s="54">
        <f>E11*ResNeeded!$D$12+E17*ResNeeded!$D$13+E23*ResNeeded!$D$14</f>
        <v>0</v>
      </c>
      <c r="X23" s="13" t="s">
        <v>13</v>
      </c>
      <c r="Y23" s="57">
        <f>AvailRes!E22</f>
        <v>100000</v>
      </c>
      <c r="AA23" s="34"/>
      <c r="AB23" s="29">
        <v>3</v>
      </c>
      <c r="AC23" s="44">
        <v>1</v>
      </c>
      <c r="AD23" s="54">
        <f>InitialInv!D14+E23-P23</f>
        <v>1000</v>
      </c>
      <c r="AE23" s="13" t="s">
        <v>12</v>
      </c>
      <c r="AF23" s="52">
        <v>0</v>
      </c>
      <c r="AH23" s="23"/>
      <c r="AI23" s="18">
        <v>3</v>
      </c>
      <c r="AJ23" s="18">
        <v>1</v>
      </c>
      <c r="AK23" s="46">
        <f t="shared" si="3"/>
        <v>2800</v>
      </c>
      <c r="AL23" s="13" t="s">
        <v>12</v>
      </c>
      <c r="AM23" s="49">
        <f>Demand!E22</f>
        <v>2800</v>
      </c>
      <c r="AO23" s="34"/>
      <c r="AP23" s="29"/>
      <c r="AQ23" s="29">
        <v>2</v>
      </c>
      <c r="AR23" s="67">
        <f>SUM(K39:K40)*ShippingCost!E22</f>
        <v>0</v>
      </c>
      <c r="AT23" s="34"/>
      <c r="AU23" s="29">
        <v>3</v>
      </c>
      <c r="AV23" s="44">
        <v>1</v>
      </c>
      <c r="AW23" s="63">
        <f>AD23*HoldingCost!$D$10</f>
        <v>500</v>
      </c>
      <c r="AY23" s="34"/>
      <c r="AZ23" s="29">
        <v>3</v>
      </c>
      <c r="BA23" s="29">
        <v>1</v>
      </c>
      <c r="BB23" s="63">
        <f>E23*ProductionCost!E22</f>
        <v>0</v>
      </c>
    </row>
    <row r="24" spans="2:54" ht="13.5" thickBot="1" x14ac:dyDescent="0.25">
      <c r="B24" s="23"/>
      <c r="C24" s="29"/>
      <c r="D24" s="29">
        <v>2</v>
      </c>
      <c r="E24" s="59">
        <v>0</v>
      </c>
      <c r="F24"/>
      <c r="G24" s="42"/>
      <c r="H24" s="18"/>
      <c r="I24" s="18"/>
      <c r="J24" s="18">
        <v>2</v>
      </c>
      <c r="K24" s="59">
        <v>0</v>
      </c>
      <c r="L24"/>
      <c r="M24" s="23"/>
      <c r="N24" s="29"/>
      <c r="O24" s="29">
        <v>2</v>
      </c>
      <c r="P24" s="54">
        <f>SUM(K56,K58,K60)</f>
        <v>0</v>
      </c>
      <c r="Q24" s="41" t="s">
        <v>13</v>
      </c>
      <c r="R24" s="52">
        <f t="shared" si="0"/>
        <v>0</v>
      </c>
      <c r="T24" s="23"/>
      <c r="U24" s="29"/>
      <c r="V24" s="29">
        <v>2</v>
      </c>
      <c r="W24" s="54">
        <f>E12*ResNeeded!$D$12+E18*ResNeeded!$D$13+E24*ResNeeded!$D$14</f>
        <v>1320</v>
      </c>
      <c r="X24" s="13" t="s">
        <v>13</v>
      </c>
      <c r="Y24" s="57">
        <f>AvailRes!E23</f>
        <v>100000</v>
      </c>
      <c r="AA24" s="34"/>
      <c r="AB24" s="29"/>
      <c r="AC24" s="44">
        <v>2</v>
      </c>
      <c r="AD24" s="54">
        <f>AD23+DVToProd-P24</f>
        <v>1000</v>
      </c>
      <c r="AE24" s="13" t="s">
        <v>12</v>
      </c>
      <c r="AF24" s="52">
        <v>0</v>
      </c>
      <c r="AH24" s="23"/>
      <c r="AI24" s="18"/>
      <c r="AJ24" s="18">
        <v>2</v>
      </c>
      <c r="AK24" s="46">
        <f t="shared" si="3"/>
        <v>2933</v>
      </c>
      <c r="AL24" s="13" t="s">
        <v>12</v>
      </c>
      <c r="AM24" s="49">
        <f>Demand!E23</f>
        <v>2933</v>
      </c>
      <c r="AO24" s="34"/>
      <c r="AP24" s="29"/>
      <c r="AQ24" s="29">
        <v>3</v>
      </c>
      <c r="AR24" s="67">
        <f>SUM(K41:K42)*ShippingCost!E23</f>
        <v>0</v>
      </c>
      <c r="AT24" s="34"/>
      <c r="AU24" s="29"/>
      <c r="AV24" s="44">
        <v>2</v>
      </c>
      <c r="AW24" s="63">
        <f>AD24*HoldingCost!$D$11</f>
        <v>500</v>
      </c>
      <c r="AY24" s="23"/>
      <c r="AZ24" s="29"/>
      <c r="BA24" s="29">
        <v>2</v>
      </c>
      <c r="BB24" s="63">
        <f>E24*ProductionCost!E23</f>
        <v>0</v>
      </c>
    </row>
    <row r="25" spans="2:54" ht="13.5" thickBot="1" x14ac:dyDescent="0.25">
      <c r="B25"/>
      <c r="C25"/>
      <c r="D25"/>
      <c r="E25"/>
      <c r="F25"/>
      <c r="G25" s="31">
        <v>2</v>
      </c>
      <c r="H25" s="32">
        <v>1</v>
      </c>
      <c r="I25" s="32">
        <v>1</v>
      </c>
      <c r="J25" s="32">
        <v>1</v>
      </c>
      <c r="K25" s="58">
        <v>0</v>
      </c>
      <c r="L25"/>
      <c r="AO25" s="31">
        <v>3</v>
      </c>
      <c r="AP25" s="32">
        <v>1</v>
      </c>
      <c r="AQ25" s="32">
        <v>1</v>
      </c>
      <c r="AR25" s="66">
        <f>SUM(K43:K44)*ShippingCost!E24</f>
        <v>339.9</v>
      </c>
    </row>
    <row r="26" spans="2:54" ht="13.5" thickBot="1" x14ac:dyDescent="0.25">
      <c r="B26"/>
      <c r="C26"/>
      <c r="D26"/>
      <c r="E26"/>
      <c r="F26"/>
      <c r="G26" s="23"/>
      <c r="H26" s="18"/>
      <c r="I26" s="18"/>
      <c r="J26" s="18">
        <v>2</v>
      </c>
      <c r="K26" s="59">
        <v>2000</v>
      </c>
      <c r="L26"/>
      <c r="AO26" s="34"/>
      <c r="AP26" s="29"/>
      <c r="AQ26" s="29">
        <v>2</v>
      </c>
      <c r="AR26" s="67">
        <f>SUM(K45:K46)*ShippingCost!E25</f>
        <v>379.95</v>
      </c>
      <c r="AW26" s="64">
        <f>SUM(AW7:AW24)</f>
        <v>9000</v>
      </c>
      <c r="BB26" s="64">
        <f>SUM(BB7:BB24)</f>
        <v>9099</v>
      </c>
    </row>
    <row r="27" spans="2:54" x14ac:dyDescent="0.2">
      <c r="B27"/>
      <c r="C27"/>
      <c r="D27"/>
      <c r="E27"/>
      <c r="F27"/>
      <c r="G27" s="42"/>
      <c r="H27" s="38"/>
      <c r="I27" s="29">
        <v>2</v>
      </c>
      <c r="J27" s="29">
        <v>1</v>
      </c>
      <c r="K27" s="59">
        <v>401</v>
      </c>
      <c r="L27"/>
      <c r="AO27" s="34"/>
      <c r="AP27" s="29"/>
      <c r="AQ27" s="29">
        <v>3</v>
      </c>
      <c r="AR27" s="67">
        <f>SUM(K47:K48)*ShippingCost!E26</f>
        <v>420</v>
      </c>
    </row>
    <row r="28" spans="2:54" x14ac:dyDescent="0.2">
      <c r="B28"/>
      <c r="C28"/>
      <c r="D28"/>
      <c r="E28"/>
      <c r="F28"/>
      <c r="G28" s="23"/>
      <c r="H28" s="18"/>
      <c r="I28" s="18"/>
      <c r="J28" s="18">
        <v>2</v>
      </c>
      <c r="K28" s="59">
        <v>2000</v>
      </c>
      <c r="L28"/>
      <c r="AO28" s="34"/>
      <c r="AP28" s="29">
        <v>2</v>
      </c>
      <c r="AQ28" s="29">
        <v>1</v>
      </c>
      <c r="AR28" s="67">
        <f>SUM(K49:K50)*ShippingCost!E27</f>
        <v>360</v>
      </c>
    </row>
    <row r="29" spans="2:54" x14ac:dyDescent="0.2">
      <c r="B29"/>
      <c r="C29"/>
      <c r="D29"/>
      <c r="E29"/>
      <c r="F29"/>
      <c r="G29" s="23"/>
      <c r="H29" s="18"/>
      <c r="I29" s="29">
        <v>3</v>
      </c>
      <c r="J29" s="29">
        <v>1</v>
      </c>
      <c r="K29" s="59">
        <v>2000</v>
      </c>
      <c r="L29"/>
      <c r="AO29" s="34"/>
      <c r="AP29" s="29"/>
      <c r="AQ29" s="29">
        <v>2</v>
      </c>
      <c r="AR29" s="67">
        <f>SUM(K51:K52)*ShippingCost!E28</f>
        <v>399.9</v>
      </c>
    </row>
    <row r="30" spans="2:54" x14ac:dyDescent="0.2">
      <c r="B30"/>
      <c r="C30"/>
      <c r="D30"/>
      <c r="E30"/>
      <c r="F30"/>
      <c r="G30" s="23"/>
      <c r="H30" s="18"/>
      <c r="I30" s="18"/>
      <c r="J30" s="18">
        <v>2</v>
      </c>
      <c r="K30" s="59">
        <v>2133</v>
      </c>
      <c r="L30"/>
      <c r="AO30" s="34"/>
      <c r="AP30" s="29"/>
      <c r="AQ30" s="29">
        <v>3</v>
      </c>
      <c r="AR30" s="67">
        <f>SUM(K53:K54)*ShippingCost!E29</f>
        <v>439.95</v>
      </c>
    </row>
    <row r="31" spans="2:54" x14ac:dyDescent="0.2">
      <c r="B31"/>
      <c r="C31"/>
      <c r="D31"/>
      <c r="E31"/>
      <c r="F31"/>
      <c r="G31" s="23"/>
      <c r="H31" s="29">
        <v>2</v>
      </c>
      <c r="I31" s="29">
        <v>1</v>
      </c>
      <c r="J31" s="29">
        <v>1</v>
      </c>
      <c r="K31" s="59">
        <v>1333</v>
      </c>
      <c r="L31"/>
      <c r="AO31" s="34"/>
      <c r="AP31" s="29">
        <v>3</v>
      </c>
      <c r="AQ31" s="29">
        <v>1</v>
      </c>
      <c r="AR31" s="67">
        <f>SUM(K55:K56)*ShippingCost!E30</f>
        <v>0</v>
      </c>
    </row>
    <row r="32" spans="2:54" x14ac:dyDescent="0.2">
      <c r="B32"/>
      <c r="C32"/>
      <c r="D32"/>
      <c r="E32"/>
      <c r="F32"/>
      <c r="G32" s="23"/>
      <c r="H32" s="18"/>
      <c r="I32" s="18"/>
      <c r="J32" s="18">
        <v>2</v>
      </c>
      <c r="K32" s="59">
        <v>0</v>
      </c>
      <c r="L32"/>
      <c r="AO32" s="34"/>
      <c r="AP32" s="29"/>
      <c r="AQ32" s="29">
        <v>2</v>
      </c>
      <c r="AR32" s="67">
        <f>SUM(K57:K58)*ShippingCost!E31</f>
        <v>0</v>
      </c>
    </row>
    <row r="33" spans="2:44" x14ac:dyDescent="0.2">
      <c r="B33"/>
      <c r="C33"/>
      <c r="D33"/>
      <c r="E33"/>
      <c r="F33"/>
      <c r="G33" s="23"/>
      <c r="H33" s="38"/>
      <c r="I33" s="29">
        <v>2</v>
      </c>
      <c r="J33" s="29">
        <v>1</v>
      </c>
      <c r="K33" s="59">
        <v>932</v>
      </c>
      <c r="L33"/>
      <c r="AO33" s="34"/>
      <c r="AP33" s="29"/>
      <c r="AQ33" s="29">
        <v>3</v>
      </c>
      <c r="AR33" s="67">
        <f>SUM(K59:K60)*ShippingCost!E32</f>
        <v>0</v>
      </c>
    </row>
    <row r="34" spans="2:44" ht="13.5" thickBot="1" x14ac:dyDescent="0.25">
      <c r="B34"/>
      <c r="C34"/>
      <c r="D34"/>
      <c r="E34"/>
      <c r="F34"/>
      <c r="G34" s="23"/>
      <c r="H34" s="18"/>
      <c r="I34" s="18"/>
      <c r="J34" s="18">
        <v>2</v>
      </c>
      <c r="K34" s="59">
        <v>0</v>
      </c>
      <c r="L34"/>
    </row>
    <row r="35" spans="2:44" ht="13.5" thickBot="1" x14ac:dyDescent="0.25">
      <c r="B35"/>
      <c r="C35"/>
      <c r="D35"/>
      <c r="E35"/>
      <c r="F35"/>
      <c r="G35" s="23"/>
      <c r="H35" s="18"/>
      <c r="I35" s="29">
        <v>3</v>
      </c>
      <c r="J35" s="29">
        <v>1</v>
      </c>
      <c r="K35" s="59">
        <v>0</v>
      </c>
      <c r="L35"/>
      <c r="AR35" s="64">
        <f>SUM(AR7:AR33)</f>
        <v>5459.3999999999987</v>
      </c>
    </row>
    <row r="36" spans="2:44" x14ac:dyDescent="0.2">
      <c r="B36"/>
      <c r="C36"/>
      <c r="D36"/>
      <c r="E36"/>
      <c r="F36"/>
      <c r="G36" s="23"/>
      <c r="H36" s="18"/>
      <c r="I36" s="18"/>
      <c r="J36" s="18">
        <v>2</v>
      </c>
      <c r="K36" s="59">
        <v>0</v>
      </c>
      <c r="L36"/>
    </row>
    <row r="37" spans="2:44" x14ac:dyDescent="0.2">
      <c r="B37"/>
      <c r="C37"/>
      <c r="D37"/>
      <c r="E37"/>
      <c r="F37"/>
      <c r="G37" s="23"/>
      <c r="H37" s="29">
        <v>3</v>
      </c>
      <c r="I37" s="29">
        <v>1</v>
      </c>
      <c r="J37" s="29">
        <v>1</v>
      </c>
      <c r="K37" s="59">
        <v>0</v>
      </c>
      <c r="L37"/>
    </row>
    <row r="38" spans="2:44" x14ac:dyDescent="0.2">
      <c r="B38"/>
      <c r="C38"/>
      <c r="D38"/>
      <c r="E38"/>
      <c r="F38"/>
      <c r="G38" s="42"/>
      <c r="H38" s="18"/>
      <c r="I38" s="18"/>
      <c r="J38" s="18">
        <v>2</v>
      </c>
      <c r="K38" s="59">
        <v>0</v>
      </c>
      <c r="L38"/>
    </row>
    <row r="39" spans="2:44" x14ac:dyDescent="0.2">
      <c r="B39"/>
      <c r="C39"/>
      <c r="D39"/>
      <c r="E39"/>
      <c r="F39"/>
      <c r="G39" s="42"/>
      <c r="H39" s="38"/>
      <c r="I39" s="29">
        <v>2</v>
      </c>
      <c r="J39" s="29">
        <v>1</v>
      </c>
      <c r="K39" s="59">
        <v>0</v>
      </c>
      <c r="L39"/>
    </row>
    <row r="40" spans="2:44" x14ac:dyDescent="0.2">
      <c r="B40"/>
      <c r="C40"/>
      <c r="D40"/>
      <c r="E40"/>
      <c r="F40"/>
      <c r="G40" s="42"/>
      <c r="H40" s="18"/>
      <c r="I40" s="18"/>
      <c r="J40" s="18">
        <v>2</v>
      </c>
      <c r="K40" s="59">
        <v>0</v>
      </c>
      <c r="L40"/>
    </row>
    <row r="41" spans="2:44" x14ac:dyDescent="0.2">
      <c r="B41"/>
      <c r="C41"/>
      <c r="D41"/>
      <c r="E41"/>
      <c r="F41"/>
      <c r="G41" s="42"/>
      <c r="H41" s="18"/>
      <c r="I41" s="29">
        <v>3</v>
      </c>
      <c r="J41" s="29">
        <v>1</v>
      </c>
      <c r="K41" s="59">
        <v>0</v>
      </c>
      <c r="L41"/>
    </row>
    <row r="42" spans="2:44" ht="13.5" thickBot="1" x14ac:dyDescent="0.25">
      <c r="B42"/>
      <c r="C42"/>
      <c r="D42"/>
      <c r="E42"/>
      <c r="F42"/>
      <c r="G42" s="42"/>
      <c r="H42" s="18"/>
      <c r="I42" s="18"/>
      <c r="J42" s="18">
        <v>2</v>
      </c>
      <c r="K42" s="59">
        <v>0</v>
      </c>
      <c r="L42"/>
    </row>
    <row r="43" spans="2:44" x14ac:dyDescent="0.2">
      <c r="B43"/>
      <c r="C43"/>
      <c r="D43"/>
      <c r="E43"/>
      <c r="F43"/>
      <c r="G43" s="31">
        <v>3</v>
      </c>
      <c r="H43" s="32">
        <v>1</v>
      </c>
      <c r="I43" s="32">
        <v>1</v>
      </c>
      <c r="J43" s="32">
        <v>1</v>
      </c>
      <c r="K43" s="58">
        <v>2266</v>
      </c>
      <c r="L43"/>
    </row>
    <row r="44" spans="2:44" x14ac:dyDescent="0.2">
      <c r="B44"/>
      <c r="C44"/>
      <c r="D44"/>
      <c r="E44"/>
      <c r="F44"/>
      <c r="G44" s="23"/>
      <c r="H44" s="18"/>
      <c r="I44" s="18"/>
      <c r="J44" s="18">
        <v>2</v>
      </c>
      <c r="K44" s="59">
        <v>0</v>
      </c>
      <c r="L44"/>
    </row>
    <row r="45" spans="2:44" x14ac:dyDescent="0.2">
      <c r="B45"/>
      <c r="C45"/>
      <c r="D45"/>
      <c r="E45"/>
      <c r="F45"/>
      <c r="G45" s="42"/>
      <c r="H45" s="38"/>
      <c r="I45" s="29">
        <v>2</v>
      </c>
      <c r="J45" s="29">
        <v>1</v>
      </c>
      <c r="K45" s="59">
        <v>2533</v>
      </c>
      <c r="L45"/>
    </row>
    <row r="46" spans="2:44" x14ac:dyDescent="0.2">
      <c r="B46"/>
      <c r="C46"/>
      <c r="D46"/>
      <c r="E46"/>
      <c r="F46"/>
      <c r="G46" s="23"/>
      <c r="H46" s="18"/>
      <c r="I46" s="18"/>
      <c r="J46" s="18">
        <v>2</v>
      </c>
      <c r="K46" s="59">
        <v>0</v>
      </c>
      <c r="L46"/>
    </row>
    <row r="47" spans="2:44" x14ac:dyDescent="0.2">
      <c r="B47"/>
      <c r="C47"/>
      <c r="D47"/>
      <c r="E47"/>
      <c r="F47"/>
      <c r="G47" s="23"/>
      <c r="H47" s="18"/>
      <c r="I47" s="29">
        <v>3</v>
      </c>
      <c r="J47" s="29">
        <v>1</v>
      </c>
      <c r="K47" s="59">
        <v>2800</v>
      </c>
      <c r="L47"/>
    </row>
    <row r="48" spans="2:44" x14ac:dyDescent="0.2">
      <c r="B48"/>
      <c r="C48"/>
      <c r="D48"/>
      <c r="E48"/>
      <c r="F48"/>
      <c r="G48" s="23"/>
      <c r="H48" s="18"/>
      <c r="I48" s="18"/>
      <c r="J48" s="18">
        <v>2</v>
      </c>
      <c r="K48" s="59">
        <v>0</v>
      </c>
      <c r="L48"/>
    </row>
    <row r="49" spans="2:12" x14ac:dyDescent="0.2">
      <c r="B49"/>
      <c r="C49"/>
      <c r="D49"/>
      <c r="E49"/>
      <c r="F49"/>
      <c r="G49" s="23"/>
      <c r="H49" s="29">
        <v>2</v>
      </c>
      <c r="I49" s="29">
        <v>1</v>
      </c>
      <c r="J49" s="29">
        <v>1</v>
      </c>
      <c r="K49" s="59">
        <v>0</v>
      </c>
      <c r="L49"/>
    </row>
    <row r="50" spans="2:12" x14ac:dyDescent="0.2">
      <c r="B50"/>
      <c r="C50"/>
      <c r="D50"/>
      <c r="E50"/>
      <c r="F50"/>
      <c r="G50" s="23"/>
      <c r="H50" s="18"/>
      <c r="I50" s="18"/>
      <c r="J50" s="18">
        <v>2</v>
      </c>
      <c r="K50" s="59">
        <v>2400</v>
      </c>
      <c r="L50"/>
    </row>
    <row r="51" spans="2:12" x14ac:dyDescent="0.2">
      <c r="B51"/>
      <c r="C51"/>
      <c r="D51"/>
      <c r="E51"/>
      <c r="F51"/>
      <c r="G51" s="23"/>
      <c r="H51" s="38"/>
      <c r="I51" s="29">
        <v>2</v>
      </c>
      <c r="J51" s="29">
        <v>1</v>
      </c>
      <c r="K51" s="59">
        <v>0</v>
      </c>
      <c r="L51"/>
    </row>
    <row r="52" spans="2:12" x14ac:dyDescent="0.2">
      <c r="B52"/>
      <c r="C52"/>
      <c r="D52"/>
      <c r="E52"/>
      <c r="F52"/>
      <c r="G52" s="23"/>
      <c r="H52" s="18"/>
      <c r="I52" s="18"/>
      <c r="J52" s="18">
        <v>2</v>
      </c>
      <c r="K52" s="59">
        <v>2666</v>
      </c>
      <c r="L52"/>
    </row>
    <row r="53" spans="2:12" x14ac:dyDescent="0.2">
      <c r="B53"/>
      <c r="C53"/>
      <c r="D53"/>
      <c r="E53"/>
      <c r="F53"/>
      <c r="G53" s="23"/>
      <c r="H53" s="18"/>
      <c r="I53" s="29">
        <v>3</v>
      </c>
      <c r="J53" s="29">
        <v>1</v>
      </c>
      <c r="K53" s="59">
        <v>0</v>
      </c>
      <c r="L53"/>
    </row>
    <row r="54" spans="2:12" x14ac:dyDescent="0.2">
      <c r="B54"/>
      <c r="C54"/>
      <c r="D54"/>
      <c r="E54"/>
      <c r="F54"/>
      <c r="G54" s="23"/>
      <c r="H54" s="18"/>
      <c r="I54" s="18"/>
      <c r="J54" s="18">
        <v>2</v>
      </c>
      <c r="K54" s="59">
        <v>2933</v>
      </c>
      <c r="L54"/>
    </row>
    <row r="55" spans="2:12" x14ac:dyDescent="0.2">
      <c r="B55"/>
      <c r="C55"/>
      <c r="D55"/>
      <c r="E55"/>
      <c r="F55"/>
      <c r="G55" s="23"/>
      <c r="H55" s="29">
        <v>3</v>
      </c>
      <c r="I55" s="29">
        <v>1</v>
      </c>
      <c r="J55" s="29">
        <v>1</v>
      </c>
      <c r="K55" s="59">
        <v>0</v>
      </c>
      <c r="L55"/>
    </row>
    <row r="56" spans="2:12" x14ac:dyDescent="0.2">
      <c r="B56"/>
      <c r="C56"/>
      <c r="D56"/>
      <c r="E56"/>
      <c r="F56"/>
      <c r="G56" s="42"/>
      <c r="H56" s="18"/>
      <c r="I56" s="18"/>
      <c r="J56" s="18">
        <v>2</v>
      </c>
      <c r="K56" s="59">
        <v>0</v>
      </c>
      <c r="L56"/>
    </row>
    <row r="57" spans="2:12" x14ac:dyDescent="0.2">
      <c r="B57"/>
      <c r="C57"/>
      <c r="D57"/>
      <c r="E57"/>
      <c r="F57"/>
      <c r="G57" s="42"/>
      <c r="H57" s="38"/>
      <c r="I57" s="29">
        <v>2</v>
      </c>
      <c r="J57" s="29">
        <v>1</v>
      </c>
      <c r="K57" s="59">
        <v>0</v>
      </c>
      <c r="L57"/>
    </row>
    <row r="58" spans="2:12" x14ac:dyDescent="0.2">
      <c r="B58"/>
      <c r="C58"/>
      <c r="D58"/>
      <c r="E58"/>
      <c r="F58"/>
      <c r="G58" s="42"/>
      <c r="H58" s="18"/>
      <c r="I58" s="18"/>
      <c r="J58" s="18">
        <v>2</v>
      </c>
      <c r="K58" s="59">
        <v>0</v>
      </c>
      <c r="L58"/>
    </row>
    <row r="59" spans="2:12" x14ac:dyDescent="0.2">
      <c r="B59"/>
      <c r="C59"/>
      <c r="D59"/>
      <c r="E59"/>
      <c r="F59"/>
      <c r="G59" s="42"/>
      <c r="H59" s="18"/>
      <c r="I59" s="29">
        <v>3</v>
      </c>
      <c r="J59" s="29">
        <v>1</v>
      </c>
      <c r="K59" s="59">
        <v>0</v>
      </c>
      <c r="L59"/>
    </row>
    <row r="60" spans="2:12" x14ac:dyDescent="0.2">
      <c r="B60"/>
      <c r="C60"/>
      <c r="D60"/>
      <c r="E60"/>
      <c r="F60"/>
      <c r="G60" s="42"/>
      <c r="H60" s="18"/>
      <c r="I60" s="18"/>
      <c r="J60" s="18">
        <v>2</v>
      </c>
      <c r="K60" s="59">
        <v>0</v>
      </c>
      <c r="L60"/>
    </row>
    <row r="61" spans="2:12" x14ac:dyDescent="0.2">
      <c r="B61"/>
      <c r="C61"/>
      <c r="D61"/>
      <c r="E61"/>
      <c r="F61"/>
      <c r="G61"/>
      <c r="H61"/>
      <c r="I61"/>
      <c r="J61"/>
      <c r="K61"/>
      <c r="L61"/>
    </row>
    <row r="62" spans="2:12" x14ac:dyDescent="0.2">
      <c r="B62"/>
      <c r="C62"/>
      <c r="D62"/>
      <c r="E62"/>
      <c r="F62"/>
      <c r="G62"/>
      <c r="H62"/>
      <c r="I62"/>
      <c r="J62"/>
      <c r="K62"/>
      <c r="L62"/>
    </row>
    <row r="63" spans="2:12" x14ac:dyDescent="0.2">
      <c r="B63"/>
      <c r="C63"/>
      <c r="D63"/>
      <c r="E63"/>
      <c r="F63"/>
      <c r="G63"/>
      <c r="H63"/>
      <c r="I63"/>
      <c r="J63"/>
      <c r="K63"/>
      <c r="L63"/>
    </row>
    <row r="64" spans="2:12" x14ac:dyDescent="0.2">
      <c r="B64"/>
      <c r="C64"/>
      <c r="D64"/>
      <c r="E64"/>
      <c r="F64"/>
      <c r="G64"/>
      <c r="H64"/>
      <c r="I64"/>
      <c r="J64"/>
      <c r="K64"/>
      <c r="L64"/>
    </row>
    <row r="65" spans="2:12" x14ac:dyDescent="0.2">
      <c r="B65"/>
      <c r="C65"/>
      <c r="D65"/>
      <c r="E65"/>
      <c r="F65"/>
      <c r="G65"/>
      <c r="H65"/>
      <c r="I65"/>
      <c r="J65"/>
      <c r="K65"/>
      <c r="L65"/>
    </row>
    <row r="66" spans="2:12" x14ac:dyDescent="0.2">
      <c r="B66"/>
      <c r="C66"/>
      <c r="D66"/>
      <c r="E66"/>
      <c r="F66"/>
      <c r="G66"/>
      <c r="H66"/>
      <c r="I66"/>
      <c r="J66"/>
      <c r="K66"/>
      <c r="L66"/>
    </row>
    <row r="67" spans="2:12" x14ac:dyDescent="0.2">
      <c r="B67"/>
      <c r="C67"/>
      <c r="D67"/>
      <c r="E67"/>
      <c r="F67"/>
      <c r="G67"/>
      <c r="H67"/>
      <c r="I67"/>
      <c r="J67"/>
      <c r="K67"/>
      <c r="L67"/>
    </row>
    <row r="68" spans="2:12" x14ac:dyDescent="0.2">
      <c r="B68"/>
      <c r="C68"/>
      <c r="D68"/>
      <c r="E68"/>
      <c r="F68"/>
      <c r="G68"/>
      <c r="H68"/>
      <c r="I68"/>
      <c r="J68"/>
      <c r="K68"/>
      <c r="L68"/>
    </row>
    <row r="69" spans="2:12" x14ac:dyDescent="0.2">
      <c r="B69"/>
      <c r="C69"/>
      <c r="D69"/>
      <c r="E69"/>
      <c r="F69"/>
      <c r="G69"/>
      <c r="H69"/>
      <c r="I69"/>
      <c r="J69"/>
      <c r="K69"/>
      <c r="L69"/>
    </row>
    <row r="70" spans="2:12" x14ac:dyDescent="0.2">
      <c r="B70"/>
      <c r="C70"/>
      <c r="D70"/>
      <c r="E70"/>
      <c r="F70"/>
      <c r="G70"/>
      <c r="H70"/>
      <c r="I70"/>
      <c r="J70"/>
      <c r="K70"/>
      <c r="L70"/>
    </row>
    <row r="71" spans="2:12" x14ac:dyDescent="0.2">
      <c r="B71"/>
      <c r="C71"/>
      <c r="D71"/>
      <c r="E71"/>
      <c r="F71"/>
      <c r="G71"/>
      <c r="H71"/>
      <c r="I71"/>
      <c r="J71"/>
      <c r="K71"/>
      <c r="L71"/>
    </row>
    <row r="72" spans="2:12" x14ac:dyDescent="0.2">
      <c r="B72"/>
      <c r="C72"/>
      <c r="D72"/>
      <c r="E72"/>
      <c r="F72"/>
      <c r="G72"/>
      <c r="H72"/>
      <c r="I72"/>
      <c r="J72"/>
      <c r="K72"/>
      <c r="L72"/>
    </row>
    <row r="73" spans="2:12" x14ac:dyDescent="0.2">
      <c r="B73"/>
      <c r="C73"/>
      <c r="D73"/>
      <c r="E73"/>
      <c r="F73"/>
      <c r="G73"/>
      <c r="H73"/>
      <c r="I73"/>
      <c r="J73"/>
      <c r="K73"/>
      <c r="L73"/>
    </row>
    <row r="74" spans="2:12" x14ac:dyDescent="0.2">
      <c r="B74"/>
      <c r="C74"/>
      <c r="D74"/>
      <c r="E74"/>
      <c r="F74"/>
      <c r="G74"/>
      <c r="H74"/>
      <c r="I74"/>
      <c r="J74"/>
      <c r="K74"/>
      <c r="L74"/>
    </row>
    <row r="75" spans="2:12" x14ac:dyDescent="0.2">
      <c r="B75"/>
      <c r="C75"/>
      <c r="D75"/>
      <c r="E75"/>
      <c r="F75"/>
      <c r="G75"/>
      <c r="H75"/>
      <c r="I75"/>
      <c r="J75"/>
      <c r="K75"/>
      <c r="L75"/>
    </row>
    <row r="76" spans="2:12" x14ac:dyDescent="0.2">
      <c r="B76"/>
      <c r="C76"/>
      <c r="D76"/>
      <c r="E76"/>
      <c r="F76"/>
      <c r="G76"/>
      <c r="H76"/>
      <c r="I76"/>
      <c r="J76"/>
      <c r="K76"/>
      <c r="L76"/>
    </row>
    <row r="77" spans="2:12" x14ac:dyDescent="0.2">
      <c r="B77"/>
      <c r="C77"/>
      <c r="D77"/>
      <c r="E77"/>
      <c r="F77"/>
      <c r="G77"/>
      <c r="H77"/>
      <c r="I77"/>
      <c r="J77"/>
      <c r="K77"/>
      <c r="L77"/>
    </row>
    <row r="78" spans="2:12" x14ac:dyDescent="0.2">
      <c r="B78"/>
      <c r="C78"/>
      <c r="D78"/>
      <c r="E78"/>
      <c r="F78"/>
      <c r="G78"/>
      <c r="H78"/>
      <c r="I78"/>
      <c r="J78"/>
      <c r="K78"/>
      <c r="L78"/>
    </row>
    <row r="79" spans="2:12" x14ac:dyDescent="0.2">
      <c r="B79"/>
      <c r="C79"/>
      <c r="D79"/>
      <c r="E79"/>
      <c r="F79"/>
      <c r="G79"/>
      <c r="H79"/>
      <c r="I79"/>
      <c r="J79"/>
      <c r="K79"/>
      <c r="L79"/>
    </row>
    <row r="80" spans="2:12" x14ac:dyDescent="0.2">
      <c r="B80"/>
      <c r="C80"/>
      <c r="D80"/>
      <c r="E80"/>
      <c r="F80"/>
      <c r="G80"/>
      <c r="H80"/>
      <c r="I80"/>
      <c r="J80"/>
      <c r="K80"/>
      <c r="L80"/>
    </row>
    <row r="81" spans="2:12" x14ac:dyDescent="0.2">
      <c r="B81"/>
      <c r="C81"/>
      <c r="D81"/>
      <c r="E81"/>
      <c r="F81"/>
      <c r="G81"/>
      <c r="H81"/>
      <c r="I81"/>
      <c r="J81"/>
      <c r="K81"/>
      <c r="L81"/>
    </row>
    <row r="82" spans="2:12" x14ac:dyDescent="0.2">
      <c r="B82"/>
      <c r="C82"/>
      <c r="D82"/>
      <c r="E82"/>
      <c r="F82"/>
      <c r="G82"/>
      <c r="H82"/>
      <c r="I82"/>
      <c r="J82"/>
      <c r="K82"/>
      <c r="L82"/>
    </row>
    <row r="83" spans="2:12" x14ac:dyDescent="0.2">
      <c r="B83"/>
      <c r="C83"/>
      <c r="D83"/>
      <c r="E83"/>
      <c r="F83"/>
      <c r="G83"/>
      <c r="H83"/>
      <c r="I83"/>
      <c r="J83"/>
      <c r="K83"/>
      <c r="L83"/>
    </row>
    <row r="84" spans="2:12" x14ac:dyDescent="0.2">
      <c r="B84"/>
      <c r="C84"/>
      <c r="D84"/>
      <c r="E84"/>
      <c r="F84"/>
      <c r="G84"/>
      <c r="H84"/>
      <c r="I84"/>
      <c r="J84"/>
      <c r="K84"/>
      <c r="L84"/>
    </row>
    <row r="85" spans="2:12" x14ac:dyDescent="0.2">
      <c r="B85"/>
      <c r="C85"/>
      <c r="D85"/>
      <c r="E85"/>
      <c r="F85"/>
      <c r="G85"/>
      <c r="H85"/>
      <c r="I85"/>
      <c r="J85"/>
      <c r="K85"/>
      <c r="L85"/>
    </row>
    <row r="86" spans="2:12" x14ac:dyDescent="0.2">
      <c r="B86"/>
      <c r="C86"/>
      <c r="D86"/>
      <c r="E86"/>
      <c r="F86"/>
      <c r="G86"/>
      <c r="H86"/>
      <c r="I86"/>
      <c r="J86"/>
      <c r="K86"/>
      <c r="L86"/>
    </row>
    <row r="87" spans="2:12" x14ac:dyDescent="0.2">
      <c r="B87"/>
      <c r="C87"/>
      <c r="D87"/>
      <c r="E87"/>
      <c r="F87"/>
      <c r="G87"/>
      <c r="H87"/>
      <c r="I87"/>
      <c r="J87"/>
      <c r="K87"/>
      <c r="L87"/>
    </row>
    <row r="88" spans="2:12" x14ac:dyDescent="0.2">
      <c r="B88"/>
      <c r="C88"/>
      <c r="D88"/>
      <c r="E88"/>
      <c r="F88"/>
      <c r="G88"/>
      <c r="H88"/>
      <c r="I88"/>
      <c r="J88"/>
      <c r="K88"/>
      <c r="L88"/>
    </row>
    <row r="89" spans="2:12" x14ac:dyDescent="0.2">
      <c r="B89"/>
      <c r="C89"/>
      <c r="D89"/>
      <c r="E89"/>
      <c r="F89"/>
      <c r="G89"/>
      <c r="H89"/>
      <c r="I89"/>
      <c r="J89"/>
      <c r="K89"/>
      <c r="L89"/>
    </row>
    <row r="90" spans="2:12" x14ac:dyDescent="0.2">
      <c r="B90"/>
      <c r="C90"/>
      <c r="D90"/>
      <c r="E90"/>
      <c r="F90"/>
      <c r="G90"/>
      <c r="H90"/>
      <c r="I90"/>
      <c r="J90"/>
      <c r="K90"/>
      <c r="L90"/>
    </row>
    <row r="91" spans="2:12" x14ac:dyDescent="0.2">
      <c r="B91"/>
      <c r="C91"/>
      <c r="D91"/>
      <c r="E91"/>
      <c r="F91"/>
      <c r="G91"/>
      <c r="H91"/>
      <c r="I91"/>
      <c r="J91"/>
      <c r="K91"/>
      <c r="L91"/>
    </row>
    <row r="92" spans="2:12" x14ac:dyDescent="0.2">
      <c r="B92"/>
      <c r="C92"/>
      <c r="D92"/>
      <c r="E92"/>
      <c r="F92"/>
      <c r="G92"/>
      <c r="H92"/>
      <c r="I92"/>
      <c r="J92"/>
      <c r="K92"/>
      <c r="L92"/>
    </row>
    <row r="93" spans="2:12" x14ac:dyDescent="0.2">
      <c r="B93"/>
      <c r="C93"/>
      <c r="D93"/>
      <c r="E93"/>
      <c r="F93"/>
      <c r="G93"/>
      <c r="H93"/>
      <c r="I93"/>
      <c r="J93"/>
      <c r="K93"/>
      <c r="L93"/>
    </row>
    <row r="94" spans="2:12" x14ac:dyDescent="0.2">
      <c r="B94"/>
      <c r="C94"/>
      <c r="D94"/>
      <c r="E94"/>
      <c r="F94"/>
      <c r="G94"/>
      <c r="H94"/>
      <c r="I94"/>
      <c r="J94"/>
      <c r="K94"/>
      <c r="L94"/>
    </row>
    <row r="95" spans="2:12" x14ac:dyDescent="0.2">
      <c r="B95"/>
      <c r="C95"/>
      <c r="D95"/>
      <c r="E95"/>
      <c r="F95"/>
      <c r="G95"/>
      <c r="H95"/>
      <c r="I95"/>
      <c r="J95"/>
      <c r="K95"/>
      <c r="L95"/>
    </row>
    <row r="96" spans="2:12" x14ac:dyDescent="0.2">
      <c r="B96"/>
      <c r="C96"/>
      <c r="D96"/>
      <c r="E96"/>
      <c r="F96"/>
      <c r="G96"/>
      <c r="H96"/>
      <c r="I96"/>
      <c r="J96"/>
      <c r="K96"/>
      <c r="L96"/>
    </row>
    <row r="97" spans="2:12" x14ac:dyDescent="0.2">
      <c r="B97"/>
      <c r="C97"/>
      <c r="D97"/>
      <c r="E97"/>
      <c r="F97"/>
      <c r="G97"/>
      <c r="H97"/>
      <c r="I97"/>
      <c r="J97"/>
      <c r="K97"/>
      <c r="L97"/>
    </row>
    <row r="98" spans="2:12" x14ac:dyDescent="0.2">
      <c r="B98"/>
      <c r="C98"/>
      <c r="D98"/>
      <c r="E98"/>
      <c r="F98"/>
      <c r="G98"/>
      <c r="H98"/>
      <c r="I98"/>
      <c r="J98"/>
      <c r="K98"/>
      <c r="L98"/>
    </row>
    <row r="99" spans="2:12" x14ac:dyDescent="0.2">
      <c r="B99"/>
      <c r="C99"/>
      <c r="D99"/>
      <c r="E99"/>
      <c r="F99"/>
      <c r="G99"/>
      <c r="H99"/>
      <c r="I99"/>
      <c r="J99"/>
      <c r="K99"/>
      <c r="L99"/>
    </row>
    <row r="100" spans="2:12" x14ac:dyDescent="0.2">
      <c r="B100"/>
      <c r="C100"/>
      <c r="D100"/>
      <c r="E100"/>
      <c r="F100"/>
      <c r="G100"/>
      <c r="H100"/>
      <c r="I100"/>
      <c r="J100"/>
      <c r="K100"/>
      <c r="L100"/>
    </row>
    <row r="101" spans="2:12" x14ac:dyDescent="0.2">
      <c r="F101"/>
      <c r="G101"/>
      <c r="H101"/>
      <c r="I101"/>
      <c r="J101"/>
      <c r="K101"/>
      <c r="L101"/>
    </row>
    <row r="102" spans="2:12" x14ac:dyDescent="0.2">
      <c r="F102"/>
      <c r="G102"/>
      <c r="H102"/>
      <c r="I102"/>
      <c r="J102"/>
      <c r="K102"/>
      <c r="L102"/>
    </row>
    <row r="103" spans="2:12" x14ac:dyDescent="0.2">
      <c r="F103"/>
      <c r="G103"/>
      <c r="H103"/>
      <c r="I103"/>
      <c r="J103"/>
      <c r="K103"/>
      <c r="L103"/>
    </row>
    <row r="104" spans="2:12" x14ac:dyDescent="0.2">
      <c r="F104"/>
      <c r="G104"/>
      <c r="H104"/>
      <c r="I104"/>
      <c r="J104"/>
      <c r="K104"/>
      <c r="L104"/>
    </row>
    <row r="105" spans="2:12" x14ac:dyDescent="0.2">
      <c r="F105"/>
      <c r="G105"/>
      <c r="H105"/>
      <c r="I105"/>
      <c r="J105"/>
      <c r="K105"/>
      <c r="L105"/>
    </row>
    <row r="106" spans="2:12" x14ac:dyDescent="0.2">
      <c r="F106"/>
      <c r="G106"/>
      <c r="H106"/>
      <c r="I106"/>
      <c r="J106"/>
      <c r="K106"/>
      <c r="L106"/>
    </row>
    <row r="107" spans="2:12" x14ac:dyDescent="0.2">
      <c r="G107"/>
      <c r="H107"/>
      <c r="I107"/>
      <c r="J107"/>
      <c r="K107"/>
      <c r="L107"/>
    </row>
    <row r="108" spans="2:12" x14ac:dyDescent="0.2">
      <c r="G108"/>
      <c r="H108"/>
      <c r="I108"/>
      <c r="J108"/>
      <c r="K108"/>
      <c r="L108"/>
    </row>
    <row r="109" spans="2:12" x14ac:dyDescent="0.2">
      <c r="G109"/>
      <c r="H109"/>
      <c r="I109"/>
      <c r="J109"/>
      <c r="K109"/>
      <c r="L109"/>
    </row>
    <row r="110" spans="2:12" x14ac:dyDescent="0.2">
      <c r="G110"/>
      <c r="H110"/>
      <c r="I110"/>
      <c r="J110"/>
      <c r="K110"/>
      <c r="L110"/>
    </row>
    <row r="111" spans="2:12" x14ac:dyDescent="0.2">
      <c r="G111"/>
      <c r="H111"/>
      <c r="I111"/>
      <c r="J111"/>
      <c r="K111"/>
      <c r="L111"/>
    </row>
    <row r="112" spans="2:12" x14ac:dyDescent="0.2">
      <c r="G112"/>
      <c r="H112"/>
      <c r="I112"/>
      <c r="J112"/>
      <c r="K112"/>
      <c r="L112"/>
    </row>
    <row r="113" spans="7:12" x14ac:dyDescent="0.2">
      <c r="G113"/>
      <c r="H113"/>
      <c r="I113"/>
      <c r="J113"/>
      <c r="K113"/>
      <c r="L113"/>
    </row>
    <row r="114" spans="7:12" x14ac:dyDescent="0.2">
      <c r="G114"/>
      <c r="H114"/>
      <c r="I114"/>
      <c r="J114"/>
      <c r="K114"/>
      <c r="L114"/>
    </row>
    <row r="115" spans="7:12" x14ac:dyDescent="0.2">
      <c r="G115"/>
      <c r="H115"/>
      <c r="I115"/>
      <c r="J115"/>
      <c r="K115"/>
      <c r="L115"/>
    </row>
    <row r="116" spans="7:12" x14ac:dyDescent="0.2">
      <c r="G116"/>
      <c r="H116"/>
      <c r="I116"/>
      <c r="J116"/>
      <c r="K116"/>
      <c r="L116"/>
    </row>
    <row r="117" spans="7:12" x14ac:dyDescent="0.2">
      <c r="G117"/>
      <c r="H117"/>
      <c r="I117"/>
      <c r="J117"/>
      <c r="K117"/>
      <c r="L117"/>
    </row>
    <row r="118" spans="7:12" x14ac:dyDescent="0.2">
      <c r="G118"/>
      <c r="H118"/>
      <c r="I118"/>
      <c r="J118"/>
      <c r="K118"/>
      <c r="L118"/>
    </row>
    <row r="119" spans="7:12" x14ac:dyDescent="0.2">
      <c r="G119"/>
      <c r="H119"/>
      <c r="I119"/>
      <c r="J119"/>
      <c r="K119"/>
      <c r="L119"/>
    </row>
    <row r="120" spans="7:12" x14ac:dyDescent="0.2">
      <c r="G120"/>
      <c r="H120"/>
      <c r="I120"/>
      <c r="J120"/>
      <c r="K120"/>
      <c r="L120"/>
    </row>
    <row r="121" spans="7:12" x14ac:dyDescent="0.2">
      <c r="G121"/>
      <c r="H121"/>
      <c r="I121"/>
      <c r="J121"/>
      <c r="K121"/>
      <c r="L121"/>
    </row>
    <row r="122" spans="7:12" x14ac:dyDescent="0.2">
      <c r="G122"/>
      <c r="H122"/>
      <c r="I122"/>
      <c r="J122"/>
      <c r="K122"/>
      <c r="L122"/>
    </row>
    <row r="123" spans="7:12" x14ac:dyDescent="0.2">
      <c r="G123"/>
      <c r="H123"/>
      <c r="I123"/>
      <c r="J123"/>
      <c r="K123"/>
      <c r="L123"/>
    </row>
    <row r="124" spans="7:12" x14ac:dyDescent="0.2">
      <c r="G124"/>
      <c r="H124"/>
      <c r="I124"/>
      <c r="J124"/>
      <c r="K124"/>
      <c r="L124"/>
    </row>
    <row r="125" spans="7:12" x14ac:dyDescent="0.2">
      <c r="G125"/>
      <c r="H125"/>
      <c r="I125"/>
      <c r="J125"/>
      <c r="K125"/>
      <c r="L125"/>
    </row>
    <row r="126" spans="7:12" x14ac:dyDescent="0.2">
      <c r="G126"/>
      <c r="H126"/>
      <c r="I126"/>
      <c r="J126"/>
      <c r="K126"/>
      <c r="L126"/>
    </row>
    <row r="127" spans="7:12" x14ac:dyDescent="0.2">
      <c r="G127"/>
      <c r="H127"/>
      <c r="I127"/>
      <c r="J127"/>
      <c r="K127"/>
      <c r="L127"/>
    </row>
    <row r="128" spans="7:12" x14ac:dyDescent="0.2">
      <c r="G128"/>
      <c r="H128"/>
      <c r="I128"/>
      <c r="J128"/>
      <c r="K128"/>
      <c r="L128"/>
    </row>
    <row r="129" spans="7:12" x14ac:dyDescent="0.2">
      <c r="G129"/>
      <c r="H129"/>
      <c r="I129"/>
      <c r="J129"/>
      <c r="K129"/>
      <c r="L129"/>
    </row>
    <row r="130" spans="7:12" x14ac:dyDescent="0.2">
      <c r="G130"/>
      <c r="H130"/>
      <c r="I130"/>
      <c r="J130"/>
      <c r="K130"/>
      <c r="L130"/>
    </row>
    <row r="131" spans="7:12" x14ac:dyDescent="0.2">
      <c r="G131"/>
      <c r="H131"/>
      <c r="I131"/>
      <c r="J131"/>
      <c r="K131"/>
      <c r="L131"/>
    </row>
    <row r="132" spans="7:12" x14ac:dyDescent="0.2">
      <c r="G132"/>
      <c r="H132"/>
      <c r="I132"/>
      <c r="J132"/>
      <c r="K132"/>
      <c r="L132"/>
    </row>
    <row r="133" spans="7:12" x14ac:dyDescent="0.2">
      <c r="G133"/>
      <c r="H133"/>
      <c r="I133"/>
      <c r="J133"/>
      <c r="K133"/>
      <c r="L133"/>
    </row>
    <row r="134" spans="7:12" x14ac:dyDescent="0.2">
      <c r="G134"/>
      <c r="H134"/>
      <c r="I134"/>
      <c r="J134"/>
      <c r="K134"/>
      <c r="L134"/>
    </row>
    <row r="135" spans="7:12" x14ac:dyDescent="0.2">
      <c r="G135"/>
      <c r="H135"/>
      <c r="I135"/>
      <c r="J135"/>
      <c r="K135"/>
      <c r="L135"/>
    </row>
    <row r="136" spans="7:12" x14ac:dyDescent="0.2">
      <c r="G136"/>
      <c r="H136"/>
      <c r="I136"/>
      <c r="J136"/>
      <c r="K136"/>
      <c r="L136"/>
    </row>
    <row r="137" spans="7:12" x14ac:dyDescent="0.2">
      <c r="G137"/>
      <c r="H137"/>
      <c r="I137"/>
      <c r="J137"/>
      <c r="K137"/>
      <c r="L137"/>
    </row>
    <row r="138" spans="7:12" x14ac:dyDescent="0.2">
      <c r="G138"/>
      <c r="H138"/>
      <c r="I138"/>
      <c r="J138"/>
      <c r="K138"/>
      <c r="L138"/>
    </row>
    <row r="139" spans="7:12" x14ac:dyDescent="0.2">
      <c r="G139"/>
      <c r="H139"/>
      <c r="I139"/>
      <c r="J139"/>
      <c r="K139"/>
      <c r="L139"/>
    </row>
    <row r="140" spans="7:12" x14ac:dyDescent="0.2">
      <c r="G140"/>
      <c r="H140"/>
      <c r="I140"/>
      <c r="J140"/>
      <c r="K140"/>
      <c r="L140"/>
    </row>
    <row r="141" spans="7:12" x14ac:dyDescent="0.2">
      <c r="G141"/>
      <c r="H141"/>
      <c r="I141"/>
      <c r="J141"/>
      <c r="K141"/>
      <c r="L141"/>
    </row>
    <row r="142" spans="7:12" x14ac:dyDescent="0.2">
      <c r="G142"/>
      <c r="H142"/>
      <c r="I142"/>
      <c r="J142"/>
      <c r="K142"/>
      <c r="L142"/>
    </row>
    <row r="143" spans="7:12" x14ac:dyDescent="0.2">
      <c r="G143"/>
      <c r="H143"/>
      <c r="I143"/>
      <c r="J143"/>
      <c r="K143"/>
      <c r="L143"/>
    </row>
    <row r="144" spans="7:12" x14ac:dyDescent="0.2">
      <c r="G144"/>
      <c r="H144"/>
      <c r="I144"/>
      <c r="J144"/>
      <c r="K144"/>
      <c r="L144"/>
    </row>
    <row r="145" spans="7:12" x14ac:dyDescent="0.2">
      <c r="G145"/>
      <c r="H145"/>
      <c r="I145"/>
      <c r="J145"/>
      <c r="K145"/>
      <c r="L145"/>
    </row>
    <row r="146" spans="7:12" x14ac:dyDescent="0.2">
      <c r="G146"/>
      <c r="H146"/>
      <c r="I146"/>
      <c r="J146"/>
      <c r="K146"/>
      <c r="L146"/>
    </row>
    <row r="147" spans="7:12" x14ac:dyDescent="0.2">
      <c r="G147"/>
      <c r="H147"/>
      <c r="I147"/>
      <c r="J147"/>
      <c r="K147"/>
      <c r="L147"/>
    </row>
    <row r="148" spans="7:12" x14ac:dyDescent="0.2">
      <c r="G148"/>
      <c r="H148"/>
      <c r="I148"/>
      <c r="J148"/>
      <c r="K148"/>
      <c r="L148"/>
    </row>
    <row r="149" spans="7:12" x14ac:dyDescent="0.2">
      <c r="G149"/>
      <c r="H149"/>
      <c r="I149"/>
      <c r="J149"/>
      <c r="K149"/>
      <c r="L149"/>
    </row>
    <row r="150" spans="7:12" x14ac:dyDescent="0.2">
      <c r="G150"/>
      <c r="H150"/>
      <c r="I150"/>
      <c r="J150"/>
      <c r="K150"/>
      <c r="L150"/>
    </row>
    <row r="151" spans="7:12" x14ac:dyDescent="0.2">
      <c r="G151"/>
      <c r="H151"/>
      <c r="I151"/>
      <c r="J151"/>
      <c r="K151"/>
      <c r="L151"/>
    </row>
    <row r="152" spans="7:12" x14ac:dyDescent="0.2">
      <c r="G152"/>
      <c r="H152"/>
      <c r="I152"/>
      <c r="J152"/>
      <c r="K152"/>
      <c r="L152"/>
    </row>
    <row r="153" spans="7:12" x14ac:dyDescent="0.2">
      <c r="G153"/>
      <c r="H153"/>
      <c r="I153"/>
      <c r="J153"/>
      <c r="K153"/>
      <c r="L153"/>
    </row>
    <row r="154" spans="7:12" x14ac:dyDescent="0.2">
      <c r="G154"/>
      <c r="H154"/>
      <c r="I154"/>
      <c r="J154"/>
      <c r="K154"/>
      <c r="L154"/>
    </row>
    <row r="155" spans="7:12" x14ac:dyDescent="0.2">
      <c r="G155"/>
      <c r="H155"/>
      <c r="I155"/>
      <c r="J155"/>
      <c r="K155"/>
      <c r="L155"/>
    </row>
    <row r="156" spans="7:12" x14ac:dyDescent="0.2">
      <c r="G156"/>
      <c r="H156"/>
      <c r="I156"/>
      <c r="J156"/>
      <c r="K156"/>
      <c r="L156"/>
    </row>
    <row r="157" spans="7:12" x14ac:dyDescent="0.2">
      <c r="G157"/>
      <c r="H157"/>
      <c r="I157"/>
      <c r="J157"/>
      <c r="K157"/>
      <c r="L157"/>
    </row>
    <row r="158" spans="7:12" x14ac:dyDescent="0.2">
      <c r="G158"/>
      <c r="H158"/>
      <c r="I158"/>
      <c r="J158"/>
      <c r="K158"/>
      <c r="L158"/>
    </row>
    <row r="159" spans="7:12" x14ac:dyDescent="0.2">
      <c r="G159"/>
      <c r="H159"/>
      <c r="I159"/>
      <c r="J159"/>
      <c r="K159"/>
      <c r="L159"/>
    </row>
    <row r="160" spans="7:12" x14ac:dyDescent="0.2">
      <c r="G160"/>
      <c r="H160"/>
      <c r="I160"/>
      <c r="J160"/>
      <c r="K160"/>
      <c r="L160"/>
    </row>
    <row r="161" spans="7:12" x14ac:dyDescent="0.2">
      <c r="G161"/>
      <c r="H161"/>
      <c r="I161"/>
      <c r="J161"/>
      <c r="K161"/>
      <c r="L161"/>
    </row>
    <row r="162" spans="7:12" x14ac:dyDescent="0.2">
      <c r="G162"/>
      <c r="H162"/>
      <c r="I162"/>
      <c r="J162"/>
      <c r="K162"/>
      <c r="L162"/>
    </row>
    <row r="163" spans="7:12" x14ac:dyDescent="0.2">
      <c r="G163"/>
      <c r="H163"/>
      <c r="I163"/>
      <c r="J163"/>
      <c r="K163"/>
      <c r="L163"/>
    </row>
    <row r="164" spans="7:12" x14ac:dyDescent="0.2">
      <c r="G164"/>
      <c r="H164"/>
      <c r="I164"/>
      <c r="J164"/>
      <c r="K164"/>
      <c r="L164"/>
    </row>
    <row r="165" spans="7:12" x14ac:dyDescent="0.2">
      <c r="G165"/>
      <c r="H165"/>
      <c r="I165"/>
      <c r="J165"/>
      <c r="K165"/>
      <c r="L165"/>
    </row>
    <row r="166" spans="7:12" x14ac:dyDescent="0.2">
      <c r="G166"/>
      <c r="H166"/>
      <c r="I166"/>
      <c r="J166"/>
      <c r="K166"/>
      <c r="L166"/>
    </row>
    <row r="167" spans="7:12" x14ac:dyDescent="0.2">
      <c r="G167"/>
      <c r="H167"/>
      <c r="I167"/>
      <c r="J167"/>
      <c r="K167"/>
      <c r="L167"/>
    </row>
    <row r="168" spans="7:12" x14ac:dyDescent="0.2">
      <c r="G168"/>
      <c r="H168"/>
      <c r="I168"/>
      <c r="J168"/>
      <c r="K168"/>
      <c r="L168"/>
    </row>
    <row r="169" spans="7:12" x14ac:dyDescent="0.2">
      <c r="G169"/>
      <c r="H169"/>
      <c r="I169"/>
      <c r="J169"/>
      <c r="K169"/>
      <c r="L169"/>
    </row>
    <row r="170" spans="7:12" x14ac:dyDescent="0.2">
      <c r="G170"/>
      <c r="H170"/>
      <c r="I170"/>
      <c r="J170"/>
      <c r="K170"/>
      <c r="L170"/>
    </row>
    <row r="171" spans="7:12" x14ac:dyDescent="0.2">
      <c r="G171"/>
      <c r="H171"/>
      <c r="I171"/>
      <c r="J171"/>
      <c r="K171"/>
      <c r="L171"/>
    </row>
    <row r="172" spans="7:12" x14ac:dyDescent="0.2">
      <c r="G172"/>
      <c r="H172"/>
      <c r="I172"/>
      <c r="J172"/>
      <c r="K172"/>
      <c r="L172"/>
    </row>
    <row r="173" spans="7:12" x14ac:dyDescent="0.2">
      <c r="G173"/>
      <c r="H173"/>
      <c r="I173"/>
      <c r="J173"/>
      <c r="K173"/>
      <c r="L173"/>
    </row>
    <row r="174" spans="7:12" x14ac:dyDescent="0.2">
      <c r="G174"/>
      <c r="H174"/>
      <c r="I174"/>
      <c r="J174"/>
      <c r="K174"/>
      <c r="L174"/>
    </row>
    <row r="175" spans="7:12" x14ac:dyDescent="0.2">
      <c r="G175"/>
      <c r="H175"/>
      <c r="I175"/>
      <c r="J175"/>
      <c r="K175"/>
      <c r="L175"/>
    </row>
    <row r="176" spans="7:12" x14ac:dyDescent="0.2">
      <c r="G176"/>
      <c r="H176"/>
      <c r="I176"/>
      <c r="J176"/>
      <c r="K176"/>
      <c r="L176"/>
    </row>
    <row r="177" spans="7:12" x14ac:dyDescent="0.2">
      <c r="G177"/>
      <c r="H177"/>
      <c r="I177"/>
      <c r="J177"/>
      <c r="K177"/>
      <c r="L177"/>
    </row>
    <row r="178" spans="7:12" x14ac:dyDescent="0.2">
      <c r="G178"/>
      <c r="H178"/>
      <c r="I178"/>
      <c r="J178"/>
      <c r="K178"/>
      <c r="L178"/>
    </row>
    <row r="179" spans="7:12" x14ac:dyDescent="0.2">
      <c r="G179"/>
      <c r="H179"/>
      <c r="I179"/>
      <c r="J179"/>
      <c r="K179"/>
      <c r="L179"/>
    </row>
    <row r="180" spans="7:12" x14ac:dyDescent="0.2">
      <c r="G180"/>
      <c r="H180"/>
      <c r="I180"/>
      <c r="J180"/>
      <c r="K180"/>
      <c r="L180"/>
    </row>
    <row r="181" spans="7:12" x14ac:dyDescent="0.2">
      <c r="G181"/>
      <c r="H181"/>
      <c r="I181"/>
      <c r="J181"/>
      <c r="K181"/>
      <c r="L181"/>
    </row>
    <row r="182" spans="7:12" x14ac:dyDescent="0.2">
      <c r="G182"/>
      <c r="H182"/>
      <c r="I182"/>
      <c r="J182"/>
      <c r="K182"/>
      <c r="L182"/>
    </row>
    <row r="183" spans="7:12" x14ac:dyDescent="0.2">
      <c r="G183"/>
      <c r="H183"/>
      <c r="I183"/>
      <c r="J183"/>
      <c r="K183"/>
      <c r="L183"/>
    </row>
    <row r="184" spans="7:12" x14ac:dyDescent="0.2">
      <c r="G184"/>
      <c r="H184"/>
      <c r="I184"/>
      <c r="J184"/>
      <c r="K184"/>
      <c r="L184"/>
    </row>
    <row r="185" spans="7:12" x14ac:dyDescent="0.2">
      <c r="G185"/>
      <c r="H185"/>
      <c r="I185"/>
      <c r="J185"/>
      <c r="K185"/>
      <c r="L185"/>
    </row>
    <row r="186" spans="7:12" x14ac:dyDescent="0.2">
      <c r="G186"/>
      <c r="H186"/>
      <c r="I186"/>
      <c r="J186"/>
      <c r="K186"/>
      <c r="L186"/>
    </row>
    <row r="187" spans="7:12" x14ac:dyDescent="0.2">
      <c r="G187"/>
      <c r="H187"/>
      <c r="I187"/>
      <c r="J187"/>
      <c r="K187"/>
      <c r="L187"/>
    </row>
    <row r="188" spans="7:12" x14ac:dyDescent="0.2">
      <c r="G188"/>
      <c r="H188"/>
      <c r="I188"/>
      <c r="J188"/>
      <c r="K188"/>
      <c r="L188"/>
    </row>
    <row r="189" spans="7:12" x14ac:dyDescent="0.2">
      <c r="G189"/>
      <c r="H189"/>
      <c r="I189"/>
      <c r="J189"/>
      <c r="K189"/>
      <c r="L189"/>
    </row>
    <row r="190" spans="7:12" x14ac:dyDescent="0.2">
      <c r="G190"/>
      <c r="H190"/>
      <c r="I190"/>
      <c r="J190"/>
      <c r="K190"/>
      <c r="L190"/>
    </row>
    <row r="191" spans="7:12" x14ac:dyDescent="0.2">
      <c r="G191"/>
      <c r="H191"/>
      <c r="I191"/>
      <c r="J191"/>
      <c r="K191"/>
      <c r="L191"/>
    </row>
    <row r="192" spans="7:12" x14ac:dyDescent="0.2">
      <c r="G192"/>
      <c r="H192"/>
      <c r="I192"/>
      <c r="J192"/>
      <c r="K192"/>
      <c r="L192"/>
    </row>
    <row r="193" spans="7:12" x14ac:dyDescent="0.2">
      <c r="G193"/>
      <c r="H193"/>
      <c r="I193"/>
      <c r="J193"/>
      <c r="K193"/>
      <c r="L193"/>
    </row>
    <row r="194" spans="7:12" x14ac:dyDescent="0.2">
      <c r="G194"/>
      <c r="H194"/>
      <c r="I194"/>
      <c r="J194"/>
      <c r="K194"/>
      <c r="L194"/>
    </row>
    <row r="195" spans="7:12" x14ac:dyDescent="0.2">
      <c r="G195"/>
      <c r="H195"/>
      <c r="I195"/>
      <c r="J195"/>
      <c r="K195"/>
      <c r="L195"/>
    </row>
    <row r="196" spans="7:12" x14ac:dyDescent="0.2">
      <c r="G196"/>
      <c r="H196"/>
      <c r="I196"/>
      <c r="J196"/>
      <c r="K196"/>
      <c r="L196"/>
    </row>
    <row r="197" spans="7:12" x14ac:dyDescent="0.2">
      <c r="G197"/>
      <c r="H197"/>
      <c r="I197"/>
      <c r="J197"/>
      <c r="K197"/>
      <c r="L197"/>
    </row>
    <row r="198" spans="7:12" x14ac:dyDescent="0.2">
      <c r="G198"/>
      <c r="H198"/>
      <c r="I198"/>
      <c r="J198"/>
      <c r="K198"/>
      <c r="L198"/>
    </row>
    <row r="199" spans="7:12" x14ac:dyDescent="0.2">
      <c r="G199"/>
      <c r="H199"/>
      <c r="I199"/>
      <c r="J199"/>
      <c r="K199"/>
      <c r="L199"/>
    </row>
    <row r="200" spans="7:12" x14ac:dyDescent="0.2">
      <c r="G200"/>
      <c r="H200"/>
      <c r="I200"/>
      <c r="J200"/>
      <c r="K200"/>
      <c r="L200"/>
    </row>
    <row r="201" spans="7:12" x14ac:dyDescent="0.2">
      <c r="G201"/>
      <c r="H201"/>
      <c r="I201"/>
      <c r="J201"/>
      <c r="K201"/>
      <c r="L201"/>
    </row>
    <row r="202" spans="7:12" x14ac:dyDescent="0.2">
      <c r="G202"/>
      <c r="H202"/>
      <c r="I202"/>
      <c r="J202"/>
      <c r="K202"/>
      <c r="L202"/>
    </row>
    <row r="203" spans="7:12" x14ac:dyDescent="0.2">
      <c r="G203"/>
      <c r="H203"/>
      <c r="I203"/>
      <c r="J203"/>
      <c r="K203"/>
      <c r="L203"/>
    </row>
    <row r="204" spans="7:12" x14ac:dyDescent="0.2">
      <c r="G204"/>
      <c r="H204"/>
      <c r="I204"/>
      <c r="J204"/>
      <c r="K204"/>
      <c r="L204"/>
    </row>
    <row r="205" spans="7:12" x14ac:dyDescent="0.2">
      <c r="G205"/>
      <c r="H205"/>
      <c r="I205"/>
      <c r="J205"/>
      <c r="K205"/>
      <c r="L205"/>
    </row>
    <row r="206" spans="7:12" x14ac:dyDescent="0.2">
      <c r="G206"/>
      <c r="H206"/>
      <c r="I206"/>
      <c r="J206"/>
      <c r="K206"/>
      <c r="L206"/>
    </row>
    <row r="207" spans="7:12" x14ac:dyDescent="0.2">
      <c r="G207"/>
      <c r="H207"/>
      <c r="I207"/>
      <c r="J207"/>
      <c r="K207"/>
      <c r="L207"/>
    </row>
    <row r="208" spans="7:12" x14ac:dyDescent="0.2">
      <c r="G208"/>
      <c r="H208"/>
      <c r="I208"/>
      <c r="J208"/>
      <c r="K208"/>
      <c r="L208"/>
    </row>
    <row r="209" spans="7:12" x14ac:dyDescent="0.2">
      <c r="G209"/>
      <c r="H209"/>
      <c r="I209"/>
      <c r="J209"/>
      <c r="K209"/>
      <c r="L209"/>
    </row>
    <row r="210" spans="7:12" x14ac:dyDescent="0.2">
      <c r="G210"/>
      <c r="H210"/>
      <c r="I210"/>
      <c r="J210"/>
      <c r="K210"/>
      <c r="L210"/>
    </row>
    <row r="211" spans="7:12" x14ac:dyDescent="0.2">
      <c r="G211"/>
      <c r="H211"/>
      <c r="I211"/>
      <c r="J211"/>
      <c r="K211"/>
      <c r="L211"/>
    </row>
    <row r="212" spans="7:12" x14ac:dyDescent="0.2">
      <c r="G212"/>
      <c r="H212"/>
      <c r="I212"/>
      <c r="J212"/>
      <c r="K212"/>
      <c r="L212"/>
    </row>
    <row r="213" spans="7:12" x14ac:dyDescent="0.2">
      <c r="G213"/>
      <c r="H213"/>
      <c r="I213"/>
      <c r="J213"/>
      <c r="K213"/>
      <c r="L213"/>
    </row>
    <row r="214" spans="7:12" x14ac:dyDescent="0.2">
      <c r="G214"/>
      <c r="H214"/>
      <c r="I214"/>
      <c r="J214"/>
      <c r="K214"/>
      <c r="L214"/>
    </row>
    <row r="215" spans="7:12" x14ac:dyDescent="0.2">
      <c r="G215"/>
      <c r="H215"/>
      <c r="I215"/>
      <c r="J215"/>
      <c r="K215"/>
      <c r="L215"/>
    </row>
    <row r="216" spans="7:12" x14ac:dyDescent="0.2">
      <c r="G216"/>
      <c r="H216"/>
      <c r="I216"/>
      <c r="J216"/>
      <c r="K216"/>
      <c r="L216"/>
    </row>
    <row r="217" spans="7:12" x14ac:dyDescent="0.2">
      <c r="G217"/>
      <c r="H217"/>
      <c r="I217"/>
      <c r="J217"/>
      <c r="K217"/>
      <c r="L217"/>
    </row>
    <row r="218" spans="7:12" x14ac:dyDescent="0.2">
      <c r="G218"/>
      <c r="H218"/>
      <c r="I218"/>
      <c r="J218"/>
      <c r="K218"/>
      <c r="L218"/>
    </row>
    <row r="219" spans="7:12" x14ac:dyDescent="0.2">
      <c r="G219"/>
      <c r="H219"/>
      <c r="I219"/>
      <c r="J219"/>
      <c r="K219"/>
      <c r="L219"/>
    </row>
    <row r="220" spans="7:12" x14ac:dyDescent="0.2">
      <c r="G220"/>
      <c r="H220"/>
      <c r="I220"/>
      <c r="J220"/>
      <c r="K220"/>
      <c r="L220"/>
    </row>
    <row r="221" spans="7:12" x14ac:dyDescent="0.2">
      <c r="G221"/>
      <c r="H221"/>
      <c r="I221"/>
      <c r="J221"/>
      <c r="K221"/>
      <c r="L221"/>
    </row>
    <row r="222" spans="7:12" x14ac:dyDescent="0.2">
      <c r="G222"/>
      <c r="H222"/>
      <c r="I222"/>
      <c r="J222"/>
      <c r="K222"/>
      <c r="L222"/>
    </row>
    <row r="223" spans="7:12" x14ac:dyDescent="0.2">
      <c r="G223"/>
      <c r="H223"/>
      <c r="I223"/>
      <c r="J223"/>
      <c r="K223"/>
      <c r="L223"/>
    </row>
    <row r="224" spans="7:12" x14ac:dyDescent="0.2">
      <c r="G224"/>
      <c r="H224"/>
      <c r="I224"/>
      <c r="J224"/>
      <c r="K224"/>
      <c r="L224"/>
    </row>
    <row r="225" spans="7:12" x14ac:dyDescent="0.2">
      <c r="G225"/>
      <c r="H225"/>
      <c r="I225"/>
      <c r="J225"/>
      <c r="K225"/>
      <c r="L225"/>
    </row>
    <row r="226" spans="7:12" x14ac:dyDescent="0.2">
      <c r="G226"/>
      <c r="H226"/>
      <c r="I226"/>
      <c r="J226"/>
      <c r="K226"/>
      <c r="L226"/>
    </row>
    <row r="227" spans="7:12" x14ac:dyDescent="0.2">
      <c r="G227"/>
      <c r="H227"/>
      <c r="I227"/>
      <c r="J227"/>
      <c r="K227"/>
      <c r="L227"/>
    </row>
    <row r="228" spans="7:12" x14ac:dyDescent="0.2">
      <c r="G228"/>
      <c r="H228"/>
      <c r="I228"/>
      <c r="J228"/>
      <c r="K228"/>
      <c r="L228"/>
    </row>
    <row r="229" spans="7:12" x14ac:dyDescent="0.2">
      <c r="G229"/>
      <c r="H229"/>
      <c r="I229"/>
      <c r="J229"/>
      <c r="K229"/>
      <c r="L229"/>
    </row>
    <row r="230" spans="7:12" x14ac:dyDescent="0.2">
      <c r="G230"/>
      <c r="H230"/>
      <c r="I230"/>
      <c r="J230"/>
      <c r="K230"/>
      <c r="L230"/>
    </row>
    <row r="231" spans="7:12" x14ac:dyDescent="0.2">
      <c r="G231"/>
      <c r="H231"/>
      <c r="I231"/>
      <c r="J231"/>
      <c r="K231"/>
      <c r="L231"/>
    </row>
    <row r="232" spans="7:12" x14ac:dyDescent="0.2">
      <c r="G232"/>
      <c r="H232"/>
      <c r="I232"/>
      <c r="J232"/>
      <c r="K232"/>
      <c r="L232"/>
    </row>
    <row r="233" spans="7:12" x14ac:dyDescent="0.2">
      <c r="G233"/>
      <c r="H233"/>
      <c r="I233"/>
      <c r="J233"/>
      <c r="K233"/>
      <c r="L233"/>
    </row>
    <row r="234" spans="7:12" x14ac:dyDescent="0.2">
      <c r="G234"/>
      <c r="H234"/>
      <c r="I234"/>
      <c r="J234"/>
      <c r="K234"/>
      <c r="L234"/>
    </row>
    <row r="235" spans="7:12" x14ac:dyDescent="0.2">
      <c r="G235"/>
      <c r="H235"/>
      <c r="I235"/>
      <c r="J235"/>
      <c r="K235"/>
      <c r="L235"/>
    </row>
    <row r="236" spans="7:12" x14ac:dyDescent="0.2">
      <c r="G236"/>
      <c r="H236"/>
      <c r="I236"/>
      <c r="J236"/>
      <c r="K236"/>
      <c r="L236"/>
    </row>
    <row r="237" spans="7:12" x14ac:dyDescent="0.2">
      <c r="G237"/>
      <c r="H237"/>
      <c r="I237"/>
      <c r="J237"/>
      <c r="K237"/>
      <c r="L237"/>
    </row>
    <row r="238" spans="7:12" x14ac:dyDescent="0.2">
      <c r="G238"/>
      <c r="H238"/>
      <c r="I238"/>
      <c r="J238"/>
      <c r="K238"/>
      <c r="L238"/>
    </row>
    <row r="239" spans="7:12" x14ac:dyDescent="0.2">
      <c r="G239"/>
      <c r="H239"/>
      <c r="I239"/>
      <c r="J239"/>
      <c r="K239"/>
      <c r="L239"/>
    </row>
    <row r="240" spans="7:12" x14ac:dyDescent="0.2">
      <c r="G240"/>
      <c r="H240"/>
      <c r="I240"/>
      <c r="J240"/>
      <c r="K240"/>
      <c r="L240"/>
    </row>
    <row r="241" spans="7:12" x14ac:dyDescent="0.2">
      <c r="G241"/>
      <c r="H241"/>
      <c r="I241"/>
      <c r="J241"/>
      <c r="K241"/>
      <c r="L241"/>
    </row>
    <row r="242" spans="7:12" x14ac:dyDescent="0.2">
      <c r="G242"/>
      <c r="H242"/>
      <c r="I242"/>
      <c r="J242"/>
      <c r="K242"/>
      <c r="L242"/>
    </row>
    <row r="243" spans="7:12" x14ac:dyDescent="0.2">
      <c r="G243"/>
      <c r="H243"/>
      <c r="I243"/>
      <c r="J243"/>
      <c r="K243"/>
      <c r="L243"/>
    </row>
    <row r="244" spans="7:12" x14ac:dyDescent="0.2">
      <c r="G244"/>
      <c r="H244"/>
      <c r="I244"/>
      <c r="J244"/>
      <c r="K244"/>
      <c r="L244"/>
    </row>
    <row r="245" spans="7:12" x14ac:dyDescent="0.2">
      <c r="G245"/>
      <c r="H245"/>
      <c r="I245"/>
      <c r="J245"/>
      <c r="K245"/>
      <c r="L245"/>
    </row>
    <row r="246" spans="7:12" x14ac:dyDescent="0.2">
      <c r="G246"/>
      <c r="H246"/>
      <c r="I246"/>
      <c r="J246"/>
      <c r="K246"/>
      <c r="L246"/>
    </row>
    <row r="247" spans="7:12" x14ac:dyDescent="0.2">
      <c r="G247"/>
      <c r="H247"/>
      <c r="I247"/>
      <c r="J247"/>
      <c r="K247"/>
      <c r="L247"/>
    </row>
    <row r="248" spans="7:12" x14ac:dyDescent="0.2">
      <c r="G248"/>
      <c r="H248"/>
      <c r="I248"/>
      <c r="J248"/>
      <c r="K248"/>
      <c r="L248"/>
    </row>
    <row r="249" spans="7:12" x14ac:dyDescent="0.2">
      <c r="G249"/>
      <c r="H249"/>
      <c r="I249"/>
      <c r="J249"/>
      <c r="K249"/>
      <c r="L249"/>
    </row>
    <row r="250" spans="7:12" x14ac:dyDescent="0.2">
      <c r="G250"/>
      <c r="H250"/>
      <c r="I250"/>
      <c r="J250"/>
      <c r="K250"/>
      <c r="L250"/>
    </row>
    <row r="251" spans="7:12" x14ac:dyDescent="0.2">
      <c r="G251"/>
      <c r="H251"/>
      <c r="I251"/>
      <c r="J251"/>
      <c r="K251"/>
      <c r="L251"/>
    </row>
    <row r="252" spans="7:12" x14ac:dyDescent="0.2">
      <c r="G252"/>
      <c r="H252"/>
      <c r="I252"/>
      <c r="J252"/>
      <c r="K252"/>
      <c r="L252"/>
    </row>
    <row r="253" spans="7:12" x14ac:dyDescent="0.2">
      <c r="G253"/>
      <c r="H253"/>
      <c r="I253"/>
      <c r="J253"/>
      <c r="K253"/>
      <c r="L253"/>
    </row>
    <row r="254" spans="7:12" x14ac:dyDescent="0.2">
      <c r="G254"/>
      <c r="H254"/>
      <c r="I254"/>
      <c r="J254"/>
      <c r="K254"/>
      <c r="L254"/>
    </row>
    <row r="255" spans="7:12" x14ac:dyDescent="0.2">
      <c r="G255"/>
      <c r="H255"/>
      <c r="I255"/>
      <c r="J255"/>
      <c r="K255"/>
      <c r="L255"/>
    </row>
    <row r="256" spans="7:12" x14ac:dyDescent="0.2">
      <c r="G256"/>
      <c r="H256"/>
      <c r="I256"/>
      <c r="J256"/>
      <c r="K256"/>
      <c r="L256"/>
    </row>
    <row r="257" spans="7:12" x14ac:dyDescent="0.2">
      <c r="G257"/>
      <c r="H257"/>
      <c r="I257"/>
      <c r="J257"/>
      <c r="K257"/>
      <c r="L257"/>
    </row>
    <row r="258" spans="7:12" x14ac:dyDescent="0.2">
      <c r="G258"/>
      <c r="H258"/>
      <c r="I258"/>
      <c r="J258"/>
      <c r="K258"/>
      <c r="L258"/>
    </row>
    <row r="259" spans="7:12" x14ac:dyDescent="0.2">
      <c r="G259"/>
      <c r="H259"/>
      <c r="I259"/>
      <c r="J259"/>
      <c r="K259"/>
      <c r="L259"/>
    </row>
    <row r="260" spans="7:12" x14ac:dyDescent="0.2">
      <c r="G260"/>
      <c r="H260"/>
      <c r="I260"/>
      <c r="J260"/>
      <c r="K260"/>
      <c r="L260"/>
    </row>
    <row r="261" spans="7:12" x14ac:dyDescent="0.2">
      <c r="G261"/>
      <c r="H261"/>
      <c r="I261"/>
      <c r="J261"/>
      <c r="K261"/>
      <c r="L261"/>
    </row>
    <row r="262" spans="7:12" x14ac:dyDescent="0.2">
      <c r="G262"/>
      <c r="H262"/>
      <c r="I262"/>
      <c r="J262"/>
      <c r="K262"/>
      <c r="L262"/>
    </row>
    <row r="263" spans="7:12" x14ac:dyDescent="0.2">
      <c r="G263"/>
      <c r="H263"/>
      <c r="I263"/>
      <c r="J263"/>
      <c r="K263"/>
      <c r="L263"/>
    </row>
    <row r="264" spans="7:12" x14ac:dyDescent="0.2">
      <c r="G264"/>
      <c r="H264"/>
      <c r="I264"/>
      <c r="J264"/>
      <c r="K264"/>
      <c r="L264"/>
    </row>
    <row r="265" spans="7:12" x14ac:dyDescent="0.2">
      <c r="G265"/>
      <c r="H265"/>
      <c r="I265"/>
      <c r="J265"/>
      <c r="K265"/>
      <c r="L265"/>
    </row>
    <row r="266" spans="7:12" x14ac:dyDescent="0.2">
      <c r="G266"/>
      <c r="H266"/>
      <c r="I266"/>
      <c r="J266"/>
      <c r="K266"/>
      <c r="L266"/>
    </row>
    <row r="267" spans="7:12" x14ac:dyDescent="0.2">
      <c r="G267"/>
      <c r="H267"/>
      <c r="I267"/>
      <c r="J267"/>
      <c r="K267"/>
      <c r="L267"/>
    </row>
    <row r="268" spans="7:12" x14ac:dyDescent="0.2">
      <c r="G268"/>
      <c r="H268"/>
      <c r="I268"/>
      <c r="J268"/>
      <c r="K268"/>
      <c r="L268"/>
    </row>
    <row r="269" spans="7:12" x14ac:dyDescent="0.2">
      <c r="G269"/>
      <c r="H269"/>
      <c r="I269"/>
      <c r="J269"/>
      <c r="K269"/>
      <c r="L269"/>
    </row>
    <row r="270" spans="7:12" x14ac:dyDescent="0.2">
      <c r="G270"/>
      <c r="H270"/>
      <c r="I270"/>
      <c r="J270"/>
      <c r="K270"/>
      <c r="L270"/>
    </row>
    <row r="271" spans="7:12" x14ac:dyDescent="0.2">
      <c r="G271"/>
      <c r="H271"/>
      <c r="I271"/>
      <c r="J271"/>
      <c r="K271"/>
      <c r="L271"/>
    </row>
    <row r="272" spans="7:12" x14ac:dyDescent="0.2">
      <c r="G272"/>
      <c r="H272"/>
      <c r="I272"/>
      <c r="J272"/>
      <c r="K272"/>
      <c r="L272"/>
    </row>
    <row r="273" spans="7:12" x14ac:dyDescent="0.2">
      <c r="G273"/>
      <c r="H273"/>
      <c r="I273"/>
      <c r="J273"/>
      <c r="K273"/>
      <c r="L273"/>
    </row>
    <row r="274" spans="7:12" x14ac:dyDescent="0.2">
      <c r="G274"/>
      <c r="H274"/>
      <c r="I274"/>
      <c r="J274"/>
      <c r="K274"/>
      <c r="L274"/>
    </row>
    <row r="275" spans="7:12" x14ac:dyDescent="0.2">
      <c r="G275"/>
      <c r="H275"/>
      <c r="I275"/>
      <c r="J275"/>
      <c r="K275"/>
      <c r="L275"/>
    </row>
    <row r="276" spans="7:12" x14ac:dyDescent="0.2">
      <c r="G276"/>
      <c r="H276"/>
      <c r="I276"/>
      <c r="J276"/>
      <c r="K276"/>
      <c r="L276"/>
    </row>
    <row r="277" spans="7:12" x14ac:dyDescent="0.2">
      <c r="G277"/>
      <c r="H277"/>
      <c r="I277"/>
      <c r="J277"/>
      <c r="K277"/>
      <c r="L277"/>
    </row>
    <row r="278" spans="7:12" x14ac:dyDescent="0.2">
      <c r="G278"/>
      <c r="H278"/>
      <c r="I278"/>
      <c r="J278"/>
      <c r="K278"/>
      <c r="L278"/>
    </row>
    <row r="279" spans="7:12" x14ac:dyDescent="0.2">
      <c r="G279"/>
      <c r="H279"/>
      <c r="I279"/>
      <c r="J279"/>
      <c r="K279"/>
      <c r="L279"/>
    </row>
    <row r="280" spans="7:12" x14ac:dyDescent="0.2">
      <c r="G280"/>
      <c r="H280"/>
      <c r="I280"/>
      <c r="J280"/>
      <c r="K280"/>
      <c r="L280"/>
    </row>
    <row r="281" spans="7:12" x14ac:dyDescent="0.2">
      <c r="G281"/>
      <c r="H281"/>
      <c r="I281"/>
      <c r="J281"/>
      <c r="K281"/>
      <c r="L281"/>
    </row>
    <row r="282" spans="7:12" x14ac:dyDescent="0.2">
      <c r="G282"/>
      <c r="H282"/>
      <c r="I282"/>
      <c r="J282"/>
      <c r="K282"/>
      <c r="L282"/>
    </row>
    <row r="283" spans="7:12" x14ac:dyDescent="0.2">
      <c r="G283"/>
      <c r="H283"/>
      <c r="I283"/>
      <c r="J283"/>
      <c r="K283"/>
      <c r="L283"/>
    </row>
    <row r="284" spans="7:12" x14ac:dyDescent="0.2">
      <c r="G284"/>
      <c r="H284"/>
      <c r="I284"/>
      <c r="J284"/>
      <c r="K284"/>
      <c r="L284"/>
    </row>
    <row r="285" spans="7:12" x14ac:dyDescent="0.2">
      <c r="G285"/>
      <c r="H285"/>
      <c r="I285"/>
      <c r="J285"/>
      <c r="K285"/>
      <c r="L285"/>
    </row>
    <row r="286" spans="7:12" x14ac:dyDescent="0.2">
      <c r="G286"/>
      <c r="H286"/>
      <c r="I286"/>
      <c r="J286"/>
      <c r="K286"/>
      <c r="L286"/>
    </row>
    <row r="287" spans="7:12" x14ac:dyDescent="0.2">
      <c r="G287"/>
      <c r="H287"/>
      <c r="I287"/>
      <c r="J287"/>
      <c r="K287"/>
      <c r="L287"/>
    </row>
    <row r="288" spans="7:12" x14ac:dyDescent="0.2">
      <c r="G288"/>
      <c r="H288"/>
      <c r="I288"/>
      <c r="J288"/>
      <c r="K288"/>
      <c r="L288"/>
    </row>
    <row r="289" spans="7:12" x14ac:dyDescent="0.2">
      <c r="G289"/>
      <c r="H289"/>
      <c r="I289"/>
      <c r="J289"/>
      <c r="K289"/>
      <c r="L289"/>
    </row>
    <row r="290" spans="7:12" x14ac:dyDescent="0.2">
      <c r="G290"/>
      <c r="H290"/>
      <c r="I290"/>
      <c r="J290"/>
      <c r="K290"/>
      <c r="L290"/>
    </row>
    <row r="291" spans="7:12" x14ac:dyDescent="0.2">
      <c r="G291"/>
      <c r="H291"/>
      <c r="I291"/>
      <c r="J291"/>
      <c r="K291"/>
      <c r="L291"/>
    </row>
    <row r="292" spans="7:12" x14ac:dyDescent="0.2">
      <c r="G292"/>
      <c r="H292"/>
      <c r="I292"/>
      <c r="J292"/>
      <c r="K292"/>
      <c r="L292"/>
    </row>
    <row r="293" spans="7:12" x14ac:dyDescent="0.2">
      <c r="G293"/>
      <c r="H293"/>
      <c r="I293"/>
      <c r="J293"/>
      <c r="K293"/>
      <c r="L293"/>
    </row>
    <row r="294" spans="7:12" x14ac:dyDescent="0.2">
      <c r="G294"/>
      <c r="H294"/>
      <c r="I294"/>
      <c r="J294"/>
      <c r="K294"/>
      <c r="L294"/>
    </row>
    <row r="295" spans="7:12" x14ac:dyDescent="0.2">
      <c r="G295"/>
      <c r="H295"/>
      <c r="I295"/>
      <c r="J295"/>
      <c r="K295"/>
      <c r="L295"/>
    </row>
    <row r="296" spans="7:12" x14ac:dyDescent="0.2">
      <c r="G296"/>
      <c r="H296"/>
      <c r="I296"/>
      <c r="J296"/>
      <c r="K296"/>
      <c r="L296"/>
    </row>
    <row r="297" spans="7:12" x14ac:dyDescent="0.2">
      <c r="G297"/>
      <c r="H297"/>
      <c r="I297"/>
      <c r="J297"/>
      <c r="K297"/>
      <c r="L297"/>
    </row>
    <row r="298" spans="7:12" x14ac:dyDescent="0.2">
      <c r="G298"/>
      <c r="H298"/>
      <c r="I298"/>
      <c r="J298"/>
      <c r="K298"/>
      <c r="L298"/>
    </row>
    <row r="299" spans="7:12" x14ac:dyDescent="0.2">
      <c r="G299"/>
      <c r="H299"/>
      <c r="I299"/>
      <c r="J299"/>
      <c r="K299"/>
      <c r="L299"/>
    </row>
    <row r="300" spans="7:12" x14ac:dyDescent="0.2">
      <c r="G300"/>
      <c r="H300"/>
      <c r="I300"/>
      <c r="J300"/>
      <c r="K300"/>
      <c r="L300"/>
    </row>
    <row r="301" spans="7:12" x14ac:dyDescent="0.2">
      <c r="G301"/>
      <c r="H301"/>
      <c r="I301"/>
      <c r="J301"/>
      <c r="K301"/>
      <c r="L301"/>
    </row>
    <row r="302" spans="7:12" x14ac:dyDescent="0.2">
      <c r="G302"/>
      <c r="H302"/>
      <c r="I302"/>
      <c r="J302"/>
      <c r="K302"/>
      <c r="L302"/>
    </row>
    <row r="303" spans="7:12" x14ac:dyDescent="0.2">
      <c r="G303"/>
      <c r="H303"/>
      <c r="I303"/>
      <c r="J303"/>
      <c r="K303"/>
      <c r="L303"/>
    </row>
    <row r="304" spans="7:12" x14ac:dyDescent="0.2">
      <c r="G304"/>
      <c r="H304"/>
      <c r="I304"/>
      <c r="J304"/>
      <c r="K304"/>
      <c r="L304"/>
    </row>
    <row r="305" spans="7:12" x14ac:dyDescent="0.2">
      <c r="G305"/>
      <c r="H305"/>
      <c r="I305"/>
      <c r="J305"/>
      <c r="K305"/>
      <c r="L305"/>
    </row>
    <row r="306" spans="7:12" x14ac:dyDescent="0.2">
      <c r="G306"/>
      <c r="H306"/>
      <c r="I306"/>
      <c r="J306"/>
      <c r="K306"/>
      <c r="L306"/>
    </row>
    <row r="307" spans="7:12" x14ac:dyDescent="0.2">
      <c r="G307"/>
      <c r="H307"/>
      <c r="I307"/>
      <c r="J307"/>
      <c r="K307"/>
      <c r="L307"/>
    </row>
    <row r="308" spans="7:12" x14ac:dyDescent="0.2">
      <c r="G308"/>
      <c r="H308"/>
      <c r="I308"/>
      <c r="J308"/>
      <c r="K308"/>
      <c r="L308"/>
    </row>
    <row r="309" spans="7:12" x14ac:dyDescent="0.2">
      <c r="G309"/>
      <c r="H309"/>
      <c r="I309"/>
      <c r="J309"/>
      <c r="K309"/>
      <c r="L309"/>
    </row>
    <row r="310" spans="7:12" x14ac:dyDescent="0.2">
      <c r="G310"/>
      <c r="H310"/>
      <c r="I310"/>
      <c r="J310"/>
      <c r="K310"/>
      <c r="L310"/>
    </row>
    <row r="311" spans="7:12" x14ac:dyDescent="0.2">
      <c r="G311"/>
      <c r="H311"/>
      <c r="I311"/>
      <c r="J311"/>
      <c r="K311"/>
      <c r="L311"/>
    </row>
    <row r="312" spans="7:12" x14ac:dyDescent="0.2">
      <c r="G312"/>
      <c r="H312"/>
      <c r="I312"/>
      <c r="J312"/>
      <c r="K312"/>
      <c r="L312"/>
    </row>
    <row r="313" spans="7:12" x14ac:dyDescent="0.2">
      <c r="G313"/>
      <c r="H313"/>
      <c r="I313"/>
      <c r="J313"/>
      <c r="K313"/>
      <c r="L313"/>
    </row>
    <row r="314" spans="7:12" x14ac:dyDescent="0.2">
      <c r="G314"/>
      <c r="H314"/>
      <c r="I314"/>
      <c r="J314"/>
      <c r="K314"/>
      <c r="L314"/>
    </row>
    <row r="315" spans="7:12" x14ac:dyDescent="0.2">
      <c r="G315"/>
      <c r="H315"/>
      <c r="I315"/>
      <c r="J315"/>
      <c r="K315"/>
      <c r="L315"/>
    </row>
    <row r="316" spans="7:12" x14ac:dyDescent="0.2">
      <c r="G316"/>
      <c r="H316"/>
      <c r="I316"/>
      <c r="J316"/>
      <c r="K316"/>
      <c r="L316"/>
    </row>
    <row r="317" spans="7:12" x14ac:dyDescent="0.2">
      <c r="G317"/>
      <c r="H317"/>
      <c r="I317"/>
      <c r="J317"/>
      <c r="K317"/>
      <c r="L317"/>
    </row>
    <row r="318" spans="7:12" x14ac:dyDescent="0.2">
      <c r="G318"/>
      <c r="H318"/>
      <c r="I318"/>
      <c r="J318"/>
      <c r="K318"/>
      <c r="L318"/>
    </row>
    <row r="319" spans="7:12" x14ac:dyDescent="0.2">
      <c r="G319"/>
      <c r="H319"/>
      <c r="I319"/>
      <c r="J319"/>
      <c r="K319"/>
      <c r="L319"/>
    </row>
    <row r="320" spans="7:12" x14ac:dyDescent="0.2">
      <c r="G320"/>
      <c r="H320"/>
      <c r="I320"/>
      <c r="J320"/>
      <c r="K320"/>
      <c r="L320"/>
    </row>
    <row r="321" spans="7:12" x14ac:dyDescent="0.2">
      <c r="G321"/>
      <c r="H321"/>
      <c r="I321"/>
      <c r="J321"/>
      <c r="K321"/>
      <c r="L321"/>
    </row>
    <row r="322" spans="7:12" x14ac:dyDescent="0.2">
      <c r="G322"/>
      <c r="H322"/>
      <c r="I322"/>
      <c r="J322"/>
      <c r="K322"/>
      <c r="L322"/>
    </row>
    <row r="323" spans="7:12" x14ac:dyDescent="0.2">
      <c r="G323"/>
      <c r="H323"/>
      <c r="I323"/>
      <c r="J323"/>
      <c r="K323"/>
      <c r="L323"/>
    </row>
    <row r="324" spans="7:12" x14ac:dyDescent="0.2">
      <c r="G324"/>
      <c r="H324"/>
      <c r="I324"/>
      <c r="J324"/>
      <c r="K324"/>
      <c r="L324"/>
    </row>
    <row r="325" spans="7:12" x14ac:dyDescent="0.2">
      <c r="G325"/>
      <c r="H325"/>
      <c r="I325"/>
      <c r="J325"/>
      <c r="K325"/>
      <c r="L325"/>
    </row>
    <row r="326" spans="7:12" x14ac:dyDescent="0.2">
      <c r="G326"/>
      <c r="H326"/>
      <c r="I326"/>
      <c r="J326"/>
      <c r="K326"/>
      <c r="L326"/>
    </row>
    <row r="327" spans="7:12" x14ac:dyDescent="0.2">
      <c r="G327"/>
      <c r="H327"/>
      <c r="I327"/>
      <c r="J327"/>
      <c r="K327"/>
      <c r="L327"/>
    </row>
    <row r="328" spans="7:12" x14ac:dyDescent="0.2">
      <c r="G328"/>
      <c r="H328"/>
      <c r="I328"/>
      <c r="J328"/>
      <c r="K328"/>
      <c r="L328"/>
    </row>
    <row r="329" spans="7:12" x14ac:dyDescent="0.2">
      <c r="G329"/>
      <c r="H329"/>
      <c r="I329"/>
      <c r="J329"/>
      <c r="K329"/>
      <c r="L329"/>
    </row>
    <row r="330" spans="7:12" x14ac:dyDescent="0.2">
      <c r="G330"/>
      <c r="H330"/>
      <c r="I330"/>
      <c r="J330"/>
      <c r="K330"/>
      <c r="L330"/>
    </row>
    <row r="331" spans="7:12" x14ac:dyDescent="0.2">
      <c r="G331"/>
      <c r="H331"/>
      <c r="I331"/>
      <c r="J331"/>
      <c r="K331"/>
      <c r="L331"/>
    </row>
    <row r="332" spans="7:12" x14ac:dyDescent="0.2">
      <c r="G332"/>
      <c r="H332"/>
      <c r="I332"/>
      <c r="J332"/>
      <c r="K332"/>
      <c r="L332"/>
    </row>
    <row r="333" spans="7:12" x14ac:dyDescent="0.2">
      <c r="G333"/>
      <c r="H333"/>
      <c r="I333"/>
      <c r="J333"/>
      <c r="K333"/>
      <c r="L333"/>
    </row>
    <row r="334" spans="7:12" x14ac:dyDescent="0.2">
      <c r="G334"/>
      <c r="H334"/>
      <c r="I334"/>
      <c r="J334"/>
      <c r="K334"/>
      <c r="L334"/>
    </row>
    <row r="335" spans="7:12" x14ac:dyDescent="0.2">
      <c r="G335"/>
      <c r="H335"/>
      <c r="I335"/>
      <c r="J335"/>
      <c r="K335"/>
      <c r="L335"/>
    </row>
    <row r="336" spans="7:12" x14ac:dyDescent="0.2">
      <c r="G336"/>
      <c r="H336"/>
      <c r="I336"/>
      <c r="J336"/>
      <c r="K336"/>
      <c r="L336"/>
    </row>
    <row r="337" spans="7:12" x14ac:dyDescent="0.2">
      <c r="G337"/>
      <c r="H337"/>
      <c r="I337"/>
      <c r="J337"/>
      <c r="K337"/>
      <c r="L337"/>
    </row>
    <row r="338" spans="7:12" x14ac:dyDescent="0.2">
      <c r="G338"/>
      <c r="H338"/>
      <c r="I338"/>
      <c r="J338"/>
      <c r="K338"/>
      <c r="L338"/>
    </row>
    <row r="339" spans="7:12" x14ac:dyDescent="0.2">
      <c r="G339"/>
      <c r="H339"/>
      <c r="I339"/>
      <c r="J339"/>
      <c r="K339"/>
      <c r="L339"/>
    </row>
    <row r="340" spans="7:12" x14ac:dyDescent="0.2">
      <c r="G340"/>
      <c r="H340"/>
      <c r="I340"/>
      <c r="J340"/>
      <c r="K340"/>
      <c r="L340"/>
    </row>
    <row r="341" spans="7:12" x14ac:dyDescent="0.2">
      <c r="G341"/>
      <c r="H341"/>
      <c r="I341"/>
      <c r="J341"/>
      <c r="K341"/>
      <c r="L341"/>
    </row>
    <row r="342" spans="7:12" x14ac:dyDescent="0.2">
      <c r="G342"/>
      <c r="H342"/>
      <c r="I342"/>
      <c r="J342"/>
      <c r="K342"/>
      <c r="L342"/>
    </row>
    <row r="343" spans="7:12" x14ac:dyDescent="0.2">
      <c r="G343"/>
      <c r="H343"/>
      <c r="I343"/>
      <c r="J343"/>
      <c r="K343"/>
      <c r="L343"/>
    </row>
    <row r="344" spans="7:12" x14ac:dyDescent="0.2">
      <c r="G344"/>
      <c r="H344"/>
      <c r="I344"/>
      <c r="J344"/>
      <c r="K344"/>
      <c r="L344"/>
    </row>
    <row r="345" spans="7:12" x14ac:dyDescent="0.2">
      <c r="G345"/>
      <c r="H345"/>
      <c r="I345"/>
      <c r="J345"/>
      <c r="K345"/>
      <c r="L345"/>
    </row>
    <row r="346" spans="7:12" x14ac:dyDescent="0.2">
      <c r="G346"/>
      <c r="H346"/>
      <c r="I346"/>
      <c r="J346"/>
      <c r="K346"/>
      <c r="L346"/>
    </row>
    <row r="347" spans="7:12" x14ac:dyDescent="0.2">
      <c r="G347"/>
      <c r="H347"/>
      <c r="I347"/>
      <c r="J347"/>
      <c r="K347"/>
      <c r="L347"/>
    </row>
    <row r="348" spans="7:12" x14ac:dyDescent="0.2">
      <c r="G348"/>
      <c r="H348"/>
      <c r="I348"/>
      <c r="J348"/>
      <c r="K348"/>
      <c r="L348"/>
    </row>
    <row r="349" spans="7:12" x14ac:dyDescent="0.2">
      <c r="G349"/>
      <c r="H349"/>
      <c r="I349"/>
      <c r="J349"/>
      <c r="K349"/>
      <c r="L349"/>
    </row>
    <row r="350" spans="7:12" x14ac:dyDescent="0.2">
      <c r="G350"/>
      <c r="H350"/>
      <c r="I350"/>
      <c r="J350"/>
      <c r="K350"/>
      <c r="L350"/>
    </row>
    <row r="351" spans="7:12" x14ac:dyDescent="0.2">
      <c r="G351"/>
      <c r="H351"/>
      <c r="I351"/>
      <c r="J351"/>
      <c r="K351"/>
      <c r="L351"/>
    </row>
    <row r="352" spans="7:12" x14ac:dyDescent="0.2">
      <c r="L352"/>
    </row>
    <row r="353" spans="12:12" x14ac:dyDescent="0.2">
      <c r="L353"/>
    </row>
    <row r="354" spans="12:12" x14ac:dyDescent="0.2">
      <c r="L354"/>
    </row>
    <row r="355" spans="12:12" x14ac:dyDescent="0.2">
      <c r="L355"/>
    </row>
    <row r="356" spans="12:12" x14ac:dyDescent="0.2">
      <c r="L356"/>
    </row>
    <row r="357" spans="12:12" x14ac:dyDescent="0.2">
      <c r="L357"/>
    </row>
    <row r="358" spans="12:12" x14ac:dyDescent="0.2">
      <c r="L358"/>
    </row>
    <row r="359" spans="12:12" x14ac:dyDescent="0.2">
      <c r="L359"/>
    </row>
    <row r="360" spans="12:12" x14ac:dyDescent="0.2">
      <c r="L360"/>
    </row>
    <row r="361" spans="12:12" x14ac:dyDescent="0.2">
      <c r="L361"/>
    </row>
    <row r="362" spans="12:12" x14ac:dyDescent="0.2">
      <c r="L362"/>
    </row>
    <row r="363" spans="12:12" x14ac:dyDescent="0.2">
      <c r="L363"/>
    </row>
    <row r="364" spans="12:12" x14ac:dyDescent="0.2">
      <c r="L364"/>
    </row>
    <row r="365" spans="12:12" x14ac:dyDescent="0.2">
      <c r="L365"/>
    </row>
    <row r="366" spans="12:12" x14ac:dyDescent="0.2">
      <c r="L366"/>
    </row>
    <row r="367" spans="12:12" x14ac:dyDescent="0.2">
      <c r="L367"/>
    </row>
    <row r="368" spans="12:12" x14ac:dyDescent="0.2">
      <c r="L368"/>
    </row>
    <row r="369" spans="12:12" x14ac:dyDescent="0.2">
      <c r="L369"/>
    </row>
    <row r="370" spans="12:12" x14ac:dyDescent="0.2">
      <c r="L370"/>
    </row>
    <row r="371" spans="12:12" x14ac:dyDescent="0.2">
      <c r="L371"/>
    </row>
    <row r="372" spans="12:12" x14ac:dyDescent="0.2">
      <c r="L372"/>
    </row>
    <row r="373" spans="12:12" x14ac:dyDescent="0.2">
      <c r="L373"/>
    </row>
    <row r="374" spans="12:12" x14ac:dyDescent="0.2">
      <c r="L374"/>
    </row>
    <row r="375" spans="12:12" x14ac:dyDescent="0.2">
      <c r="L375"/>
    </row>
    <row r="376" spans="12:12" x14ac:dyDescent="0.2">
      <c r="L376"/>
    </row>
    <row r="377" spans="12:12" x14ac:dyDescent="0.2">
      <c r="L377"/>
    </row>
    <row r="378" spans="12:12" x14ac:dyDescent="0.2">
      <c r="L378"/>
    </row>
    <row r="379" spans="12:12" x14ac:dyDescent="0.2">
      <c r="L379"/>
    </row>
    <row r="380" spans="12:12" x14ac:dyDescent="0.2">
      <c r="L380"/>
    </row>
    <row r="381" spans="12:12" x14ac:dyDescent="0.2">
      <c r="L381"/>
    </row>
    <row r="382" spans="12:12" x14ac:dyDescent="0.2">
      <c r="L382"/>
    </row>
    <row r="383" spans="12:12" x14ac:dyDescent="0.2">
      <c r="L383"/>
    </row>
    <row r="384" spans="12:12" x14ac:dyDescent="0.2">
      <c r="L384"/>
    </row>
    <row r="385" spans="12:12" x14ac:dyDescent="0.2">
      <c r="L385"/>
    </row>
    <row r="386" spans="12:12" x14ac:dyDescent="0.2">
      <c r="L386"/>
    </row>
    <row r="387" spans="12:12" x14ac:dyDescent="0.2">
      <c r="L387"/>
    </row>
    <row r="388" spans="12:12" x14ac:dyDescent="0.2">
      <c r="L388"/>
    </row>
    <row r="389" spans="12:12" x14ac:dyDescent="0.2">
      <c r="L389"/>
    </row>
    <row r="390" spans="12:12" x14ac:dyDescent="0.2">
      <c r="L390"/>
    </row>
    <row r="391" spans="12:12" x14ac:dyDescent="0.2">
      <c r="L391"/>
    </row>
    <row r="392" spans="12:12" x14ac:dyDescent="0.2">
      <c r="L392"/>
    </row>
    <row r="393" spans="12:12" x14ac:dyDescent="0.2">
      <c r="L393"/>
    </row>
    <row r="394" spans="12:12" x14ac:dyDescent="0.2">
      <c r="L394"/>
    </row>
    <row r="395" spans="12:12" x14ac:dyDescent="0.2">
      <c r="L395"/>
    </row>
    <row r="396" spans="12:12" x14ac:dyDescent="0.2">
      <c r="L396"/>
    </row>
    <row r="397" spans="12:12" x14ac:dyDescent="0.2">
      <c r="L397"/>
    </row>
    <row r="398" spans="12:12" x14ac:dyDescent="0.2">
      <c r="L398"/>
    </row>
    <row r="399" spans="12:12" x14ac:dyDescent="0.2">
      <c r="L399"/>
    </row>
    <row r="400" spans="12:12" x14ac:dyDescent="0.2">
      <c r="L400"/>
    </row>
    <row r="401" spans="12:12" x14ac:dyDescent="0.2">
      <c r="L401"/>
    </row>
    <row r="402" spans="12:12" x14ac:dyDescent="0.2">
      <c r="L402"/>
    </row>
    <row r="403" spans="12:12" x14ac:dyDescent="0.2">
      <c r="L403"/>
    </row>
    <row r="404" spans="12:12" x14ac:dyDescent="0.2">
      <c r="L404"/>
    </row>
    <row r="405" spans="12:12" x14ac:dyDescent="0.2">
      <c r="L405"/>
    </row>
    <row r="406" spans="12:12" x14ac:dyDescent="0.2">
      <c r="L406"/>
    </row>
    <row r="407" spans="12:12" x14ac:dyDescent="0.2">
      <c r="L407"/>
    </row>
    <row r="408" spans="12:12" x14ac:dyDescent="0.2">
      <c r="L408"/>
    </row>
    <row r="409" spans="12:12" x14ac:dyDescent="0.2">
      <c r="L409"/>
    </row>
    <row r="410" spans="12:12" x14ac:dyDescent="0.2">
      <c r="L410"/>
    </row>
    <row r="411" spans="12:12" x14ac:dyDescent="0.2">
      <c r="L411"/>
    </row>
    <row r="412" spans="12:12" x14ac:dyDescent="0.2">
      <c r="L412"/>
    </row>
    <row r="413" spans="12:12" x14ac:dyDescent="0.2">
      <c r="L413"/>
    </row>
    <row r="414" spans="12:12" x14ac:dyDescent="0.2">
      <c r="L414"/>
    </row>
    <row r="415" spans="12:12" x14ac:dyDescent="0.2">
      <c r="L415"/>
    </row>
    <row r="416" spans="12:12" x14ac:dyDescent="0.2">
      <c r="L416"/>
    </row>
    <row r="417" spans="12:12" x14ac:dyDescent="0.2">
      <c r="L417"/>
    </row>
    <row r="418" spans="12:12" x14ac:dyDescent="0.2">
      <c r="L418"/>
    </row>
    <row r="419" spans="12:12" x14ac:dyDescent="0.2">
      <c r="L419"/>
    </row>
    <row r="420" spans="12:12" x14ac:dyDescent="0.2">
      <c r="L420"/>
    </row>
    <row r="421" spans="12:12" x14ac:dyDescent="0.2">
      <c r="L421"/>
    </row>
    <row r="422" spans="12:12" x14ac:dyDescent="0.2">
      <c r="L422"/>
    </row>
    <row r="423" spans="12:12" x14ac:dyDescent="0.2">
      <c r="L423"/>
    </row>
    <row r="424" spans="12:12" x14ac:dyDescent="0.2">
      <c r="L424"/>
    </row>
    <row r="425" spans="12:12" x14ac:dyDescent="0.2">
      <c r="L425"/>
    </row>
    <row r="426" spans="12:12" x14ac:dyDescent="0.2">
      <c r="L426"/>
    </row>
    <row r="427" spans="12:12" x14ac:dyDescent="0.2">
      <c r="L427"/>
    </row>
    <row r="428" spans="12:12" x14ac:dyDescent="0.2">
      <c r="L428"/>
    </row>
    <row r="429" spans="12:12" x14ac:dyDescent="0.2">
      <c r="L429"/>
    </row>
    <row r="430" spans="12:12" x14ac:dyDescent="0.2">
      <c r="L430"/>
    </row>
    <row r="431" spans="12:12" x14ac:dyDescent="0.2">
      <c r="L431"/>
    </row>
    <row r="432" spans="12:12" x14ac:dyDescent="0.2">
      <c r="L432"/>
    </row>
    <row r="433" spans="12:12" x14ac:dyDescent="0.2">
      <c r="L433"/>
    </row>
    <row r="434" spans="12:12" x14ac:dyDescent="0.2">
      <c r="L434"/>
    </row>
    <row r="435" spans="12:12" x14ac:dyDescent="0.2">
      <c r="L435"/>
    </row>
    <row r="436" spans="12:12" x14ac:dyDescent="0.2">
      <c r="L436"/>
    </row>
    <row r="437" spans="12:12" x14ac:dyDescent="0.2">
      <c r="L437"/>
    </row>
    <row r="438" spans="12:12" x14ac:dyDescent="0.2">
      <c r="L438"/>
    </row>
    <row r="439" spans="12:12" x14ac:dyDescent="0.2">
      <c r="L439"/>
    </row>
    <row r="440" spans="12:12" x14ac:dyDescent="0.2">
      <c r="L440"/>
    </row>
    <row r="441" spans="12:12" x14ac:dyDescent="0.2">
      <c r="L441"/>
    </row>
    <row r="442" spans="12:12" x14ac:dyDescent="0.2">
      <c r="L442"/>
    </row>
    <row r="443" spans="12:12" x14ac:dyDescent="0.2">
      <c r="L443"/>
    </row>
    <row r="444" spans="12:12" x14ac:dyDescent="0.2">
      <c r="L444"/>
    </row>
    <row r="445" spans="12:12" x14ac:dyDescent="0.2">
      <c r="L445"/>
    </row>
    <row r="446" spans="12:12" x14ac:dyDescent="0.2">
      <c r="L446"/>
    </row>
    <row r="447" spans="12:12" x14ac:dyDescent="0.2">
      <c r="L447"/>
    </row>
    <row r="448" spans="12:12" x14ac:dyDescent="0.2">
      <c r="L448"/>
    </row>
    <row r="449" spans="12:12" x14ac:dyDescent="0.2">
      <c r="L449"/>
    </row>
    <row r="450" spans="12:12" x14ac:dyDescent="0.2">
      <c r="L450"/>
    </row>
    <row r="451" spans="12:12" x14ac:dyDescent="0.2">
      <c r="L451"/>
    </row>
    <row r="452" spans="12:12" x14ac:dyDescent="0.2">
      <c r="L452"/>
    </row>
    <row r="453" spans="12:12" x14ac:dyDescent="0.2">
      <c r="L453"/>
    </row>
    <row r="454" spans="12:12" x14ac:dyDescent="0.2">
      <c r="L454"/>
    </row>
    <row r="455" spans="12:12" x14ac:dyDescent="0.2">
      <c r="L455"/>
    </row>
    <row r="456" spans="12:12" x14ac:dyDescent="0.2">
      <c r="L456"/>
    </row>
    <row r="457" spans="12:12" x14ac:dyDescent="0.2">
      <c r="L457"/>
    </row>
  </sheetData>
  <mergeCells count="1">
    <mergeCell ref="G3:H3"/>
  </mergeCells>
  <phoneticPr fontId="2" type="noConversion"/>
  <hyperlinks>
    <hyperlink ref="G3" location="Network!A1" display="Return to Network"/>
  </hyperlinks>
  <pageMargins left="0.75" right="0.75" top="1" bottom="1" header="0.5" footer="0.5"/>
  <pageSetup orientation="portrait" verticalDpi="0" r:id="rId1"/>
  <headerFooter alignWithMargins="0"/>
  <ignoredErrors>
    <ignoredError sqref="AW8:AW10 AW19:AW21 AW11:AW12 AW14:AW18 AD9 AW22:AW24 AD11:AD21" formula="1"/>
    <ignoredError sqref="AR7:AR33" formulaRange="1"/>
  </ignoredErrors>
  <drawing r:id="rId2"/>
  <picture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L106"/>
  <sheetViews>
    <sheetView showGridLines="0" showRowColHeaders="0" workbookViewId="0">
      <selection activeCell="I11" sqref="I11"/>
    </sheetView>
  </sheetViews>
  <sheetFormatPr defaultRowHeight="12.75" x14ac:dyDescent="0.2"/>
  <cols>
    <col min="1" max="1" width="5.7109375" style="1" customWidth="1"/>
    <col min="2" max="2" width="9.5703125" style="6" bestFit="1" customWidth="1"/>
    <col min="3" max="3" width="7.7109375" style="6" bestFit="1" customWidth="1"/>
    <col min="4" max="4" width="9.5703125" style="6" bestFit="1" customWidth="1"/>
    <col min="5" max="5" width="14.5703125" customWidth="1"/>
    <col min="6" max="6" width="14.5703125" style="1" customWidth="1"/>
    <col min="7" max="7" width="9.140625" style="1"/>
    <col min="8" max="8" width="6" style="1" customWidth="1"/>
    <col min="9" max="16384" width="9.140625" style="1"/>
  </cols>
  <sheetData>
    <row r="1" spans="2:12" x14ac:dyDescent="0.2">
      <c r="E1" s="6"/>
    </row>
    <row r="2" spans="2:12" ht="14.25" customHeight="1" x14ac:dyDescent="0.2">
      <c r="E2" s="6"/>
    </row>
    <row r="3" spans="2:12" ht="25.5" customHeight="1" x14ac:dyDescent="0.2">
      <c r="E3" s="6"/>
      <c r="G3" s="199"/>
      <c r="H3" s="199"/>
    </row>
    <row r="4" spans="2:12" x14ac:dyDescent="0.2">
      <c r="E4" s="6"/>
    </row>
    <row r="5" spans="2:12" ht="13.5" thickBot="1" x14ac:dyDescent="0.25">
      <c r="B5" s="20" t="s">
        <v>1</v>
      </c>
      <c r="C5" s="20" t="s">
        <v>3</v>
      </c>
      <c r="D5" s="20" t="s">
        <v>0</v>
      </c>
      <c r="E5" s="20" t="s">
        <v>19</v>
      </c>
      <c r="F5"/>
      <c r="G5"/>
      <c r="H5"/>
      <c r="I5"/>
      <c r="J5"/>
      <c r="K5"/>
      <c r="L5"/>
    </row>
    <row r="6" spans="2:12" x14ac:dyDescent="0.2">
      <c r="B6" s="31">
        <v>1</v>
      </c>
      <c r="C6" s="32">
        <v>1</v>
      </c>
      <c r="D6" s="32">
        <v>1</v>
      </c>
      <c r="E6" s="33">
        <v>0.15</v>
      </c>
      <c r="F6" s="6"/>
      <c r="G6" s="6"/>
      <c r="H6"/>
      <c r="I6"/>
      <c r="J6"/>
      <c r="K6"/>
      <c r="L6"/>
    </row>
    <row r="7" spans="2:12" x14ac:dyDescent="0.2">
      <c r="B7" s="34"/>
      <c r="C7" s="29"/>
      <c r="D7" s="29">
        <v>2</v>
      </c>
      <c r="E7" s="35">
        <v>0.15</v>
      </c>
      <c r="F7" s="6"/>
      <c r="G7" s="6"/>
      <c r="H7"/>
      <c r="I7"/>
      <c r="J7"/>
      <c r="K7"/>
      <c r="L7"/>
    </row>
    <row r="8" spans="2:12" x14ac:dyDescent="0.2">
      <c r="B8" s="34"/>
      <c r="C8" s="29"/>
      <c r="D8" s="29">
        <v>3</v>
      </c>
      <c r="E8" s="35">
        <v>0.15</v>
      </c>
      <c r="F8" s="6"/>
      <c r="G8" s="6"/>
      <c r="H8"/>
      <c r="I8"/>
      <c r="J8"/>
      <c r="K8"/>
      <c r="L8"/>
    </row>
    <row r="9" spans="2:12" x14ac:dyDescent="0.2">
      <c r="B9" s="34"/>
      <c r="C9" s="29">
        <v>2</v>
      </c>
      <c r="D9" s="29">
        <v>1</v>
      </c>
      <c r="E9" s="35">
        <v>0.15</v>
      </c>
      <c r="F9" s="6"/>
      <c r="G9" s="6"/>
      <c r="H9"/>
      <c r="I9"/>
      <c r="J9"/>
      <c r="K9"/>
      <c r="L9"/>
    </row>
    <row r="10" spans="2:12" x14ac:dyDescent="0.2">
      <c r="B10" s="34"/>
      <c r="C10" s="29"/>
      <c r="D10" s="29">
        <v>2</v>
      </c>
      <c r="E10" s="35">
        <v>0.15</v>
      </c>
      <c r="F10" s="6"/>
      <c r="G10" s="6"/>
      <c r="H10"/>
      <c r="I10"/>
      <c r="J10"/>
      <c r="K10"/>
      <c r="L10"/>
    </row>
    <row r="11" spans="2:12" x14ac:dyDescent="0.2">
      <c r="B11" s="34"/>
      <c r="C11" s="29"/>
      <c r="D11" s="29">
        <v>3</v>
      </c>
      <c r="E11" s="35">
        <v>0.15</v>
      </c>
      <c r="F11" s="6"/>
      <c r="G11" s="6"/>
      <c r="H11"/>
      <c r="I11"/>
      <c r="J11"/>
      <c r="K11"/>
      <c r="L11"/>
    </row>
    <row r="12" spans="2:12" x14ac:dyDescent="0.2">
      <c r="B12" s="34"/>
      <c r="C12" s="29">
        <v>3</v>
      </c>
      <c r="D12" s="29">
        <v>1</v>
      </c>
      <c r="E12" s="35">
        <v>0.15</v>
      </c>
      <c r="F12" s="6"/>
      <c r="G12" s="6"/>
      <c r="H12"/>
      <c r="I12"/>
      <c r="J12"/>
      <c r="K12"/>
      <c r="L12"/>
    </row>
    <row r="13" spans="2:12" x14ac:dyDescent="0.2">
      <c r="B13" s="34"/>
      <c r="C13" s="29"/>
      <c r="D13" s="29">
        <v>2</v>
      </c>
      <c r="E13" s="35">
        <v>0.15</v>
      </c>
      <c r="F13" s="6"/>
      <c r="G13" s="6"/>
      <c r="H13"/>
      <c r="I13"/>
      <c r="J13"/>
      <c r="K13"/>
      <c r="L13"/>
    </row>
    <row r="14" spans="2:12" ht="13.5" thickBot="1" x14ac:dyDescent="0.25">
      <c r="B14" s="34"/>
      <c r="C14" s="29"/>
      <c r="D14" s="29">
        <v>3</v>
      </c>
      <c r="E14" s="35">
        <v>0.15</v>
      </c>
      <c r="F14" s="6"/>
      <c r="G14" s="6"/>
      <c r="H14"/>
      <c r="I14"/>
      <c r="J14"/>
      <c r="K14"/>
      <c r="L14"/>
    </row>
    <row r="15" spans="2:12" x14ac:dyDescent="0.2">
      <c r="B15" s="31">
        <v>2</v>
      </c>
      <c r="C15" s="32">
        <v>1</v>
      </c>
      <c r="D15" s="32">
        <v>1</v>
      </c>
      <c r="E15" s="33">
        <v>0.15</v>
      </c>
      <c r="F15" s="6"/>
      <c r="G15" s="6"/>
      <c r="H15"/>
      <c r="I15"/>
      <c r="J15"/>
      <c r="K15"/>
      <c r="L15"/>
    </row>
    <row r="16" spans="2:12" x14ac:dyDescent="0.2">
      <c r="B16" s="34"/>
      <c r="C16" s="29"/>
      <c r="D16" s="29">
        <v>2</v>
      </c>
      <c r="E16" s="35">
        <v>0.15</v>
      </c>
      <c r="F16" s="6"/>
      <c r="G16" s="6"/>
      <c r="H16"/>
      <c r="I16"/>
      <c r="J16"/>
      <c r="K16"/>
      <c r="L16"/>
    </row>
    <row r="17" spans="2:12" x14ac:dyDescent="0.2">
      <c r="B17" s="34"/>
      <c r="C17" s="29"/>
      <c r="D17" s="29">
        <v>3</v>
      </c>
      <c r="E17" s="35">
        <v>0.15</v>
      </c>
      <c r="F17" s="6"/>
      <c r="G17" s="6"/>
      <c r="H17"/>
      <c r="I17"/>
      <c r="J17"/>
      <c r="K17"/>
      <c r="L17"/>
    </row>
    <row r="18" spans="2:12" x14ac:dyDescent="0.2">
      <c r="B18" s="34"/>
      <c r="C18" s="29">
        <v>2</v>
      </c>
      <c r="D18" s="29">
        <v>1</v>
      </c>
      <c r="E18" s="35">
        <v>0.15</v>
      </c>
      <c r="F18" s="6"/>
      <c r="G18" s="6"/>
      <c r="H18"/>
      <c r="I18"/>
      <c r="J18"/>
      <c r="K18"/>
      <c r="L18"/>
    </row>
    <row r="19" spans="2:12" x14ac:dyDescent="0.2">
      <c r="B19" s="34"/>
      <c r="C19" s="29"/>
      <c r="D19" s="29">
        <v>2</v>
      </c>
      <c r="E19" s="35">
        <v>0.15</v>
      </c>
      <c r="F19" s="6"/>
      <c r="G19" s="6"/>
      <c r="H19"/>
      <c r="I19"/>
      <c r="J19"/>
      <c r="K19"/>
      <c r="L19"/>
    </row>
    <row r="20" spans="2:12" x14ac:dyDescent="0.2">
      <c r="B20" s="34"/>
      <c r="C20" s="29"/>
      <c r="D20" s="29">
        <v>3</v>
      </c>
      <c r="E20" s="35">
        <v>0.15</v>
      </c>
      <c r="F20" s="6"/>
      <c r="G20" s="6"/>
      <c r="H20"/>
      <c r="I20"/>
      <c r="J20"/>
      <c r="K20"/>
      <c r="L20"/>
    </row>
    <row r="21" spans="2:12" x14ac:dyDescent="0.2">
      <c r="B21" s="34"/>
      <c r="C21" s="29">
        <v>3</v>
      </c>
      <c r="D21" s="29">
        <v>1</v>
      </c>
      <c r="E21" s="35">
        <v>0.15</v>
      </c>
      <c r="F21" s="6"/>
      <c r="G21" s="6"/>
      <c r="H21"/>
      <c r="I21"/>
      <c r="J21"/>
      <c r="K21"/>
      <c r="L21"/>
    </row>
    <row r="22" spans="2:12" x14ac:dyDescent="0.2">
      <c r="B22" s="34"/>
      <c r="C22" s="29"/>
      <c r="D22" s="29">
        <v>2</v>
      </c>
      <c r="E22" s="35">
        <v>0.15</v>
      </c>
      <c r="F22" s="6"/>
      <c r="G22" s="6"/>
      <c r="H22"/>
      <c r="I22"/>
      <c r="J22"/>
      <c r="K22"/>
      <c r="L22"/>
    </row>
    <row r="23" spans="2:12" ht="13.5" thickBot="1" x14ac:dyDescent="0.25">
      <c r="B23" s="34"/>
      <c r="C23" s="29"/>
      <c r="D23" s="29">
        <v>3</v>
      </c>
      <c r="E23" s="35">
        <v>0.15</v>
      </c>
      <c r="F23" s="6"/>
      <c r="G23" s="6"/>
      <c r="H23"/>
      <c r="I23"/>
      <c r="J23"/>
      <c r="K23"/>
      <c r="L23"/>
    </row>
    <row r="24" spans="2:12" x14ac:dyDescent="0.2">
      <c r="B24" s="31">
        <v>3</v>
      </c>
      <c r="C24" s="32">
        <v>1</v>
      </c>
      <c r="D24" s="32">
        <v>1</v>
      </c>
      <c r="E24" s="33">
        <v>0.15</v>
      </c>
      <c r="F24" s="6"/>
      <c r="G24" s="6"/>
      <c r="H24"/>
      <c r="I24"/>
      <c r="J24"/>
      <c r="K24"/>
      <c r="L24"/>
    </row>
    <row r="25" spans="2:12" x14ac:dyDescent="0.2">
      <c r="B25" s="34"/>
      <c r="C25" s="29"/>
      <c r="D25" s="29">
        <v>2</v>
      </c>
      <c r="E25" s="35">
        <v>0.15</v>
      </c>
      <c r="F25" s="6"/>
      <c r="G25" s="6"/>
      <c r="H25"/>
      <c r="I25"/>
      <c r="J25"/>
      <c r="K25"/>
      <c r="L25"/>
    </row>
    <row r="26" spans="2:12" x14ac:dyDescent="0.2">
      <c r="B26" s="34"/>
      <c r="C26" s="29"/>
      <c r="D26" s="29">
        <v>3</v>
      </c>
      <c r="E26" s="35">
        <v>0.15</v>
      </c>
      <c r="F26" s="6"/>
      <c r="G26" s="6"/>
      <c r="H26"/>
      <c r="I26"/>
      <c r="J26"/>
      <c r="K26"/>
      <c r="L26"/>
    </row>
    <row r="27" spans="2:12" x14ac:dyDescent="0.2">
      <c r="B27" s="34"/>
      <c r="C27" s="29">
        <v>2</v>
      </c>
      <c r="D27" s="29">
        <v>1</v>
      </c>
      <c r="E27" s="35">
        <v>0.15</v>
      </c>
      <c r="F27" s="6"/>
      <c r="G27" s="6"/>
      <c r="H27"/>
      <c r="I27"/>
      <c r="J27"/>
      <c r="K27"/>
      <c r="L27"/>
    </row>
    <row r="28" spans="2:12" x14ac:dyDescent="0.2">
      <c r="B28" s="34"/>
      <c r="C28" s="29"/>
      <c r="D28" s="29">
        <v>2</v>
      </c>
      <c r="E28" s="35">
        <v>0.15</v>
      </c>
      <c r="F28" s="6"/>
      <c r="G28" s="6"/>
      <c r="H28"/>
      <c r="I28"/>
      <c r="J28"/>
      <c r="K28"/>
      <c r="L28"/>
    </row>
    <row r="29" spans="2:12" x14ac:dyDescent="0.2">
      <c r="B29" s="34"/>
      <c r="C29" s="29"/>
      <c r="D29" s="29">
        <v>3</v>
      </c>
      <c r="E29" s="35">
        <v>0.15</v>
      </c>
      <c r="F29" s="6"/>
      <c r="G29" s="6"/>
      <c r="H29"/>
      <c r="I29"/>
      <c r="J29"/>
      <c r="K29"/>
      <c r="L29"/>
    </row>
    <row r="30" spans="2:12" x14ac:dyDescent="0.2">
      <c r="B30" s="34"/>
      <c r="C30" s="29">
        <v>3</v>
      </c>
      <c r="D30" s="29">
        <v>1</v>
      </c>
      <c r="E30" s="35">
        <v>0.15</v>
      </c>
      <c r="F30" s="6"/>
      <c r="G30" s="6"/>
      <c r="H30"/>
      <c r="I30"/>
      <c r="J30"/>
      <c r="K30"/>
      <c r="L30"/>
    </row>
    <row r="31" spans="2:12" x14ac:dyDescent="0.2">
      <c r="B31" s="34"/>
      <c r="C31" s="29"/>
      <c r="D31" s="29">
        <v>2</v>
      </c>
      <c r="E31" s="35">
        <v>0.15</v>
      </c>
      <c r="F31" s="6"/>
      <c r="G31" s="6"/>
      <c r="H31"/>
      <c r="I31"/>
      <c r="J31"/>
      <c r="K31"/>
      <c r="L31"/>
    </row>
    <row r="32" spans="2:12" x14ac:dyDescent="0.2">
      <c r="B32" s="34"/>
      <c r="C32" s="29"/>
      <c r="D32" s="29">
        <v>3</v>
      </c>
      <c r="E32" s="35">
        <v>0.15</v>
      </c>
      <c r="F32"/>
      <c r="G32"/>
      <c r="H32"/>
      <c r="I32"/>
      <c r="J32"/>
      <c r="K32"/>
      <c r="L32"/>
    </row>
    <row r="33" spans="2:12" x14ac:dyDescent="0.2">
      <c r="B33"/>
      <c r="C33"/>
      <c r="D33"/>
      <c r="F33"/>
      <c r="G33"/>
      <c r="H33"/>
      <c r="I33"/>
      <c r="J33"/>
      <c r="K33"/>
      <c r="L33"/>
    </row>
    <row r="34" spans="2:12" x14ac:dyDescent="0.2">
      <c r="B34"/>
      <c r="C34"/>
      <c r="D34"/>
      <c r="F34"/>
      <c r="G34"/>
      <c r="H34"/>
      <c r="I34"/>
      <c r="J34"/>
      <c r="K34"/>
      <c r="L34"/>
    </row>
    <row r="35" spans="2:12" x14ac:dyDescent="0.2">
      <c r="B35"/>
      <c r="C35"/>
      <c r="D35"/>
      <c r="F35"/>
      <c r="G35"/>
      <c r="H35"/>
      <c r="I35"/>
      <c r="J35"/>
      <c r="K35"/>
      <c r="L35"/>
    </row>
    <row r="36" spans="2:12" x14ac:dyDescent="0.2">
      <c r="B36"/>
      <c r="C36"/>
      <c r="D36"/>
      <c r="F36"/>
      <c r="G36"/>
      <c r="H36"/>
      <c r="I36"/>
      <c r="J36"/>
      <c r="K36"/>
      <c r="L36"/>
    </row>
    <row r="37" spans="2:12" x14ac:dyDescent="0.2">
      <c r="B37"/>
      <c r="C37"/>
      <c r="D37"/>
      <c r="F37"/>
      <c r="G37"/>
      <c r="H37"/>
      <c r="I37"/>
      <c r="J37"/>
      <c r="K37"/>
      <c r="L37"/>
    </row>
    <row r="38" spans="2:12" x14ac:dyDescent="0.2">
      <c r="B38"/>
      <c r="C38"/>
      <c r="D38"/>
      <c r="F38"/>
      <c r="G38"/>
      <c r="H38"/>
      <c r="I38"/>
      <c r="J38"/>
      <c r="K38"/>
      <c r="L38"/>
    </row>
    <row r="39" spans="2:12" x14ac:dyDescent="0.2">
      <c r="B39"/>
      <c r="C39"/>
      <c r="D39"/>
      <c r="F39"/>
      <c r="G39"/>
      <c r="H39"/>
      <c r="I39"/>
      <c r="J39"/>
      <c r="K39"/>
      <c r="L39"/>
    </row>
    <row r="40" spans="2:12" x14ac:dyDescent="0.2">
      <c r="B40"/>
      <c r="C40"/>
      <c r="D40"/>
      <c r="F40"/>
      <c r="G40"/>
      <c r="H40"/>
      <c r="I40"/>
      <c r="J40"/>
      <c r="K40"/>
      <c r="L40"/>
    </row>
    <row r="41" spans="2:12" x14ac:dyDescent="0.2">
      <c r="B41"/>
      <c r="C41"/>
      <c r="D41"/>
      <c r="F41"/>
      <c r="G41"/>
      <c r="H41"/>
      <c r="I41"/>
      <c r="J41"/>
      <c r="K41"/>
      <c r="L41"/>
    </row>
    <row r="42" spans="2:12" x14ac:dyDescent="0.2">
      <c r="B42"/>
      <c r="C42"/>
      <c r="D42"/>
      <c r="F42"/>
      <c r="G42"/>
      <c r="H42"/>
      <c r="I42"/>
      <c r="J42"/>
      <c r="K42"/>
      <c r="L42"/>
    </row>
    <row r="43" spans="2:12" x14ac:dyDescent="0.2">
      <c r="B43"/>
      <c r="C43"/>
      <c r="D43"/>
      <c r="F43"/>
      <c r="G43"/>
      <c r="H43"/>
      <c r="I43"/>
      <c r="J43"/>
      <c r="K43"/>
      <c r="L43"/>
    </row>
    <row r="44" spans="2:12" x14ac:dyDescent="0.2">
      <c r="B44"/>
      <c r="C44"/>
      <c r="D44"/>
      <c r="F44"/>
      <c r="G44"/>
      <c r="H44"/>
      <c r="I44"/>
      <c r="J44"/>
      <c r="K44"/>
      <c r="L44"/>
    </row>
    <row r="45" spans="2:12" x14ac:dyDescent="0.2">
      <c r="B45"/>
      <c r="C45"/>
      <c r="D45"/>
      <c r="F45"/>
      <c r="G45"/>
      <c r="H45"/>
      <c r="I45"/>
      <c r="J45"/>
      <c r="K45"/>
      <c r="L45"/>
    </row>
    <row r="46" spans="2:12" x14ac:dyDescent="0.2">
      <c r="B46"/>
      <c r="C46"/>
      <c r="D46"/>
      <c r="F46"/>
      <c r="G46"/>
      <c r="H46"/>
      <c r="I46"/>
      <c r="J46"/>
      <c r="K46"/>
      <c r="L46"/>
    </row>
    <row r="47" spans="2:12" x14ac:dyDescent="0.2">
      <c r="B47"/>
      <c r="C47"/>
      <c r="D47"/>
      <c r="F47"/>
      <c r="G47"/>
      <c r="H47"/>
      <c r="I47"/>
      <c r="J47"/>
      <c r="K47"/>
      <c r="L47"/>
    </row>
    <row r="48" spans="2:12" x14ac:dyDescent="0.2">
      <c r="B48"/>
      <c r="C48"/>
      <c r="D48"/>
      <c r="F48"/>
      <c r="G48"/>
      <c r="H48"/>
      <c r="I48"/>
      <c r="J48"/>
      <c r="K48"/>
      <c r="L48"/>
    </row>
    <row r="49" spans="2:12" x14ac:dyDescent="0.2">
      <c r="B49"/>
      <c r="C49"/>
      <c r="D49"/>
      <c r="F49"/>
      <c r="G49"/>
      <c r="H49"/>
      <c r="I49"/>
      <c r="J49"/>
      <c r="K49"/>
      <c r="L49"/>
    </row>
    <row r="50" spans="2:12" x14ac:dyDescent="0.2">
      <c r="B50"/>
      <c r="C50"/>
      <c r="D50"/>
      <c r="F50"/>
      <c r="G50"/>
      <c r="H50"/>
      <c r="I50"/>
      <c r="J50"/>
      <c r="K50"/>
      <c r="L50"/>
    </row>
    <row r="51" spans="2:12" x14ac:dyDescent="0.2">
      <c r="B51"/>
      <c r="C51"/>
      <c r="D51"/>
      <c r="F51"/>
      <c r="G51"/>
      <c r="H51"/>
      <c r="I51"/>
      <c r="J51"/>
      <c r="K51"/>
      <c r="L51"/>
    </row>
    <row r="52" spans="2:12" x14ac:dyDescent="0.2">
      <c r="B52"/>
      <c r="C52"/>
      <c r="D52"/>
      <c r="F52"/>
      <c r="G52"/>
      <c r="H52"/>
      <c r="I52"/>
      <c r="J52"/>
      <c r="K52"/>
      <c r="L52"/>
    </row>
    <row r="53" spans="2:12" x14ac:dyDescent="0.2">
      <c r="B53"/>
      <c r="C53"/>
      <c r="D53"/>
      <c r="F53"/>
      <c r="G53"/>
      <c r="H53"/>
      <c r="I53"/>
      <c r="J53"/>
      <c r="K53"/>
      <c r="L53"/>
    </row>
    <row r="54" spans="2:12" x14ac:dyDescent="0.2">
      <c r="F54"/>
      <c r="G54"/>
      <c r="H54"/>
      <c r="I54"/>
      <c r="J54"/>
      <c r="K54"/>
      <c r="L54"/>
    </row>
    <row r="55" spans="2:12" x14ac:dyDescent="0.2">
      <c r="F55"/>
      <c r="G55"/>
      <c r="H55"/>
      <c r="I55"/>
      <c r="J55"/>
      <c r="K55"/>
      <c r="L55"/>
    </row>
    <row r="56" spans="2:12" x14ac:dyDescent="0.2">
      <c r="F56"/>
      <c r="G56"/>
      <c r="H56"/>
      <c r="I56"/>
      <c r="J56"/>
      <c r="K56"/>
      <c r="L56"/>
    </row>
    <row r="57" spans="2:12" x14ac:dyDescent="0.2">
      <c r="F57"/>
      <c r="G57"/>
      <c r="H57"/>
      <c r="I57"/>
      <c r="J57"/>
      <c r="K57"/>
      <c r="L57"/>
    </row>
    <row r="58" spans="2:12" x14ac:dyDescent="0.2">
      <c r="F58"/>
      <c r="G58"/>
      <c r="H58"/>
      <c r="I58"/>
      <c r="J58"/>
      <c r="K58"/>
      <c r="L58"/>
    </row>
    <row r="59" spans="2:12" x14ac:dyDescent="0.2">
      <c r="F59"/>
      <c r="G59"/>
      <c r="H59"/>
      <c r="I59"/>
      <c r="J59"/>
      <c r="K59"/>
      <c r="L59"/>
    </row>
    <row r="60" spans="2:12" x14ac:dyDescent="0.2">
      <c r="F60"/>
      <c r="G60"/>
      <c r="H60"/>
      <c r="I60"/>
      <c r="J60"/>
      <c r="K60"/>
      <c r="L60"/>
    </row>
    <row r="61" spans="2:12" x14ac:dyDescent="0.2">
      <c r="F61"/>
      <c r="G61"/>
      <c r="H61"/>
      <c r="I61"/>
      <c r="J61"/>
      <c r="K61"/>
      <c r="L61"/>
    </row>
    <row r="62" spans="2:12" x14ac:dyDescent="0.2">
      <c r="F62"/>
      <c r="G62"/>
      <c r="H62"/>
      <c r="I62"/>
      <c r="J62"/>
      <c r="K62"/>
      <c r="L62"/>
    </row>
    <row r="63" spans="2:12" x14ac:dyDescent="0.2">
      <c r="F63"/>
      <c r="G63"/>
      <c r="H63"/>
      <c r="I63"/>
      <c r="J63"/>
      <c r="K63"/>
      <c r="L63"/>
    </row>
    <row r="64" spans="2:12" x14ac:dyDescent="0.2">
      <c r="F64"/>
      <c r="G64"/>
      <c r="H64"/>
      <c r="I64"/>
      <c r="J64"/>
      <c r="K64"/>
      <c r="L64"/>
    </row>
    <row r="65" spans="6:12" x14ac:dyDescent="0.2">
      <c r="F65"/>
      <c r="G65"/>
      <c r="H65"/>
      <c r="I65"/>
      <c r="J65"/>
      <c r="K65"/>
      <c r="L65"/>
    </row>
    <row r="66" spans="6:12" x14ac:dyDescent="0.2">
      <c r="F66"/>
      <c r="G66"/>
      <c r="H66"/>
      <c r="I66"/>
      <c r="J66"/>
      <c r="K66"/>
      <c r="L66"/>
    </row>
    <row r="67" spans="6:12" x14ac:dyDescent="0.2">
      <c r="F67"/>
      <c r="G67"/>
      <c r="H67"/>
      <c r="I67"/>
      <c r="J67"/>
      <c r="K67"/>
      <c r="L67"/>
    </row>
    <row r="68" spans="6:12" x14ac:dyDescent="0.2">
      <c r="F68"/>
      <c r="G68"/>
      <c r="H68"/>
      <c r="I68"/>
      <c r="J68"/>
      <c r="K68"/>
      <c r="L68"/>
    </row>
    <row r="69" spans="6:12" x14ac:dyDescent="0.2">
      <c r="F69"/>
      <c r="G69"/>
      <c r="H69"/>
      <c r="I69"/>
      <c r="J69"/>
      <c r="K69"/>
      <c r="L69"/>
    </row>
    <row r="70" spans="6:12" x14ac:dyDescent="0.2">
      <c r="F70"/>
      <c r="G70"/>
      <c r="H70"/>
      <c r="I70"/>
      <c r="J70"/>
      <c r="K70"/>
      <c r="L70"/>
    </row>
    <row r="71" spans="6:12" x14ac:dyDescent="0.2">
      <c r="F71"/>
      <c r="G71"/>
      <c r="H71"/>
      <c r="I71"/>
      <c r="J71"/>
      <c r="K71"/>
      <c r="L71"/>
    </row>
    <row r="72" spans="6:12" x14ac:dyDescent="0.2">
      <c r="F72"/>
      <c r="G72"/>
      <c r="H72"/>
      <c r="I72"/>
      <c r="J72"/>
      <c r="K72"/>
      <c r="L72"/>
    </row>
    <row r="73" spans="6:12" x14ac:dyDescent="0.2">
      <c r="F73"/>
      <c r="G73"/>
      <c r="H73"/>
      <c r="I73"/>
      <c r="J73"/>
      <c r="K73"/>
      <c r="L73"/>
    </row>
    <row r="74" spans="6:12" x14ac:dyDescent="0.2">
      <c r="F74"/>
      <c r="G74"/>
      <c r="H74"/>
      <c r="I74"/>
      <c r="J74"/>
      <c r="K74"/>
      <c r="L74"/>
    </row>
    <row r="75" spans="6:12" x14ac:dyDescent="0.2">
      <c r="F75"/>
      <c r="G75"/>
      <c r="H75"/>
      <c r="I75"/>
      <c r="J75"/>
      <c r="K75"/>
      <c r="L75"/>
    </row>
    <row r="76" spans="6:12" x14ac:dyDescent="0.2">
      <c r="F76"/>
      <c r="G76"/>
      <c r="H76"/>
      <c r="I76"/>
      <c r="J76"/>
      <c r="K76"/>
      <c r="L76"/>
    </row>
    <row r="77" spans="6:12" x14ac:dyDescent="0.2">
      <c r="F77"/>
      <c r="G77"/>
      <c r="H77"/>
      <c r="I77"/>
      <c r="J77"/>
      <c r="K77"/>
      <c r="L77"/>
    </row>
    <row r="78" spans="6:12" x14ac:dyDescent="0.2">
      <c r="F78"/>
      <c r="G78"/>
      <c r="H78"/>
      <c r="I78"/>
      <c r="J78"/>
      <c r="K78"/>
      <c r="L78"/>
    </row>
    <row r="79" spans="6:12" x14ac:dyDescent="0.2">
      <c r="F79"/>
      <c r="G79"/>
      <c r="H79"/>
      <c r="I79"/>
      <c r="J79"/>
      <c r="K79"/>
      <c r="L79"/>
    </row>
    <row r="80" spans="6:12" x14ac:dyDescent="0.2">
      <c r="F80"/>
      <c r="G80"/>
      <c r="H80"/>
      <c r="I80"/>
      <c r="J80"/>
      <c r="K80"/>
      <c r="L80"/>
    </row>
    <row r="81" spans="6:12" x14ac:dyDescent="0.2">
      <c r="F81"/>
      <c r="G81"/>
      <c r="H81"/>
      <c r="I81"/>
      <c r="J81"/>
      <c r="K81"/>
      <c r="L81"/>
    </row>
    <row r="82" spans="6:12" x14ac:dyDescent="0.2">
      <c r="F82"/>
      <c r="G82"/>
      <c r="H82"/>
      <c r="I82"/>
      <c r="J82"/>
      <c r="K82"/>
      <c r="L82"/>
    </row>
    <row r="83" spans="6:12" x14ac:dyDescent="0.2">
      <c r="F83"/>
      <c r="G83"/>
      <c r="H83"/>
      <c r="I83"/>
      <c r="J83"/>
      <c r="K83"/>
      <c r="L83"/>
    </row>
    <row r="84" spans="6:12" x14ac:dyDescent="0.2">
      <c r="F84"/>
      <c r="G84"/>
      <c r="H84"/>
      <c r="I84"/>
      <c r="J84"/>
      <c r="K84"/>
      <c r="L84"/>
    </row>
    <row r="85" spans="6:12" x14ac:dyDescent="0.2">
      <c r="F85"/>
      <c r="G85"/>
      <c r="H85"/>
      <c r="I85"/>
      <c r="J85"/>
      <c r="K85"/>
      <c r="L85"/>
    </row>
    <row r="86" spans="6:12" x14ac:dyDescent="0.2">
      <c r="F86"/>
      <c r="G86"/>
      <c r="H86"/>
      <c r="I86"/>
      <c r="J86"/>
      <c r="K86"/>
      <c r="L86"/>
    </row>
    <row r="87" spans="6:12" x14ac:dyDescent="0.2">
      <c r="F87"/>
      <c r="G87"/>
      <c r="H87"/>
      <c r="I87"/>
      <c r="J87"/>
      <c r="K87"/>
      <c r="L87"/>
    </row>
    <row r="88" spans="6:12" x14ac:dyDescent="0.2">
      <c r="F88"/>
      <c r="G88"/>
      <c r="H88"/>
      <c r="I88"/>
      <c r="J88"/>
      <c r="K88"/>
      <c r="L88"/>
    </row>
    <row r="89" spans="6:12" x14ac:dyDescent="0.2">
      <c r="F89"/>
      <c r="G89"/>
      <c r="H89"/>
      <c r="I89"/>
      <c r="J89"/>
      <c r="K89"/>
      <c r="L89"/>
    </row>
    <row r="90" spans="6:12" x14ac:dyDescent="0.2">
      <c r="F90"/>
      <c r="G90"/>
      <c r="H90"/>
      <c r="I90"/>
      <c r="J90"/>
      <c r="K90"/>
      <c r="L90"/>
    </row>
    <row r="91" spans="6:12" x14ac:dyDescent="0.2">
      <c r="F91"/>
      <c r="G91"/>
      <c r="H91"/>
      <c r="I91"/>
      <c r="J91"/>
      <c r="K91"/>
      <c r="L91"/>
    </row>
    <row r="92" spans="6:12" x14ac:dyDescent="0.2">
      <c r="F92"/>
      <c r="G92"/>
      <c r="H92"/>
      <c r="I92"/>
      <c r="J92"/>
      <c r="K92"/>
      <c r="L92"/>
    </row>
    <row r="93" spans="6:12" x14ac:dyDescent="0.2">
      <c r="F93"/>
      <c r="G93"/>
      <c r="H93"/>
      <c r="I93"/>
      <c r="J93"/>
      <c r="K93"/>
      <c r="L93"/>
    </row>
    <row r="94" spans="6:12" x14ac:dyDescent="0.2">
      <c r="F94"/>
      <c r="G94"/>
      <c r="H94"/>
      <c r="I94"/>
      <c r="J94"/>
      <c r="K94"/>
      <c r="L94"/>
    </row>
    <row r="95" spans="6:12" x14ac:dyDescent="0.2">
      <c r="F95"/>
      <c r="G95"/>
      <c r="H95"/>
      <c r="I95"/>
      <c r="J95"/>
      <c r="K95"/>
      <c r="L95"/>
    </row>
    <row r="96" spans="6:12" x14ac:dyDescent="0.2">
      <c r="F96"/>
      <c r="G96"/>
      <c r="H96"/>
      <c r="I96"/>
      <c r="J96"/>
      <c r="K96"/>
      <c r="L96"/>
    </row>
    <row r="97" spans="6:12" x14ac:dyDescent="0.2">
      <c r="F97"/>
      <c r="G97"/>
      <c r="H97"/>
      <c r="I97"/>
      <c r="J97"/>
      <c r="K97"/>
      <c r="L97"/>
    </row>
    <row r="98" spans="6:12" x14ac:dyDescent="0.2">
      <c r="F98"/>
      <c r="G98"/>
      <c r="H98"/>
      <c r="I98"/>
      <c r="J98"/>
      <c r="K98"/>
      <c r="L98"/>
    </row>
    <row r="99" spans="6:12" x14ac:dyDescent="0.2">
      <c r="F99"/>
      <c r="G99"/>
      <c r="H99"/>
      <c r="I99"/>
      <c r="J99"/>
      <c r="K99"/>
      <c r="L99"/>
    </row>
    <row r="100" spans="6:12" x14ac:dyDescent="0.2">
      <c r="F100"/>
      <c r="G100"/>
      <c r="H100"/>
      <c r="I100"/>
      <c r="J100"/>
      <c r="K100"/>
      <c r="L100"/>
    </row>
    <row r="101" spans="6:12" x14ac:dyDescent="0.2">
      <c r="F101"/>
      <c r="G101"/>
      <c r="H101"/>
      <c r="I101"/>
      <c r="J101"/>
      <c r="K101"/>
      <c r="L101"/>
    </row>
    <row r="102" spans="6:12" x14ac:dyDescent="0.2">
      <c r="F102"/>
      <c r="G102"/>
      <c r="H102"/>
      <c r="I102"/>
      <c r="J102"/>
      <c r="K102"/>
      <c r="L102"/>
    </row>
    <row r="103" spans="6:12" x14ac:dyDescent="0.2">
      <c r="F103"/>
      <c r="G103"/>
      <c r="H103"/>
      <c r="I103"/>
      <c r="J103"/>
      <c r="K103"/>
      <c r="L103"/>
    </row>
    <row r="104" spans="6:12" x14ac:dyDescent="0.2">
      <c r="F104"/>
      <c r="G104"/>
      <c r="H104"/>
      <c r="I104"/>
      <c r="J104"/>
      <c r="K104"/>
      <c r="L104"/>
    </row>
    <row r="105" spans="6:12" x14ac:dyDescent="0.2">
      <c r="F105"/>
      <c r="G105"/>
      <c r="H105"/>
      <c r="I105"/>
      <c r="J105"/>
      <c r="K105"/>
      <c r="L105"/>
    </row>
    <row r="106" spans="6:12" x14ac:dyDescent="0.2">
      <c r="F106"/>
      <c r="G106"/>
      <c r="H106"/>
      <c r="I106"/>
      <c r="J106"/>
      <c r="K106"/>
      <c r="L106"/>
    </row>
  </sheetData>
  <mergeCells count="1">
    <mergeCell ref="G3:H3"/>
  </mergeCells>
  <phoneticPr fontId="2" type="noConversion"/>
  <hyperlinks>
    <hyperlink ref="G3" location="Network!A1" display="Return to Network"/>
  </hyperlinks>
  <pageMargins left="0.75" right="0.75" top="1" bottom="1" header="0.5" footer="0.5"/>
  <pageSetup orientation="portrait" verticalDpi="0" r:id="rId1"/>
  <headerFooter alignWithMargins="0"/>
  <drawing r:id="rId2"/>
  <picture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L106"/>
  <sheetViews>
    <sheetView showGridLines="0" showRowColHeaders="0" workbookViewId="0">
      <selection activeCell="H13" sqref="H13"/>
    </sheetView>
  </sheetViews>
  <sheetFormatPr defaultRowHeight="12.75" x14ac:dyDescent="0.2"/>
  <cols>
    <col min="1" max="1" width="5.42578125" style="1" customWidth="1"/>
    <col min="2" max="2" width="8" style="6" bestFit="1" customWidth="1"/>
    <col min="3" max="3" width="7.7109375" style="6" bestFit="1" customWidth="1"/>
    <col min="4" max="4" width="14.5703125" customWidth="1"/>
    <col min="5" max="5" width="14.5703125" style="6" customWidth="1"/>
    <col min="6" max="6" width="14.5703125" style="1" customWidth="1"/>
    <col min="7" max="7" width="9.140625" style="1"/>
    <col min="8" max="8" width="6" style="1" customWidth="1"/>
    <col min="9" max="16384" width="9.140625" style="1"/>
  </cols>
  <sheetData>
    <row r="1" spans="2:12" x14ac:dyDescent="0.2">
      <c r="D1" s="6"/>
    </row>
    <row r="2" spans="2:12" ht="14.25" customHeight="1" x14ac:dyDescent="0.2">
      <c r="D2" s="6"/>
    </row>
    <row r="3" spans="2:12" ht="25.5" customHeight="1" x14ac:dyDescent="0.2">
      <c r="D3" s="6"/>
      <c r="G3" s="199"/>
      <c r="H3" s="199"/>
    </row>
    <row r="4" spans="2:12" x14ac:dyDescent="0.2">
      <c r="B4" s="16"/>
      <c r="C4" s="17"/>
      <c r="D4" s="6"/>
    </row>
    <row r="5" spans="2:12" ht="13.5" thickBot="1" x14ac:dyDescent="0.25">
      <c r="B5" s="20" t="s">
        <v>1</v>
      </c>
      <c r="C5" s="20" t="s">
        <v>3</v>
      </c>
      <c r="D5" s="20" t="s">
        <v>20</v>
      </c>
      <c r="E5" s="1"/>
    </row>
    <row r="6" spans="2:12" x14ac:dyDescent="0.2">
      <c r="B6" s="31">
        <v>1</v>
      </c>
      <c r="C6" s="32">
        <v>1</v>
      </c>
      <c r="D6" s="32">
        <v>1000</v>
      </c>
      <c r="F6" s="6"/>
      <c r="G6"/>
      <c r="H6"/>
      <c r="I6"/>
      <c r="J6"/>
      <c r="K6"/>
      <c r="L6"/>
    </row>
    <row r="7" spans="2:12" x14ac:dyDescent="0.2">
      <c r="B7" s="34"/>
      <c r="C7" s="29">
        <v>2</v>
      </c>
      <c r="D7" s="29">
        <v>1000</v>
      </c>
      <c r="F7" s="6"/>
      <c r="G7"/>
      <c r="H7"/>
      <c r="I7"/>
      <c r="J7"/>
      <c r="K7"/>
      <c r="L7"/>
    </row>
    <row r="8" spans="2:12" ht="13.5" thickBot="1" x14ac:dyDescent="0.25">
      <c r="B8" s="34"/>
      <c r="C8" s="29">
        <v>3</v>
      </c>
      <c r="D8" s="29">
        <v>1000</v>
      </c>
      <c r="F8" s="6"/>
      <c r="G8"/>
      <c r="H8"/>
      <c r="I8"/>
      <c r="J8"/>
      <c r="K8"/>
      <c r="L8"/>
    </row>
    <row r="9" spans="2:12" x14ac:dyDescent="0.2">
      <c r="B9" s="31">
        <v>2</v>
      </c>
      <c r="C9" s="32">
        <v>1</v>
      </c>
      <c r="D9" s="32">
        <v>1000</v>
      </c>
      <c r="F9" s="6"/>
      <c r="G9"/>
      <c r="H9"/>
      <c r="I9"/>
      <c r="J9"/>
      <c r="K9"/>
      <c r="L9"/>
    </row>
    <row r="10" spans="2:12" x14ac:dyDescent="0.2">
      <c r="B10" s="34"/>
      <c r="C10" s="29">
        <v>2</v>
      </c>
      <c r="D10" s="29">
        <v>1000</v>
      </c>
      <c r="F10" s="6"/>
      <c r="G10"/>
      <c r="H10"/>
      <c r="I10"/>
      <c r="J10"/>
      <c r="K10"/>
      <c r="L10"/>
    </row>
    <row r="11" spans="2:12" ht="13.5" thickBot="1" x14ac:dyDescent="0.25">
      <c r="B11" s="34"/>
      <c r="C11" s="29">
        <v>3</v>
      </c>
      <c r="D11" s="29">
        <v>1000</v>
      </c>
      <c r="F11" s="6"/>
      <c r="G11"/>
      <c r="H11"/>
      <c r="I11"/>
      <c r="J11"/>
      <c r="K11"/>
      <c r="L11"/>
    </row>
    <row r="12" spans="2:12" x14ac:dyDescent="0.2">
      <c r="B12" s="31">
        <v>3</v>
      </c>
      <c r="C12" s="32">
        <v>1</v>
      </c>
      <c r="D12" s="32">
        <v>1000</v>
      </c>
      <c r="E12"/>
      <c r="F12"/>
      <c r="G12"/>
      <c r="H12"/>
      <c r="I12"/>
      <c r="J12"/>
      <c r="K12"/>
      <c r="L12"/>
    </row>
    <row r="13" spans="2:12" x14ac:dyDescent="0.2">
      <c r="B13" s="34"/>
      <c r="C13" s="29">
        <v>2</v>
      </c>
      <c r="D13" s="29">
        <v>1000</v>
      </c>
      <c r="E13"/>
      <c r="F13"/>
      <c r="G13"/>
      <c r="H13"/>
      <c r="I13"/>
      <c r="J13"/>
      <c r="K13"/>
      <c r="L13"/>
    </row>
    <row r="14" spans="2:12" x14ac:dyDescent="0.2">
      <c r="B14" s="34"/>
      <c r="C14" s="29">
        <v>3</v>
      </c>
      <c r="D14" s="29">
        <v>1000</v>
      </c>
      <c r="E14"/>
      <c r="F14"/>
      <c r="G14"/>
      <c r="H14"/>
      <c r="I14"/>
      <c r="J14"/>
      <c r="K14"/>
      <c r="L14"/>
    </row>
    <row r="15" spans="2:12" x14ac:dyDescent="0.2">
      <c r="B15"/>
      <c r="C15"/>
      <c r="E15"/>
      <c r="F15"/>
      <c r="G15"/>
      <c r="H15"/>
      <c r="I15"/>
      <c r="J15"/>
      <c r="K15"/>
      <c r="L15"/>
    </row>
    <row r="16" spans="2:12" x14ac:dyDescent="0.2">
      <c r="B16"/>
      <c r="C16"/>
      <c r="E16"/>
      <c r="F16"/>
      <c r="G16"/>
      <c r="H16"/>
      <c r="I16"/>
      <c r="J16"/>
      <c r="K16"/>
      <c r="L16"/>
    </row>
    <row r="17" spans="2:12" x14ac:dyDescent="0.2">
      <c r="B17"/>
      <c r="C17"/>
      <c r="E17"/>
      <c r="F17"/>
      <c r="G17"/>
      <c r="H17"/>
      <c r="I17"/>
      <c r="J17"/>
      <c r="K17"/>
      <c r="L17"/>
    </row>
    <row r="18" spans="2:12" x14ac:dyDescent="0.2">
      <c r="B18"/>
      <c r="C18"/>
      <c r="E18"/>
      <c r="F18"/>
      <c r="G18"/>
      <c r="H18"/>
      <c r="I18"/>
      <c r="J18"/>
      <c r="K18"/>
      <c r="L18"/>
    </row>
    <row r="19" spans="2:12" x14ac:dyDescent="0.2">
      <c r="B19"/>
      <c r="C19"/>
      <c r="E19"/>
      <c r="F19"/>
      <c r="G19"/>
      <c r="H19"/>
      <c r="I19"/>
      <c r="J19"/>
      <c r="K19"/>
      <c r="L19"/>
    </row>
    <row r="20" spans="2:12" x14ac:dyDescent="0.2">
      <c r="B20"/>
      <c r="C20"/>
      <c r="E20"/>
      <c r="F20"/>
      <c r="G20"/>
      <c r="H20"/>
      <c r="I20"/>
      <c r="J20"/>
      <c r="K20"/>
      <c r="L20"/>
    </row>
    <row r="21" spans="2:12" x14ac:dyDescent="0.2">
      <c r="B21"/>
      <c r="C21"/>
      <c r="E21"/>
      <c r="F21"/>
      <c r="G21"/>
      <c r="H21"/>
      <c r="I21"/>
      <c r="J21"/>
      <c r="K21"/>
      <c r="L21"/>
    </row>
    <row r="22" spans="2:12" x14ac:dyDescent="0.2">
      <c r="B22"/>
      <c r="C22"/>
      <c r="E22"/>
      <c r="F22"/>
      <c r="G22"/>
      <c r="H22"/>
      <c r="I22"/>
      <c r="J22"/>
      <c r="K22"/>
      <c r="L22"/>
    </row>
    <row r="23" spans="2:12" x14ac:dyDescent="0.2">
      <c r="B23"/>
      <c r="C23"/>
      <c r="E23"/>
      <c r="F23"/>
      <c r="G23"/>
      <c r="H23"/>
      <c r="I23"/>
      <c r="J23"/>
      <c r="K23"/>
      <c r="L23"/>
    </row>
    <row r="24" spans="2:12" x14ac:dyDescent="0.2">
      <c r="B24"/>
      <c r="C24"/>
      <c r="E24"/>
      <c r="F24"/>
      <c r="G24"/>
      <c r="H24"/>
      <c r="I24"/>
      <c r="J24"/>
      <c r="K24"/>
      <c r="L24"/>
    </row>
    <row r="25" spans="2:12" x14ac:dyDescent="0.2">
      <c r="B25"/>
      <c r="C25"/>
      <c r="E25"/>
      <c r="F25"/>
      <c r="G25"/>
      <c r="H25"/>
      <c r="I25"/>
      <c r="J25"/>
      <c r="K25"/>
      <c r="L25"/>
    </row>
    <row r="26" spans="2:12" x14ac:dyDescent="0.2">
      <c r="B26"/>
      <c r="C26"/>
      <c r="E26"/>
      <c r="F26"/>
      <c r="G26"/>
      <c r="H26"/>
      <c r="I26"/>
      <c r="J26"/>
      <c r="K26"/>
      <c r="L26"/>
    </row>
    <row r="27" spans="2:12" x14ac:dyDescent="0.2">
      <c r="B27"/>
      <c r="C27"/>
      <c r="E27"/>
      <c r="F27"/>
      <c r="G27"/>
      <c r="H27"/>
      <c r="I27"/>
      <c r="J27"/>
      <c r="K27"/>
      <c r="L27"/>
    </row>
    <row r="28" spans="2:12" x14ac:dyDescent="0.2">
      <c r="B28"/>
      <c r="C28"/>
      <c r="E28"/>
      <c r="F28"/>
      <c r="G28"/>
      <c r="H28"/>
      <c r="I28"/>
      <c r="J28"/>
      <c r="K28"/>
      <c r="L28"/>
    </row>
    <row r="29" spans="2:12" x14ac:dyDescent="0.2">
      <c r="B29"/>
      <c r="C29"/>
      <c r="E29"/>
      <c r="F29"/>
      <c r="G29"/>
      <c r="H29"/>
      <c r="I29"/>
      <c r="J29"/>
      <c r="K29"/>
      <c r="L29"/>
    </row>
    <row r="30" spans="2:12" x14ac:dyDescent="0.2">
      <c r="B30"/>
      <c r="C30"/>
      <c r="E30"/>
      <c r="F30"/>
      <c r="G30"/>
      <c r="H30"/>
      <c r="I30"/>
      <c r="J30"/>
      <c r="K30"/>
      <c r="L30"/>
    </row>
    <row r="31" spans="2:12" x14ac:dyDescent="0.2">
      <c r="B31"/>
      <c r="C31"/>
      <c r="E31"/>
      <c r="F31"/>
      <c r="G31"/>
      <c r="H31"/>
      <c r="I31"/>
      <c r="J31"/>
      <c r="K31"/>
      <c r="L31"/>
    </row>
    <row r="32" spans="2:12" x14ac:dyDescent="0.2">
      <c r="B32"/>
      <c r="C32"/>
      <c r="E32"/>
      <c r="F32"/>
      <c r="G32"/>
      <c r="H32"/>
      <c r="I32"/>
      <c r="J32"/>
      <c r="K32"/>
      <c r="L32"/>
    </row>
    <row r="33" spans="2:12" x14ac:dyDescent="0.2">
      <c r="B33"/>
      <c r="C33"/>
      <c r="E33"/>
      <c r="F33"/>
      <c r="G33"/>
      <c r="H33"/>
      <c r="I33"/>
      <c r="J33"/>
      <c r="K33"/>
      <c r="L33"/>
    </row>
    <row r="34" spans="2:12" x14ac:dyDescent="0.2">
      <c r="B34"/>
      <c r="C34"/>
      <c r="E34"/>
      <c r="F34"/>
      <c r="G34"/>
      <c r="H34"/>
      <c r="I34"/>
      <c r="J34"/>
      <c r="K34"/>
      <c r="L34"/>
    </row>
    <row r="35" spans="2:12" x14ac:dyDescent="0.2">
      <c r="B35"/>
      <c r="C35"/>
      <c r="E35"/>
      <c r="F35"/>
      <c r="G35"/>
      <c r="H35"/>
      <c r="I35"/>
      <c r="J35"/>
      <c r="K35"/>
      <c r="L35"/>
    </row>
    <row r="36" spans="2:12" x14ac:dyDescent="0.2">
      <c r="B36"/>
      <c r="C36"/>
      <c r="E36"/>
      <c r="F36"/>
      <c r="G36"/>
      <c r="H36"/>
      <c r="I36"/>
      <c r="J36"/>
      <c r="K36"/>
      <c r="L36"/>
    </row>
    <row r="37" spans="2:12" x14ac:dyDescent="0.2">
      <c r="B37"/>
      <c r="C37"/>
      <c r="E37"/>
      <c r="F37"/>
      <c r="G37"/>
      <c r="H37"/>
      <c r="I37"/>
      <c r="J37"/>
      <c r="K37"/>
      <c r="L37"/>
    </row>
    <row r="38" spans="2:12" x14ac:dyDescent="0.2">
      <c r="B38"/>
      <c r="C38"/>
      <c r="E38"/>
      <c r="F38"/>
      <c r="G38"/>
      <c r="H38"/>
      <c r="I38"/>
      <c r="J38"/>
      <c r="K38"/>
      <c r="L38"/>
    </row>
    <row r="39" spans="2:12" x14ac:dyDescent="0.2">
      <c r="B39"/>
      <c r="C39"/>
      <c r="E39"/>
      <c r="F39"/>
      <c r="G39"/>
      <c r="H39"/>
      <c r="I39"/>
      <c r="J39"/>
      <c r="K39"/>
      <c r="L39"/>
    </row>
    <row r="40" spans="2:12" x14ac:dyDescent="0.2">
      <c r="B40"/>
      <c r="C40"/>
      <c r="E40"/>
      <c r="F40"/>
      <c r="G40"/>
      <c r="H40"/>
      <c r="I40"/>
      <c r="J40"/>
      <c r="K40"/>
      <c r="L40"/>
    </row>
    <row r="41" spans="2:12" x14ac:dyDescent="0.2">
      <c r="B41"/>
      <c r="C41"/>
      <c r="E41"/>
      <c r="F41"/>
      <c r="G41"/>
      <c r="H41"/>
      <c r="I41"/>
      <c r="J41"/>
      <c r="K41"/>
      <c r="L41"/>
    </row>
    <row r="42" spans="2:12" x14ac:dyDescent="0.2">
      <c r="B42"/>
      <c r="C42"/>
      <c r="E42"/>
      <c r="F42"/>
      <c r="G42"/>
      <c r="H42"/>
      <c r="I42"/>
      <c r="J42"/>
      <c r="K42"/>
      <c r="L42"/>
    </row>
    <row r="43" spans="2:12" x14ac:dyDescent="0.2">
      <c r="B43"/>
      <c r="C43"/>
      <c r="E43"/>
      <c r="F43"/>
      <c r="G43"/>
      <c r="H43"/>
      <c r="I43"/>
      <c r="J43"/>
      <c r="K43"/>
      <c r="L43"/>
    </row>
    <row r="44" spans="2:12" x14ac:dyDescent="0.2">
      <c r="B44"/>
      <c r="C44"/>
      <c r="E44"/>
      <c r="F44"/>
      <c r="G44"/>
      <c r="H44"/>
      <c r="I44"/>
      <c r="J44"/>
      <c r="K44"/>
      <c r="L44"/>
    </row>
    <row r="45" spans="2:12" x14ac:dyDescent="0.2">
      <c r="B45"/>
      <c r="C45"/>
      <c r="E45"/>
      <c r="F45"/>
      <c r="G45"/>
      <c r="H45"/>
      <c r="I45"/>
      <c r="J45"/>
      <c r="K45"/>
      <c r="L45"/>
    </row>
    <row r="46" spans="2:12" x14ac:dyDescent="0.2">
      <c r="B46"/>
      <c r="C46"/>
      <c r="E46"/>
      <c r="F46"/>
      <c r="G46"/>
      <c r="H46"/>
      <c r="I46"/>
      <c r="J46"/>
      <c r="K46"/>
      <c r="L46"/>
    </row>
    <row r="47" spans="2:12" x14ac:dyDescent="0.2">
      <c r="B47"/>
      <c r="C47"/>
      <c r="E47"/>
      <c r="F47"/>
      <c r="G47"/>
      <c r="H47"/>
      <c r="I47"/>
      <c r="J47"/>
      <c r="K47"/>
      <c r="L47"/>
    </row>
    <row r="48" spans="2:12" x14ac:dyDescent="0.2">
      <c r="B48"/>
      <c r="C48"/>
      <c r="E48"/>
      <c r="F48"/>
      <c r="G48"/>
      <c r="H48"/>
      <c r="I48"/>
      <c r="J48"/>
      <c r="K48"/>
      <c r="L48"/>
    </row>
    <row r="49" spans="2:12" x14ac:dyDescent="0.2">
      <c r="B49"/>
      <c r="C49"/>
      <c r="E49"/>
      <c r="F49"/>
      <c r="G49"/>
      <c r="H49"/>
      <c r="I49"/>
      <c r="J49"/>
      <c r="K49"/>
      <c r="L49"/>
    </row>
    <row r="50" spans="2:12" x14ac:dyDescent="0.2">
      <c r="B50"/>
      <c r="C50"/>
      <c r="E50"/>
      <c r="F50"/>
      <c r="G50"/>
      <c r="H50"/>
      <c r="I50"/>
      <c r="J50"/>
      <c r="K50"/>
      <c r="L50"/>
    </row>
    <row r="51" spans="2:12" x14ac:dyDescent="0.2">
      <c r="B51"/>
      <c r="C51"/>
      <c r="E51"/>
      <c r="F51"/>
      <c r="G51"/>
      <c r="H51"/>
      <c r="I51"/>
      <c r="J51"/>
      <c r="K51"/>
      <c r="L51"/>
    </row>
    <row r="52" spans="2:12" x14ac:dyDescent="0.2">
      <c r="B52"/>
      <c r="C52"/>
      <c r="E52"/>
      <c r="F52"/>
      <c r="G52"/>
      <c r="H52"/>
      <c r="I52"/>
      <c r="J52"/>
      <c r="K52"/>
      <c r="L52"/>
    </row>
    <row r="53" spans="2:12" x14ac:dyDescent="0.2">
      <c r="B53"/>
      <c r="C53"/>
      <c r="E53"/>
      <c r="F53"/>
      <c r="G53"/>
      <c r="H53"/>
      <c r="I53"/>
      <c r="J53"/>
      <c r="K53"/>
      <c r="L53"/>
    </row>
    <row r="54" spans="2:12" x14ac:dyDescent="0.2">
      <c r="B54"/>
      <c r="C54"/>
      <c r="E54"/>
      <c r="F54"/>
      <c r="G54"/>
      <c r="H54"/>
      <c r="I54"/>
      <c r="J54"/>
      <c r="K54"/>
      <c r="L54"/>
    </row>
    <row r="55" spans="2:12" x14ac:dyDescent="0.2">
      <c r="B55"/>
      <c r="C55"/>
      <c r="E55"/>
      <c r="F55"/>
      <c r="G55"/>
      <c r="H55"/>
      <c r="I55"/>
      <c r="J55"/>
      <c r="K55"/>
      <c r="L55"/>
    </row>
    <row r="56" spans="2:12" x14ac:dyDescent="0.2">
      <c r="B56"/>
      <c r="C56"/>
      <c r="E56"/>
      <c r="F56"/>
      <c r="G56"/>
      <c r="H56"/>
      <c r="I56"/>
      <c r="J56"/>
      <c r="K56"/>
      <c r="L56"/>
    </row>
    <row r="57" spans="2:12" x14ac:dyDescent="0.2">
      <c r="B57"/>
      <c r="C57"/>
      <c r="E57"/>
      <c r="F57"/>
      <c r="G57"/>
      <c r="H57"/>
      <c r="I57"/>
      <c r="J57"/>
      <c r="K57"/>
      <c r="L57"/>
    </row>
    <row r="58" spans="2:12" x14ac:dyDescent="0.2">
      <c r="B58"/>
      <c r="C58"/>
      <c r="E58"/>
      <c r="F58"/>
      <c r="G58"/>
      <c r="H58"/>
      <c r="I58"/>
      <c r="J58"/>
      <c r="K58"/>
      <c r="L58"/>
    </row>
    <row r="59" spans="2:12" x14ac:dyDescent="0.2">
      <c r="B59"/>
      <c r="C59"/>
      <c r="E59"/>
      <c r="F59"/>
      <c r="G59"/>
      <c r="H59"/>
      <c r="I59"/>
      <c r="J59"/>
      <c r="K59"/>
      <c r="L59"/>
    </row>
    <row r="60" spans="2:12" x14ac:dyDescent="0.2">
      <c r="B60"/>
      <c r="C60"/>
      <c r="E60"/>
      <c r="F60"/>
      <c r="G60"/>
      <c r="H60"/>
      <c r="I60"/>
      <c r="J60"/>
      <c r="K60"/>
      <c r="L60"/>
    </row>
    <row r="61" spans="2:12" x14ac:dyDescent="0.2">
      <c r="B61"/>
      <c r="C61"/>
      <c r="E61"/>
      <c r="F61"/>
      <c r="G61"/>
      <c r="H61"/>
      <c r="I61"/>
      <c r="J61"/>
      <c r="K61"/>
      <c r="L61"/>
    </row>
    <row r="62" spans="2:12" x14ac:dyDescent="0.2">
      <c r="B62"/>
      <c r="C62"/>
      <c r="E62"/>
      <c r="F62"/>
      <c r="G62"/>
      <c r="H62"/>
      <c r="I62"/>
      <c r="J62"/>
      <c r="K62"/>
      <c r="L62"/>
    </row>
    <row r="63" spans="2:12" x14ac:dyDescent="0.2">
      <c r="B63"/>
      <c r="C63"/>
      <c r="E63"/>
      <c r="F63"/>
      <c r="G63"/>
      <c r="H63"/>
      <c r="I63"/>
      <c r="J63"/>
      <c r="K63"/>
      <c r="L63"/>
    </row>
    <row r="64" spans="2:12" x14ac:dyDescent="0.2">
      <c r="B64"/>
      <c r="C64"/>
      <c r="E64"/>
      <c r="F64"/>
      <c r="G64"/>
      <c r="H64"/>
      <c r="I64"/>
      <c r="J64"/>
      <c r="K64"/>
      <c r="L64"/>
    </row>
    <row r="65" spans="2:12" x14ac:dyDescent="0.2">
      <c r="B65"/>
      <c r="C65"/>
      <c r="E65"/>
      <c r="F65"/>
      <c r="G65"/>
      <c r="H65"/>
      <c r="I65"/>
      <c r="J65"/>
      <c r="K65"/>
      <c r="L65"/>
    </row>
    <row r="66" spans="2:12" x14ac:dyDescent="0.2">
      <c r="B66"/>
      <c r="C66"/>
      <c r="E66"/>
      <c r="F66"/>
      <c r="G66"/>
      <c r="H66"/>
      <c r="I66"/>
      <c r="J66"/>
      <c r="K66"/>
      <c r="L66"/>
    </row>
    <row r="67" spans="2:12" x14ac:dyDescent="0.2">
      <c r="B67"/>
      <c r="C67"/>
      <c r="E67"/>
      <c r="F67"/>
      <c r="G67"/>
      <c r="H67"/>
      <c r="I67"/>
      <c r="J67"/>
      <c r="K67"/>
      <c r="L67"/>
    </row>
    <row r="68" spans="2:12" x14ac:dyDescent="0.2">
      <c r="B68"/>
      <c r="C68"/>
      <c r="E68"/>
      <c r="F68"/>
      <c r="G68"/>
      <c r="H68"/>
      <c r="I68"/>
      <c r="J68"/>
      <c r="K68"/>
      <c r="L68"/>
    </row>
    <row r="69" spans="2:12" x14ac:dyDescent="0.2">
      <c r="B69"/>
      <c r="C69"/>
      <c r="E69"/>
      <c r="F69"/>
      <c r="G69"/>
      <c r="H69"/>
      <c r="I69"/>
      <c r="J69"/>
      <c r="K69"/>
      <c r="L69"/>
    </row>
    <row r="70" spans="2:12" x14ac:dyDescent="0.2">
      <c r="B70"/>
      <c r="C70"/>
      <c r="E70"/>
      <c r="F70"/>
      <c r="G70"/>
      <c r="H70"/>
      <c r="I70"/>
      <c r="J70"/>
      <c r="K70"/>
      <c r="L70"/>
    </row>
    <row r="71" spans="2:12" x14ac:dyDescent="0.2">
      <c r="B71"/>
      <c r="C71"/>
      <c r="E71"/>
      <c r="F71"/>
      <c r="G71"/>
      <c r="H71"/>
      <c r="I71"/>
      <c r="J71"/>
      <c r="K71"/>
      <c r="L71"/>
    </row>
    <row r="72" spans="2:12" x14ac:dyDescent="0.2">
      <c r="B72"/>
      <c r="C72"/>
      <c r="E72"/>
      <c r="F72"/>
      <c r="G72"/>
      <c r="H72"/>
      <c r="I72"/>
      <c r="J72"/>
      <c r="K72"/>
      <c r="L72"/>
    </row>
    <row r="73" spans="2:12" x14ac:dyDescent="0.2">
      <c r="B73"/>
      <c r="C73"/>
      <c r="E73"/>
      <c r="F73"/>
      <c r="G73"/>
      <c r="H73"/>
      <c r="I73"/>
      <c r="J73"/>
      <c r="K73"/>
      <c r="L73"/>
    </row>
    <row r="74" spans="2:12" x14ac:dyDescent="0.2">
      <c r="B74"/>
      <c r="C74"/>
      <c r="E74"/>
      <c r="F74"/>
      <c r="G74"/>
      <c r="H74"/>
      <c r="I74"/>
      <c r="J74"/>
      <c r="K74"/>
      <c r="L74"/>
    </row>
    <row r="75" spans="2:12" x14ac:dyDescent="0.2">
      <c r="B75"/>
      <c r="C75"/>
      <c r="E75"/>
      <c r="F75"/>
      <c r="G75"/>
      <c r="H75"/>
      <c r="I75"/>
      <c r="J75"/>
      <c r="K75"/>
      <c r="L75"/>
    </row>
    <row r="76" spans="2:12" x14ac:dyDescent="0.2">
      <c r="B76"/>
      <c r="C76"/>
      <c r="E76"/>
      <c r="F76"/>
      <c r="G76"/>
      <c r="H76"/>
      <c r="I76"/>
      <c r="J76"/>
      <c r="K76"/>
      <c r="L76"/>
    </row>
    <row r="77" spans="2:12" x14ac:dyDescent="0.2">
      <c r="B77"/>
      <c r="C77"/>
      <c r="E77"/>
      <c r="F77"/>
      <c r="G77"/>
      <c r="H77"/>
      <c r="I77"/>
      <c r="J77"/>
      <c r="K77"/>
      <c r="L77"/>
    </row>
    <row r="78" spans="2:12" x14ac:dyDescent="0.2">
      <c r="B78"/>
      <c r="C78"/>
      <c r="E78"/>
      <c r="F78"/>
      <c r="G78"/>
      <c r="H78"/>
      <c r="I78"/>
      <c r="J78"/>
      <c r="K78"/>
      <c r="L78"/>
    </row>
    <row r="79" spans="2:12" x14ac:dyDescent="0.2">
      <c r="B79"/>
      <c r="C79"/>
      <c r="E79"/>
      <c r="F79"/>
      <c r="G79"/>
      <c r="H79"/>
      <c r="I79"/>
      <c r="J79"/>
      <c r="K79"/>
      <c r="L79"/>
    </row>
    <row r="80" spans="2:12" x14ac:dyDescent="0.2">
      <c r="B80"/>
      <c r="C80"/>
      <c r="E80"/>
      <c r="F80"/>
      <c r="G80"/>
      <c r="H80"/>
      <c r="I80"/>
      <c r="J80"/>
      <c r="K80"/>
      <c r="L80"/>
    </row>
    <row r="81" spans="2:12" x14ac:dyDescent="0.2">
      <c r="B81"/>
      <c r="C81"/>
      <c r="E81"/>
      <c r="F81"/>
      <c r="G81"/>
      <c r="H81"/>
      <c r="I81"/>
      <c r="J81"/>
      <c r="K81"/>
      <c r="L81"/>
    </row>
    <row r="82" spans="2:12" x14ac:dyDescent="0.2">
      <c r="B82"/>
      <c r="C82"/>
      <c r="E82"/>
      <c r="F82"/>
      <c r="G82"/>
      <c r="H82"/>
      <c r="I82"/>
      <c r="J82"/>
      <c r="K82"/>
      <c r="L82"/>
    </row>
    <row r="83" spans="2:12" x14ac:dyDescent="0.2">
      <c r="B83"/>
      <c r="C83"/>
      <c r="E83"/>
      <c r="F83"/>
      <c r="G83"/>
      <c r="H83"/>
      <c r="I83"/>
      <c r="J83"/>
      <c r="K83"/>
      <c r="L83"/>
    </row>
    <row r="84" spans="2:12" x14ac:dyDescent="0.2">
      <c r="B84"/>
      <c r="C84"/>
      <c r="E84"/>
      <c r="F84"/>
      <c r="G84"/>
      <c r="H84"/>
      <c r="I84"/>
      <c r="J84"/>
      <c r="K84"/>
      <c r="L84"/>
    </row>
    <row r="85" spans="2:12" x14ac:dyDescent="0.2">
      <c r="B85"/>
      <c r="C85"/>
      <c r="E85"/>
      <c r="F85"/>
      <c r="G85"/>
      <c r="H85"/>
      <c r="I85"/>
      <c r="J85"/>
      <c r="K85"/>
      <c r="L85"/>
    </row>
    <row r="86" spans="2:12" x14ac:dyDescent="0.2">
      <c r="B86"/>
      <c r="C86"/>
      <c r="E86"/>
      <c r="F86"/>
      <c r="G86"/>
      <c r="H86"/>
      <c r="I86"/>
      <c r="J86"/>
      <c r="K86"/>
      <c r="L86"/>
    </row>
    <row r="87" spans="2:12" x14ac:dyDescent="0.2">
      <c r="B87"/>
      <c r="C87"/>
      <c r="E87"/>
      <c r="F87"/>
      <c r="G87"/>
      <c r="H87"/>
      <c r="I87"/>
      <c r="J87"/>
      <c r="K87"/>
      <c r="L87"/>
    </row>
    <row r="88" spans="2:12" x14ac:dyDescent="0.2">
      <c r="B88"/>
      <c r="C88"/>
      <c r="E88"/>
      <c r="F88"/>
      <c r="G88"/>
      <c r="H88"/>
      <c r="I88"/>
      <c r="J88"/>
      <c r="K88"/>
      <c r="L88"/>
    </row>
    <row r="89" spans="2:12" x14ac:dyDescent="0.2">
      <c r="B89"/>
      <c r="C89"/>
      <c r="E89"/>
      <c r="F89"/>
      <c r="G89"/>
      <c r="H89"/>
      <c r="I89"/>
      <c r="J89"/>
      <c r="K89"/>
      <c r="L89"/>
    </row>
    <row r="90" spans="2:12" x14ac:dyDescent="0.2">
      <c r="B90"/>
      <c r="C90"/>
      <c r="E90"/>
      <c r="F90"/>
      <c r="G90"/>
      <c r="H90"/>
      <c r="I90"/>
      <c r="J90"/>
      <c r="K90"/>
      <c r="L90"/>
    </row>
    <row r="91" spans="2:12" x14ac:dyDescent="0.2">
      <c r="B91"/>
      <c r="C91"/>
      <c r="E91"/>
      <c r="F91"/>
      <c r="G91"/>
      <c r="H91"/>
      <c r="I91"/>
      <c r="J91"/>
      <c r="K91"/>
      <c r="L91"/>
    </row>
    <row r="92" spans="2:12" x14ac:dyDescent="0.2">
      <c r="B92"/>
      <c r="C92"/>
      <c r="E92"/>
      <c r="F92"/>
      <c r="G92"/>
      <c r="H92"/>
      <c r="I92"/>
      <c r="J92"/>
      <c r="K92"/>
      <c r="L92"/>
    </row>
    <row r="93" spans="2:12" x14ac:dyDescent="0.2">
      <c r="B93"/>
      <c r="C93"/>
      <c r="E93"/>
      <c r="F93"/>
      <c r="G93"/>
      <c r="H93"/>
      <c r="I93"/>
      <c r="J93"/>
      <c r="K93"/>
      <c r="L93"/>
    </row>
    <row r="94" spans="2:12" x14ac:dyDescent="0.2">
      <c r="B94"/>
      <c r="C94"/>
      <c r="E94"/>
      <c r="F94"/>
      <c r="G94"/>
      <c r="H94"/>
      <c r="I94"/>
      <c r="J94"/>
      <c r="K94"/>
      <c r="L94"/>
    </row>
    <row r="95" spans="2:12" x14ac:dyDescent="0.2">
      <c r="B95"/>
      <c r="C95"/>
      <c r="E95"/>
      <c r="F95"/>
      <c r="G95"/>
      <c r="H95"/>
      <c r="I95"/>
      <c r="J95"/>
      <c r="K95"/>
      <c r="L95"/>
    </row>
    <row r="96" spans="2:12" x14ac:dyDescent="0.2">
      <c r="B96"/>
      <c r="C96"/>
      <c r="E96"/>
      <c r="F96"/>
      <c r="G96"/>
      <c r="H96"/>
      <c r="I96"/>
      <c r="J96"/>
      <c r="K96"/>
      <c r="L96"/>
    </row>
    <row r="97" spans="2:12" x14ac:dyDescent="0.2">
      <c r="B97"/>
      <c r="C97"/>
      <c r="E97"/>
      <c r="F97"/>
      <c r="G97"/>
      <c r="H97"/>
      <c r="I97"/>
      <c r="J97"/>
      <c r="K97"/>
      <c r="L97"/>
    </row>
    <row r="98" spans="2:12" x14ac:dyDescent="0.2">
      <c r="B98"/>
      <c r="C98"/>
      <c r="E98"/>
      <c r="F98"/>
      <c r="G98"/>
      <c r="H98"/>
      <c r="I98"/>
      <c r="J98"/>
      <c r="K98"/>
      <c r="L98"/>
    </row>
    <row r="99" spans="2:12" x14ac:dyDescent="0.2">
      <c r="B99"/>
      <c r="C99"/>
      <c r="E99"/>
      <c r="F99"/>
      <c r="G99"/>
      <c r="H99"/>
      <c r="I99"/>
      <c r="J99"/>
      <c r="K99"/>
      <c r="L99"/>
    </row>
    <row r="100" spans="2:12" x14ac:dyDescent="0.2">
      <c r="E100"/>
      <c r="F100"/>
      <c r="G100"/>
      <c r="H100"/>
      <c r="I100"/>
      <c r="J100"/>
      <c r="K100"/>
      <c r="L100"/>
    </row>
    <row r="101" spans="2:12" x14ac:dyDescent="0.2">
      <c r="E101"/>
      <c r="F101"/>
      <c r="G101"/>
      <c r="H101"/>
      <c r="I101"/>
      <c r="J101"/>
      <c r="K101"/>
      <c r="L101"/>
    </row>
    <row r="102" spans="2:12" x14ac:dyDescent="0.2">
      <c r="E102"/>
      <c r="F102"/>
      <c r="G102"/>
      <c r="H102"/>
      <c r="I102"/>
      <c r="J102"/>
      <c r="K102"/>
      <c r="L102"/>
    </row>
    <row r="103" spans="2:12" x14ac:dyDescent="0.2">
      <c r="E103"/>
      <c r="F103"/>
      <c r="G103"/>
      <c r="H103"/>
      <c r="I103"/>
      <c r="J103"/>
      <c r="K103"/>
      <c r="L103"/>
    </row>
    <row r="104" spans="2:12" x14ac:dyDescent="0.2">
      <c r="E104"/>
      <c r="F104"/>
      <c r="G104"/>
      <c r="H104"/>
      <c r="I104"/>
      <c r="J104"/>
      <c r="K104"/>
      <c r="L104"/>
    </row>
    <row r="105" spans="2:12" x14ac:dyDescent="0.2">
      <c r="E105"/>
      <c r="F105"/>
      <c r="G105"/>
      <c r="H105"/>
      <c r="I105"/>
      <c r="J105"/>
      <c r="K105"/>
      <c r="L105"/>
    </row>
    <row r="106" spans="2:12" x14ac:dyDescent="0.2">
      <c r="E106"/>
      <c r="F106"/>
      <c r="G106"/>
      <c r="H106"/>
      <c r="I106"/>
      <c r="J106"/>
      <c r="K106"/>
      <c r="L106"/>
    </row>
  </sheetData>
  <mergeCells count="1">
    <mergeCell ref="G3:H3"/>
  </mergeCells>
  <phoneticPr fontId="2" type="noConversion"/>
  <hyperlinks>
    <hyperlink ref="G3" location="Network!A1" display="Return to Network"/>
  </hyperlinks>
  <pageMargins left="0.75" right="0.75" top="1" bottom="1" header="0.5" footer="0.5"/>
  <pageSetup orientation="portrait" verticalDpi="0" r:id="rId1"/>
  <headerFooter alignWithMargins="0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AB89"/>
  <sheetViews>
    <sheetView showGridLines="0" showRowColHeaders="0" workbookViewId="0">
      <selection activeCell="N30" sqref="N30"/>
    </sheetView>
  </sheetViews>
  <sheetFormatPr defaultRowHeight="12.75" x14ac:dyDescent="0.2"/>
  <cols>
    <col min="1" max="1" width="3.7109375" style="2" customWidth="1"/>
    <col min="2" max="2" width="14.5703125" style="14" customWidth="1"/>
    <col min="3" max="3" width="7.7109375" style="14" bestFit="1" customWidth="1"/>
    <col min="4" max="4" width="7" style="14" bestFit="1" customWidth="1"/>
    <col min="5" max="5" width="18.85546875" style="14" bestFit="1" customWidth="1"/>
    <col min="6" max="6" width="9" style="2" customWidth="1"/>
    <col min="7" max="7" width="11" style="2" customWidth="1"/>
    <col min="8" max="8" width="7.7109375" style="2" bestFit="1" customWidth="1"/>
    <col min="9" max="9" width="9.5703125" style="2" bestFit="1" customWidth="1"/>
    <col min="10" max="10" width="9.140625" style="2"/>
    <col min="11" max="11" width="15.28515625" style="2" bestFit="1" customWidth="1"/>
    <col min="12" max="14" width="9.140625" style="2"/>
    <col min="15" max="15" width="9.5703125" style="2" bestFit="1" customWidth="1"/>
    <col min="16" max="16" width="19" style="2" bestFit="1" customWidth="1"/>
    <col min="17" max="17" width="3.28515625" style="2" customWidth="1"/>
    <col min="18" max="20" width="9.140625" style="2"/>
    <col min="21" max="21" width="17.85546875" style="2" bestFit="1" customWidth="1"/>
    <col min="22" max="22" width="5.7109375" style="2" customWidth="1"/>
    <col min="23" max="25" width="9.140625" style="2"/>
    <col min="26" max="26" width="20.7109375" style="2" bestFit="1" customWidth="1"/>
    <col min="27" max="27" width="6" style="2" customWidth="1"/>
    <col min="28" max="28" width="12.42578125" style="2" customWidth="1"/>
    <col min="29" max="16384" width="9.140625" style="2"/>
  </cols>
  <sheetData>
    <row r="1" spans="2:28" s="1" customFormat="1" x14ac:dyDescent="0.2">
      <c r="B1" s="6"/>
      <c r="C1" s="6"/>
      <c r="D1" s="6"/>
      <c r="E1" s="6"/>
    </row>
    <row r="2" spans="2:28" s="1" customFormat="1" ht="14.25" customHeight="1" x14ac:dyDescent="0.2">
      <c r="B2" s="6"/>
      <c r="C2" s="6"/>
      <c r="D2" s="6"/>
      <c r="E2" s="6"/>
    </row>
    <row r="3" spans="2:28" s="1" customFormat="1" ht="25.5" customHeight="1" x14ac:dyDescent="0.2">
      <c r="B3" s="6"/>
      <c r="C3" s="6"/>
      <c r="D3" s="6"/>
      <c r="E3" s="6"/>
      <c r="G3" s="199"/>
      <c r="H3" s="199"/>
    </row>
    <row r="4" spans="2:28" s="10" customFormat="1" x14ac:dyDescent="0.2"/>
    <row r="5" spans="2:28" x14ac:dyDescent="0.2">
      <c r="C5" s="15"/>
      <c r="D5" s="15"/>
      <c r="E5" s="15"/>
      <c r="G5" s="15"/>
      <c r="H5" s="15"/>
      <c r="I5" s="15"/>
      <c r="J5" s="15"/>
      <c r="K5" s="15"/>
      <c r="M5" s="15"/>
      <c r="N5" s="15"/>
      <c r="O5" s="15"/>
      <c r="P5" s="15"/>
      <c r="R5" s="15"/>
      <c r="S5" s="15"/>
      <c r="T5" s="15"/>
      <c r="U5" s="15"/>
      <c r="W5" s="15"/>
      <c r="X5" s="15"/>
      <c r="Y5" s="15"/>
      <c r="Z5" s="10"/>
      <c r="AB5" s="15"/>
    </row>
    <row r="6" spans="2:28" x14ac:dyDescent="0.2">
      <c r="B6" s="75"/>
      <c r="C6" s="75"/>
      <c r="D6" s="75"/>
      <c r="E6" s="76"/>
      <c r="G6" s="75"/>
      <c r="H6" s="75"/>
      <c r="I6" s="75"/>
      <c r="J6" s="75"/>
      <c r="K6" s="77"/>
      <c r="M6" s="75"/>
      <c r="N6" s="75"/>
      <c r="O6" s="75"/>
      <c r="P6" s="78"/>
      <c r="R6" s="75"/>
      <c r="S6" s="75"/>
      <c r="T6" s="75"/>
      <c r="U6" s="78"/>
      <c r="W6" s="75"/>
      <c r="X6" s="75"/>
      <c r="Y6" s="75"/>
      <c r="Z6" s="78"/>
      <c r="AB6" s="79"/>
    </row>
    <row r="7" spans="2:28" x14ac:dyDescent="0.2">
      <c r="B7" s="75"/>
      <c r="C7" s="75"/>
      <c r="D7" s="75"/>
      <c r="E7" s="76"/>
      <c r="G7" s="4"/>
      <c r="H7" s="4"/>
      <c r="I7" s="4"/>
      <c r="J7" s="4"/>
      <c r="K7" s="77"/>
      <c r="M7" s="75"/>
      <c r="N7" s="75"/>
      <c r="O7" s="75"/>
      <c r="P7" s="78"/>
      <c r="R7" s="75"/>
      <c r="S7" s="75"/>
      <c r="T7" s="75"/>
      <c r="U7" s="78"/>
      <c r="W7" s="75"/>
      <c r="X7" s="75"/>
      <c r="Y7" s="75"/>
      <c r="Z7" s="78"/>
    </row>
    <row r="8" spans="2:28" ht="13.5" thickBot="1" x14ac:dyDescent="0.25">
      <c r="B8" s="20" t="s">
        <v>31</v>
      </c>
      <c r="C8" s="75"/>
      <c r="D8" s="75"/>
      <c r="E8" s="76"/>
      <c r="I8" s="75"/>
      <c r="J8" s="75"/>
      <c r="K8" s="77"/>
      <c r="M8" s="75"/>
      <c r="N8" s="75"/>
      <c r="O8" s="75"/>
      <c r="P8" s="78"/>
      <c r="R8" s="75"/>
      <c r="S8" s="75"/>
      <c r="T8" s="75"/>
      <c r="U8" s="78"/>
      <c r="W8" s="75"/>
      <c r="X8" s="75"/>
      <c r="Y8" s="75"/>
      <c r="Z8" s="78"/>
    </row>
    <row r="9" spans="2:28" ht="13.5" thickBot="1" x14ac:dyDescent="0.25">
      <c r="B9" s="65">
        <f>OFTotalCost</f>
        <v>23558.399999999998</v>
      </c>
      <c r="C9" s="75"/>
      <c r="D9" s="75"/>
      <c r="E9" s="76"/>
      <c r="G9" s="4"/>
      <c r="H9" s="4"/>
      <c r="I9" s="4"/>
      <c r="J9" s="4"/>
      <c r="K9" s="77"/>
      <c r="M9" s="75"/>
      <c r="N9" s="75"/>
      <c r="O9" s="75"/>
      <c r="P9" s="78"/>
      <c r="R9" s="75"/>
      <c r="S9" s="75"/>
      <c r="T9" s="75"/>
      <c r="U9" s="78"/>
      <c r="W9" s="75"/>
      <c r="X9" s="75"/>
      <c r="Y9" s="75"/>
      <c r="Z9" s="78"/>
    </row>
    <row r="10" spans="2:28" x14ac:dyDescent="0.2">
      <c r="B10" s="75"/>
      <c r="C10" s="75"/>
      <c r="D10" s="75"/>
      <c r="E10" s="76"/>
      <c r="G10" s="4"/>
      <c r="H10" s="4"/>
      <c r="I10" s="75"/>
      <c r="J10" s="75"/>
      <c r="K10" s="77"/>
      <c r="M10" s="75"/>
      <c r="N10" s="75"/>
      <c r="O10" s="75"/>
      <c r="P10" s="78"/>
      <c r="R10" s="75"/>
      <c r="S10" s="75"/>
      <c r="T10" s="75"/>
      <c r="U10" s="78"/>
      <c r="W10" s="75"/>
      <c r="X10" s="75"/>
      <c r="Y10" s="75"/>
      <c r="Z10" s="78"/>
    </row>
    <row r="11" spans="2:28" x14ac:dyDescent="0.2">
      <c r="B11" s="4"/>
      <c r="C11" s="75"/>
      <c r="D11" s="75"/>
      <c r="E11" s="76"/>
      <c r="G11" s="4"/>
      <c r="H11" s="4"/>
      <c r="I11" s="4"/>
      <c r="J11" s="4"/>
      <c r="K11" s="77"/>
      <c r="M11" s="75"/>
      <c r="N11" s="75"/>
      <c r="O11" s="75"/>
      <c r="P11" s="78"/>
      <c r="R11" s="75"/>
      <c r="S11" s="75"/>
      <c r="T11" s="75"/>
      <c r="U11" s="78"/>
      <c r="W11" s="75"/>
      <c r="X11" s="75"/>
      <c r="Y11" s="75"/>
      <c r="Z11" s="78"/>
    </row>
    <row r="12" spans="2:28" x14ac:dyDescent="0.2">
      <c r="B12" s="75"/>
      <c r="C12" s="75"/>
      <c r="D12" s="75"/>
      <c r="E12" s="76"/>
      <c r="G12" s="4"/>
      <c r="H12" s="75"/>
      <c r="I12" s="75"/>
      <c r="J12" s="75"/>
      <c r="K12" s="77"/>
      <c r="M12" s="75"/>
      <c r="N12" s="75"/>
      <c r="O12" s="75"/>
      <c r="P12" s="78"/>
      <c r="R12" s="75"/>
      <c r="S12" s="75"/>
      <c r="T12" s="75"/>
      <c r="U12" s="78"/>
      <c r="W12" s="75"/>
      <c r="X12" s="75"/>
      <c r="Y12" s="75"/>
      <c r="Z12" s="78"/>
    </row>
    <row r="13" spans="2:28" x14ac:dyDescent="0.2">
      <c r="B13" s="75"/>
      <c r="C13" s="75"/>
      <c r="D13" s="75"/>
      <c r="E13" s="76"/>
      <c r="G13" s="4"/>
      <c r="H13" s="4"/>
      <c r="I13" s="4"/>
      <c r="J13" s="4"/>
      <c r="K13" s="77"/>
      <c r="M13" s="75"/>
      <c r="N13" s="75"/>
      <c r="O13" s="75"/>
      <c r="P13" s="78"/>
      <c r="R13" s="75"/>
      <c r="S13" s="75"/>
      <c r="T13" s="75"/>
      <c r="U13" s="78"/>
      <c r="W13" s="75"/>
      <c r="X13" s="75"/>
      <c r="Y13" s="75"/>
      <c r="Z13" s="78"/>
    </row>
    <row r="14" spans="2:28" x14ac:dyDescent="0.2">
      <c r="B14" s="75"/>
      <c r="C14" s="75"/>
      <c r="D14" s="75"/>
      <c r="E14" s="76"/>
      <c r="G14" s="4"/>
      <c r="I14" s="75"/>
      <c r="J14" s="75"/>
      <c r="K14" s="77"/>
      <c r="M14" s="75"/>
      <c r="N14" s="75"/>
      <c r="O14" s="75"/>
      <c r="P14" s="78"/>
      <c r="R14" s="75"/>
      <c r="S14" s="75"/>
      <c r="T14" s="75"/>
      <c r="U14" s="78"/>
      <c r="W14" s="75"/>
      <c r="X14" s="75"/>
      <c r="Y14" s="75"/>
      <c r="Z14" s="78"/>
    </row>
    <row r="15" spans="2:28" x14ac:dyDescent="0.2">
      <c r="B15" s="4"/>
      <c r="C15" s="75"/>
      <c r="D15" s="75"/>
      <c r="E15" s="76"/>
      <c r="G15" s="4"/>
      <c r="H15" s="4"/>
      <c r="I15" s="4"/>
      <c r="J15" s="4"/>
      <c r="K15" s="77"/>
      <c r="M15" s="75"/>
      <c r="N15" s="75"/>
      <c r="O15" s="75"/>
      <c r="P15" s="78"/>
      <c r="R15" s="75"/>
      <c r="S15" s="75"/>
      <c r="T15" s="75"/>
      <c r="U15" s="78"/>
      <c r="W15" s="75"/>
      <c r="X15" s="75"/>
      <c r="Y15" s="75"/>
      <c r="Z15" s="78"/>
    </row>
    <row r="16" spans="2:28" x14ac:dyDescent="0.2">
      <c r="B16" s="75"/>
      <c r="C16" s="75"/>
      <c r="D16" s="75"/>
      <c r="E16" s="76"/>
      <c r="G16" s="4"/>
      <c r="H16" s="4"/>
      <c r="I16" s="75"/>
      <c r="J16" s="75"/>
      <c r="K16" s="77"/>
      <c r="M16" s="75"/>
      <c r="N16" s="75"/>
      <c r="O16" s="75"/>
      <c r="P16" s="78"/>
      <c r="R16" s="75"/>
      <c r="S16" s="75"/>
      <c r="T16" s="75"/>
      <c r="U16" s="78"/>
      <c r="W16" s="75"/>
      <c r="X16" s="75"/>
      <c r="Y16" s="75"/>
      <c r="Z16" s="78"/>
    </row>
    <row r="17" spans="2:26" x14ac:dyDescent="0.2">
      <c r="C17" s="75"/>
      <c r="D17" s="75"/>
      <c r="E17" s="76"/>
      <c r="G17" s="4"/>
      <c r="H17" s="4"/>
      <c r="I17" s="4"/>
      <c r="J17" s="4"/>
      <c r="K17" s="77"/>
      <c r="M17" s="75"/>
      <c r="N17" s="75"/>
      <c r="O17" s="75"/>
      <c r="P17" s="78"/>
      <c r="R17" s="75"/>
      <c r="S17" s="75"/>
      <c r="T17" s="75"/>
      <c r="U17" s="78"/>
      <c r="W17" s="4"/>
      <c r="X17" s="75"/>
      <c r="Y17" s="75"/>
      <c r="Z17" s="78"/>
    </row>
    <row r="18" spans="2:26" x14ac:dyDescent="0.2">
      <c r="C18" s="75"/>
      <c r="D18" s="75"/>
      <c r="E18" s="76"/>
      <c r="G18" s="4"/>
      <c r="H18" s="75"/>
      <c r="I18" s="75"/>
      <c r="J18" s="75"/>
      <c r="K18" s="77"/>
      <c r="M18" s="75"/>
      <c r="N18" s="75"/>
      <c r="O18" s="75"/>
      <c r="P18" s="78"/>
      <c r="R18" s="75"/>
      <c r="S18" s="75"/>
      <c r="T18" s="75"/>
      <c r="U18" s="78"/>
      <c r="W18" s="75"/>
      <c r="X18" s="75"/>
      <c r="Y18" s="75"/>
      <c r="Z18" s="78"/>
    </row>
    <row r="19" spans="2:26" x14ac:dyDescent="0.2">
      <c r="B19" s="75"/>
      <c r="C19" s="75"/>
      <c r="D19" s="75"/>
      <c r="E19" s="76"/>
      <c r="H19" s="4"/>
      <c r="I19" s="4"/>
      <c r="J19" s="4"/>
      <c r="K19" s="77"/>
      <c r="M19" s="75"/>
      <c r="N19" s="75"/>
      <c r="O19" s="75"/>
      <c r="P19" s="78"/>
      <c r="R19" s="75"/>
      <c r="S19" s="75"/>
      <c r="T19" s="75"/>
      <c r="U19" s="78"/>
      <c r="W19" s="75"/>
      <c r="X19" s="75"/>
      <c r="Y19" s="75"/>
      <c r="Z19" s="78"/>
    </row>
    <row r="20" spans="2:26" x14ac:dyDescent="0.2">
      <c r="B20" s="75"/>
      <c r="C20" s="75"/>
      <c r="D20" s="75"/>
      <c r="E20" s="76"/>
      <c r="I20" s="75"/>
      <c r="J20" s="75"/>
      <c r="K20" s="77"/>
      <c r="M20" s="75"/>
      <c r="N20" s="75"/>
      <c r="O20" s="75"/>
      <c r="P20" s="78"/>
      <c r="R20" s="75"/>
      <c r="S20" s="75"/>
      <c r="T20" s="75"/>
      <c r="U20" s="78"/>
      <c r="W20" s="75"/>
      <c r="X20" s="75"/>
      <c r="Y20" s="75"/>
      <c r="Z20" s="78"/>
    </row>
    <row r="21" spans="2:26" x14ac:dyDescent="0.2">
      <c r="B21" s="4"/>
      <c r="C21" s="75"/>
      <c r="D21" s="75"/>
      <c r="E21" s="76"/>
      <c r="H21" s="4"/>
      <c r="I21" s="4"/>
      <c r="J21" s="4"/>
      <c r="K21" s="77"/>
      <c r="M21" s="75"/>
      <c r="N21" s="75"/>
      <c r="O21" s="75"/>
      <c r="P21" s="78"/>
      <c r="R21" s="75"/>
      <c r="S21" s="75"/>
      <c r="T21" s="75"/>
      <c r="U21" s="78"/>
      <c r="W21" s="75"/>
      <c r="X21" s="75"/>
      <c r="Y21" s="75"/>
      <c r="Z21" s="78"/>
    </row>
    <row r="22" spans="2:26" x14ac:dyDescent="0.2">
      <c r="B22" s="2"/>
      <c r="C22" s="2"/>
      <c r="D22" s="2"/>
      <c r="E22" s="2"/>
      <c r="H22" s="4"/>
      <c r="I22" s="75"/>
      <c r="J22" s="75"/>
      <c r="K22" s="77"/>
      <c r="M22" s="75"/>
      <c r="N22" s="75"/>
      <c r="O22" s="75"/>
      <c r="P22" s="78"/>
      <c r="R22" s="75"/>
      <c r="S22" s="75"/>
      <c r="T22" s="75"/>
      <c r="U22" s="78"/>
      <c r="W22" s="75"/>
      <c r="X22" s="75"/>
      <c r="Y22" s="75"/>
      <c r="Z22" s="78"/>
    </row>
    <row r="23" spans="2:26" x14ac:dyDescent="0.2">
      <c r="B23" s="2"/>
      <c r="C23" s="2"/>
      <c r="D23" s="2"/>
      <c r="E23" s="2"/>
      <c r="H23" s="4"/>
      <c r="I23" s="4"/>
      <c r="J23" s="4"/>
      <c r="K23" s="77"/>
      <c r="M23" s="75"/>
      <c r="N23" s="75"/>
      <c r="O23" s="75"/>
      <c r="P23" s="78"/>
      <c r="R23" s="75"/>
      <c r="S23" s="75"/>
      <c r="T23" s="75"/>
      <c r="U23" s="78"/>
      <c r="W23" s="4"/>
      <c r="X23" s="75"/>
      <c r="Y23" s="75"/>
      <c r="Z23" s="78"/>
    </row>
    <row r="24" spans="2:26" x14ac:dyDescent="0.2">
      <c r="B24" s="2"/>
      <c r="C24" s="2"/>
      <c r="D24" s="2"/>
      <c r="E24" s="2"/>
      <c r="G24" s="75"/>
      <c r="H24" s="75"/>
      <c r="I24" s="75"/>
      <c r="J24" s="75"/>
      <c r="K24" s="77"/>
      <c r="M24" s="75"/>
      <c r="N24" s="75"/>
      <c r="O24" s="75"/>
      <c r="P24" s="78"/>
    </row>
    <row r="25" spans="2:26" x14ac:dyDescent="0.2">
      <c r="B25" s="2"/>
      <c r="C25" s="2"/>
      <c r="D25" s="2"/>
      <c r="E25" s="2"/>
      <c r="G25" s="4"/>
      <c r="H25" s="4"/>
      <c r="I25" s="4"/>
      <c r="J25" s="4"/>
      <c r="K25" s="77"/>
      <c r="M25" s="75"/>
      <c r="N25" s="75"/>
      <c r="O25" s="75"/>
      <c r="P25" s="78"/>
      <c r="U25" s="78"/>
      <c r="Z25" s="78"/>
    </row>
    <row r="26" spans="2:26" x14ac:dyDescent="0.2">
      <c r="B26" s="2"/>
      <c r="C26" s="2"/>
      <c r="D26" s="2"/>
      <c r="E26" s="2"/>
      <c r="I26" s="75"/>
      <c r="J26" s="75"/>
      <c r="K26" s="77"/>
      <c r="M26" s="75"/>
      <c r="N26" s="75"/>
      <c r="O26" s="75"/>
      <c r="P26" s="78"/>
    </row>
    <row r="27" spans="2:26" x14ac:dyDescent="0.2">
      <c r="B27" s="2"/>
      <c r="C27" s="2"/>
      <c r="D27" s="2"/>
      <c r="E27" s="2"/>
      <c r="G27" s="4"/>
      <c r="H27" s="4"/>
      <c r="I27" s="4"/>
      <c r="J27" s="4"/>
      <c r="K27" s="77"/>
      <c r="M27" s="75"/>
      <c r="N27" s="75"/>
      <c r="O27" s="75"/>
      <c r="P27" s="78"/>
    </row>
    <row r="28" spans="2:26" x14ac:dyDescent="0.2">
      <c r="B28" s="2"/>
      <c r="C28" s="2"/>
      <c r="D28" s="2"/>
      <c r="E28" s="2"/>
      <c r="G28" s="4"/>
      <c r="H28" s="4"/>
      <c r="I28" s="75"/>
      <c r="J28" s="75"/>
      <c r="K28" s="77"/>
      <c r="M28" s="75"/>
      <c r="N28" s="75"/>
      <c r="O28" s="75"/>
      <c r="P28" s="78"/>
    </row>
    <row r="29" spans="2:26" x14ac:dyDescent="0.2">
      <c r="B29" s="2"/>
      <c r="C29" s="2"/>
      <c r="D29" s="2"/>
      <c r="E29" s="2"/>
      <c r="G29" s="4"/>
      <c r="H29" s="4"/>
      <c r="I29" s="4"/>
      <c r="J29" s="4"/>
      <c r="K29" s="77"/>
      <c r="M29" s="75"/>
      <c r="N29" s="75"/>
      <c r="O29" s="75"/>
      <c r="P29" s="78"/>
    </row>
    <row r="30" spans="2:26" x14ac:dyDescent="0.2">
      <c r="B30" s="2"/>
      <c r="C30" s="2"/>
      <c r="D30" s="2"/>
      <c r="E30" s="2"/>
      <c r="G30" s="4"/>
      <c r="H30" s="75"/>
      <c r="I30" s="75"/>
      <c r="J30" s="75"/>
      <c r="K30" s="77"/>
      <c r="M30" s="75"/>
      <c r="N30" s="75"/>
      <c r="O30" s="75"/>
      <c r="P30" s="78"/>
    </row>
    <row r="31" spans="2:26" x14ac:dyDescent="0.2">
      <c r="B31" s="2"/>
      <c r="C31" s="2"/>
      <c r="D31" s="2"/>
      <c r="E31" s="2"/>
      <c r="G31" s="4"/>
      <c r="H31" s="4"/>
      <c r="I31" s="4"/>
      <c r="J31" s="4"/>
      <c r="K31" s="77"/>
      <c r="M31" s="75"/>
      <c r="N31" s="75"/>
      <c r="O31" s="75"/>
      <c r="P31" s="78"/>
    </row>
    <row r="32" spans="2:26" x14ac:dyDescent="0.2">
      <c r="B32" s="2"/>
      <c r="C32" s="2"/>
      <c r="D32" s="2"/>
      <c r="E32" s="2"/>
      <c r="G32" s="4"/>
      <c r="I32" s="75"/>
      <c r="J32" s="75"/>
      <c r="K32" s="77"/>
      <c r="M32" s="75"/>
      <c r="N32" s="75"/>
      <c r="O32" s="75"/>
      <c r="P32" s="78"/>
    </row>
    <row r="33" spans="2:16" x14ac:dyDescent="0.2">
      <c r="B33" s="2"/>
      <c r="C33" s="2"/>
      <c r="D33" s="2"/>
      <c r="E33" s="2"/>
      <c r="G33" s="4"/>
      <c r="H33" s="4"/>
      <c r="I33" s="4"/>
      <c r="J33" s="4"/>
      <c r="K33" s="77"/>
    </row>
    <row r="34" spans="2:16" x14ac:dyDescent="0.2">
      <c r="B34" s="2"/>
      <c r="C34" s="2"/>
      <c r="D34" s="2"/>
      <c r="E34" s="2"/>
      <c r="G34" s="4"/>
      <c r="H34" s="4"/>
      <c r="I34" s="75"/>
      <c r="J34" s="75"/>
      <c r="K34" s="77"/>
      <c r="P34" s="78"/>
    </row>
    <row r="35" spans="2:16" x14ac:dyDescent="0.2">
      <c r="B35" s="2"/>
      <c r="C35" s="2"/>
      <c r="D35" s="2"/>
      <c r="E35" s="2"/>
      <c r="G35" s="4"/>
      <c r="H35" s="4"/>
      <c r="I35" s="4"/>
      <c r="J35" s="4"/>
      <c r="K35" s="77"/>
    </row>
    <row r="36" spans="2:16" x14ac:dyDescent="0.2">
      <c r="B36" s="2"/>
      <c r="C36" s="2"/>
      <c r="D36" s="2"/>
      <c r="E36" s="2"/>
      <c r="G36" s="4"/>
      <c r="H36" s="75"/>
      <c r="I36" s="75"/>
      <c r="J36" s="75"/>
      <c r="K36" s="77"/>
    </row>
    <row r="37" spans="2:16" x14ac:dyDescent="0.2">
      <c r="B37" s="2"/>
      <c r="C37" s="2"/>
      <c r="D37" s="2"/>
      <c r="E37" s="2"/>
      <c r="H37" s="4"/>
      <c r="I37" s="4"/>
      <c r="J37" s="4"/>
      <c r="K37" s="77"/>
    </row>
    <row r="38" spans="2:16" x14ac:dyDescent="0.2">
      <c r="B38" s="2"/>
      <c r="C38" s="2"/>
      <c r="D38" s="2"/>
      <c r="E38" s="2"/>
      <c r="I38" s="75"/>
      <c r="J38" s="75"/>
      <c r="K38" s="77"/>
    </row>
    <row r="39" spans="2:16" x14ac:dyDescent="0.2">
      <c r="B39" s="2"/>
      <c r="C39" s="2"/>
      <c r="D39" s="2"/>
      <c r="E39" s="2"/>
      <c r="H39" s="4"/>
      <c r="I39" s="4"/>
      <c r="J39" s="4"/>
      <c r="K39" s="77"/>
    </row>
    <row r="40" spans="2:16" x14ac:dyDescent="0.2">
      <c r="B40" s="2"/>
      <c r="C40" s="2"/>
      <c r="D40" s="2"/>
      <c r="E40" s="2"/>
      <c r="H40" s="4"/>
      <c r="I40" s="75"/>
      <c r="J40" s="75"/>
      <c r="K40" s="77"/>
    </row>
    <row r="41" spans="2:16" x14ac:dyDescent="0.2">
      <c r="B41" s="2"/>
      <c r="C41" s="2"/>
      <c r="D41" s="2"/>
      <c r="E41" s="2"/>
      <c r="H41" s="4"/>
      <c r="I41" s="4"/>
      <c r="J41" s="4"/>
      <c r="K41" s="77"/>
    </row>
    <row r="42" spans="2:16" x14ac:dyDescent="0.2">
      <c r="B42" s="2"/>
      <c r="C42" s="2"/>
      <c r="D42" s="2"/>
      <c r="E42" s="2"/>
      <c r="G42" s="75"/>
      <c r="H42" s="75"/>
      <c r="I42" s="75"/>
      <c r="J42" s="75"/>
      <c r="K42" s="77"/>
    </row>
    <row r="43" spans="2:16" x14ac:dyDescent="0.2">
      <c r="B43" s="2"/>
      <c r="C43" s="2"/>
      <c r="D43" s="2"/>
      <c r="E43" s="2"/>
      <c r="G43" s="4"/>
      <c r="H43" s="4"/>
      <c r="I43" s="4"/>
      <c r="J43" s="4"/>
      <c r="K43" s="77"/>
    </row>
    <row r="44" spans="2:16" x14ac:dyDescent="0.2">
      <c r="B44" s="2"/>
      <c r="C44" s="2"/>
      <c r="D44" s="2"/>
      <c r="E44" s="2"/>
      <c r="I44" s="75"/>
      <c r="J44" s="75"/>
      <c r="K44" s="77"/>
    </row>
    <row r="45" spans="2:16" x14ac:dyDescent="0.2">
      <c r="B45" s="2"/>
      <c r="C45" s="2"/>
      <c r="D45" s="2"/>
      <c r="E45" s="2"/>
      <c r="G45" s="4"/>
      <c r="H45" s="4"/>
      <c r="I45" s="4"/>
      <c r="J45" s="4"/>
      <c r="K45" s="77"/>
    </row>
    <row r="46" spans="2:16" x14ac:dyDescent="0.2">
      <c r="B46" s="2"/>
      <c r="C46" s="2"/>
      <c r="D46" s="2"/>
      <c r="E46" s="2"/>
      <c r="G46" s="4"/>
      <c r="H46" s="4"/>
      <c r="I46" s="75"/>
      <c r="J46" s="75"/>
      <c r="K46" s="77"/>
    </row>
    <row r="47" spans="2:16" x14ac:dyDescent="0.2">
      <c r="B47" s="2"/>
      <c r="C47" s="2"/>
      <c r="D47" s="2"/>
      <c r="E47" s="2"/>
      <c r="G47" s="4"/>
      <c r="H47" s="4"/>
      <c r="I47" s="4"/>
      <c r="J47" s="4"/>
      <c r="K47" s="77"/>
    </row>
    <row r="48" spans="2:16" x14ac:dyDescent="0.2">
      <c r="B48" s="2"/>
      <c r="C48" s="2"/>
      <c r="D48" s="2"/>
      <c r="E48" s="2"/>
      <c r="G48" s="4"/>
      <c r="H48" s="75"/>
      <c r="I48" s="75"/>
      <c r="J48" s="75"/>
      <c r="K48" s="77"/>
    </row>
    <row r="49" spans="2:11" x14ac:dyDescent="0.2">
      <c r="B49" s="2"/>
      <c r="C49" s="2"/>
      <c r="D49" s="2"/>
      <c r="E49" s="2"/>
      <c r="G49" s="4"/>
      <c r="H49" s="4"/>
      <c r="I49" s="4"/>
      <c r="J49" s="4"/>
      <c r="K49" s="77"/>
    </row>
    <row r="50" spans="2:11" x14ac:dyDescent="0.2">
      <c r="B50" s="2"/>
      <c r="C50" s="2"/>
      <c r="D50" s="2"/>
      <c r="E50" s="2"/>
      <c r="G50" s="4"/>
      <c r="I50" s="75"/>
      <c r="J50" s="75"/>
      <c r="K50" s="77"/>
    </row>
    <row r="51" spans="2:11" x14ac:dyDescent="0.2">
      <c r="B51" s="2"/>
      <c r="C51" s="2"/>
      <c r="D51" s="2"/>
      <c r="E51" s="2"/>
      <c r="G51" s="4"/>
      <c r="H51" s="4"/>
      <c r="I51" s="4"/>
      <c r="J51" s="4"/>
      <c r="K51" s="77"/>
    </row>
    <row r="52" spans="2:11" x14ac:dyDescent="0.2">
      <c r="B52" s="2"/>
      <c r="C52" s="2"/>
      <c r="D52" s="2"/>
      <c r="E52" s="2"/>
      <c r="G52" s="4"/>
      <c r="H52" s="4"/>
      <c r="I52" s="75"/>
      <c r="J52" s="75"/>
      <c r="K52" s="77"/>
    </row>
    <row r="53" spans="2:11" x14ac:dyDescent="0.2">
      <c r="B53" s="2"/>
      <c r="C53" s="2"/>
      <c r="D53" s="2"/>
      <c r="E53" s="2"/>
      <c r="G53" s="4"/>
      <c r="H53" s="4"/>
      <c r="I53" s="4"/>
      <c r="J53" s="4"/>
      <c r="K53" s="77"/>
    </row>
    <row r="54" spans="2:11" x14ac:dyDescent="0.2">
      <c r="B54" s="2"/>
      <c r="C54" s="2"/>
      <c r="D54" s="2"/>
      <c r="E54" s="2"/>
      <c r="G54" s="4"/>
      <c r="H54" s="75"/>
      <c r="I54" s="75"/>
      <c r="J54" s="75"/>
      <c r="K54" s="77"/>
    </row>
    <row r="55" spans="2:11" x14ac:dyDescent="0.2">
      <c r="B55" s="2"/>
      <c r="C55" s="2"/>
      <c r="D55" s="2"/>
      <c r="E55" s="2"/>
      <c r="H55" s="4"/>
      <c r="I55" s="4"/>
      <c r="J55" s="4"/>
      <c r="K55" s="77"/>
    </row>
    <row r="56" spans="2:11" x14ac:dyDescent="0.2">
      <c r="B56" s="2"/>
      <c r="C56" s="2"/>
      <c r="D56" s="2"/>
      <c r="E56" s="2"/>
      <c r="I56" s="75"/>
      <c r="J56" s="75"/>
      <c r="K56" s="77"/>
    </row>
    <row r="57" spans="2:11" x14ac:dyDescent="0.2">
      <c r="B57" s="2"/>
      <c r="C57" s="2"/>
      <c r="D57" s="2"/>
      <c r="E57" s="2"/>
      <c r="H57" s="4"/>
      <c r="I57" s="4"/>
      <c r="J57" s="4"/>
      <c r="K57" s="77"/>
    </row>
    <row r="58" spans="2:11" x14ac:dyDescent="0.2">
      <c r="B58" s="2"/>
      <c r="C58" s="2"/>
      <c r="D58" s="2"/>
      <c r="E58" s="2"/>
      <c r="H58" s="4"/>
      <c r="I58" s="75"/>
      <c r="J58" s="75"/>
      <c r="K58" s="77"/>
    </row>
    <row r="59" spans="2:11" x14ac:dyDescent="0.2">
      <c r="B59" s="2"/>
      <c r="C59" s="2"/>
      <c r="D59" s="2"/>
      <c r="E59" s="2"/>
      <c r="H59" s="4"/>
      <c r="I59" s="4"/>
      <c r="J59" s="4"/>
      <c r="K59" s="77"/>
    </row>
    <row r="60" spans="2:11" x14ac:dyDescent="0.2">
      <c r="B60" s="2"/>
      <c r="C60" s="2"/>
      <c r="D60" s="2"/>
      <c r="E60" s="2"/>
    </row>
    <row r="61" spans="2:11" x14ac:dyDescent="0.2">
      <c r="B61" s="2"/>
      <c r="C61" s="2"/>
      <c r="D61" s="2"/>
      <c r="E61" s="2"/>
    </row>
    <row r="62" spans="2:11" x14ac:dyDescent="0.2">
      <c r="B62" s="2"/>
      <c r="C62" s="2"/>
      <c r="D62" s="2"/>
      <c r="E62" s="2"/>
    </row>
    <row r="63" spans="2:11" x14ac:dyDescent="0.2">
      <c r="B63" s="2"/>
      <c r="C63" s="2"/>
      <c r="D63" s="2"/>
      <c r="E63" s="2"/>
    </row>
    <row r="64" spans="2:11" x14ac:dyDescent="0.2">
      <c r="B64" s="2"/>
      <c r="C64" s="2"/>
      <c r="D64" s="2"/>
      <c r="E64" s="2"/>
    </row>
    <row r="65" spans="2:5" x14ac:dyDescent="0.2">
      <c r="B65" s="2"/>
      <c r="C65" s="2"/>
      <c r="D65" s="2"/>
      <c r="E65" s="2"/>
    </row>
    <row r="66" spans="2:5" x14ac:dyDescent="0.2">
      <c r="B66" s="2"/>
      <c r="C66" s="2"/>
      <c r="D66" s="2"/>
      <c r="E66" s="2"/>
    </row>
    <row r="67" spans="2:5" x14ac:dyDescent="0.2">
      <c r="B67" s="2"/>
      <c r="C67" s="2"/>
      <c r="D67" s="2"/>
      <c r="E67" s="2"/>
    </row>
    <row r="68" spans="2:5" x14ac:dyDescent="0.2">
      <c r="B68" s="2"/>
      <c r="C68" s="2"/>
      <c r="D68" s="2"/>
      <c r="E68" s="2"/>
    </row>
    <row r="69" spans="2:5" x14ac:dyDescent="0.2">
      <c r="B69" s="2"/>
      <c r="C69" s="2"/>
      <c r="D69" s="2"/>
      <c r="E69" s="2"/>
    </row>
    <row r="70" spans="2:5" x14ac:dyDescent="0.2">
      <c r="B70" s="2"/>
      <c r="C70" s="2"/>
      <c r="D70" s="2"/>
      <c r="E70" s="2"/>
    </row>
    <row r="71" spans="2:5" x14ac:dyDescent="0.2">
      <c r="B71" s="2"/>
      <c r="C71" s="2"/>
      <c r="D71" s="2"/>
      <c r="E71" s="2"/>
    </row>
    <row r="72" spans="2:5" x14ac:dyDescent="0.2">
      <c r="B72" s="2"/>
      <c r="C72" s="2"/>
      <c r="D72" s="2"/>
      <c r="E72" s="2"/>
    </row>
    <row r="73" spans="2:5" x14ac:dyDescent="0.2">
      <c r="B73" s="2"/>
      <c r="C73" s="2"/>
      <c r="D73" s="2"/>
      <c r="E73" s="2"/>
    </row>
    <row r="74" spans="2:5" x14ac:dyDescent="0.2">
      <c r="B74" s="2"/>
      <c r="C74" s="2"/>
      <c r="D74" s="2"/>
      <c r="E74" s="2"/>
    </row>
    <row r="75" spans="2:5" x14ac:dyDescent="0.2">
      <c r="B75" s="2"/>
      <c r="C75" s="2"/>
      <c r="D75" s="2"/>
      <c r="E75" s="2"/>
    </row>
    <row r="76" spans="2:5" x14ac:dyDescent="0.2">
      <c r="B76" s="2"/>
      <c r="C76" s="2"/>
      <c r="D76" s="2"/>
      <c r="E76" s="2"/>
    </row>
    <row r="77" spans="2:5" x14ac:dyDescent="0.2">
      <c r="B77" s="2"/>
      <c r="C77" s="2"/>
      <c r="D77" s="2"/>
      <c r="E77" s="2"/>
    </row>
    <row r="78" spans="2:5" x14ac:dyDescent="0.2">
      <c r="B78" s="2"/>
      <c r="C78" s="2"/>
      <c r="D78" s="2"/>
      <c r="E78" s="2"/>
    </row>
    <row r="79" spans="2:5" x14ac:dyDescent="0.2">
      <c r="B79" s="2"/>
      <c r="C79" s="2"/>
      <c r="D79" s="2"/>
      <c r="E79" s="2"/>
    </row>
    <row r="80" spans="2:5" x14ac:dyDescent="0.2">
      <c r="B80" s="2"/>
      <c r="C80" s="2"/>
      <c r="D80" s="2"/>
      <c r="E80" s="2"/>
    </row>
    <row r="81" spans="2:5" x14ac:dyDescent="0.2">
      <c r="B81" s="2"/>
      <c r="C81" s="2"/>
      <c r="D81" s="2"/>
      <c r="E81" s="2"/>
    </row>
    <row r="82" spans="2:5" x14ac:dyDescent="0.2">
      <c r="B82" s="2"/>
      <c r="C82" s="2"/>
      <c r="D82" s="2"/>
      <c r="E82" s="2"/>
    </row>
    <row r="83" spans="2:5" x14ac:dyDescent="0.2">
      <c r="B83" s="2"/>
      <c r="C83" s="2"/>
      <c r="D83" s="2"/>
      <c r="E83" s="2"/>
    </row>
    <row r="84" spans="2:5" x14ac:dyDescent="0.2">
      <c r="B84" s="2"/>
      <c r="C84" s="2"/>
      <c r="D84" s="2"/>
      <c r="E84" s="2"/>
    </row>
    <row r="85" spans="2:5" x14ac:dyDescent="0.2">
      <c r="B85" s="2"/>
      <c r="C85" s="2"/>
      <c r="D85" s="2"/>
      <c r="E85" s="2"/>
    </row>
    <row r="86" spans="2:5" x14ac:dyDescent="0.2">
      <c r="B86" s="2"/>
      <c r="C86" s="2"/>
      <c r="D86" s="2"/>
      <c r="E86" s="2"/>
    </row>
    <row r="87" spans="2:5" x14ac:dyDescent="0.2">
      <c r="B87" s="2"/>
      <c r="C87" s="2"/>
      <c r="D87" s="2"/>
      <c r="E87" s="2"/>
    </row>
    <row r="88" spans="2:5" x14ac:dyDescent="0.2">
      <c r="B88" s="2"/>
      <c r="C88" s="2"/>
      <c r="D88" s="2"/>
      <c r="E88" s="2"/>
    </row>
    <row r="89" spans="2:5" x14ac:dyDescent="0.2">
      <c r="B89" s="2"/>
      <c r="C89" s="2"/>
      <c r="D89" s="2"/>
      <c r="E89" s="2"/>
    </row>
  </sheetData>
  <mergeCells count="1">
    <mergeCell ref="G3:H3"/>
  </mergeCells>
  <phoneticPr fontId="2" type="noConversion"/>
  <hyperlinks>
    <hyperlink ref="G3" location="Network!A1" display="Return to Network"/>
  </hyperlinks>
  <pageMargins left="0.75" right="0.75" top="1" bottom="1" header="0.5" footer="0.5"/>
  <pageSetup orientation="portrait" verticalDpi="0" r:id="rId1"/>
  <headerFooter alignWithMargins="0"/>
  <drawing r:id="rId2"/>
  <picture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AB105"/>
  <sheetViews>
    <sheetView showGridLines="0" showRowColHeaders="0" workbookViewId="0">
      <selection activeCell="R32" sqref="R32"/>
    </sheetView>
  </sheetViews>
  <sheetFormatPr defaultRowHeight="12.75" x14ac:dyDescent="0.2"/>
  <cols>
    <col min="1" max="1" width="3.7109375" style="1" customWidth="1"/>
    <col min="2" max="2" width="14.5703125" style="6" customWidth="1"/>
    <col min="3" max="3" width="7.7109375" style="6" bestFit="1" customWidth="1"/>
    <col min="4" max="4" width="7" style="6" bestFit="1" customWidth="1"/>
    <col min="5" max="5" width="18.85546875" style="6" bestFit="1" customWidth="1"/>
    <col min="6" max="6" width="9" style="1" customWidth="1"/>
    <col min="7" max="7" width="11" style="1" customWidth="1"/>
    <col min="8" max="8" width="7.7109375" style="1" bestFit="1" customWidth="1"/>
    <col min="9" max="9" width="9.5703125" style="1" bestFit="1" customWidth="1"/>
    <col min="10" max="10" width="9.140625" style="1"/>
    <col min="11" max="11" width="15.28515625" style="1" bestFit="1" customWidth="1"/>
    <col min="12" max="14" width="9.140625" style="1"/>
    <col min="15" max="15" width="9.5703125" style="1" bestFit="1" customWidth="1"/>
    <col min="16" max="16" width="19" style="1" bestFit="1" customWidth="1"/>
    <col min="17" max="17" width="3.28515625" style="1" customWidth="1"/>
    <col min="18" max="20" width="9.140625" style="1"/>
    <col min="21" max="21" width="17.85546875" style="1" bestFit="1" customWidth="1"/>
    <col min="22" max="22" width="5.7109375" style="1" customWidth="1"/>
    <col min="23" max="25" width="9.140625" style="1"/>
    <col min="26" max="26" width="20.7109375" style="1" bestFit="1" customWidth="1"/>
    <col min="27" max="27" width="6" style="1" customWidth="1"/>
    <col min="28" max="28" width="12.42578125" style="1" customWidth="1"/>
    <col min="29" max="16384" width="9.140625" style="1"/>
  </cols>
  <sheetData>
    <row r="2" spans="2:28" ht="14.25" customHeight="1" x14ac:dyDescent="0.2"/>
    <row r="3" spans="2:28" ht="25.5" customHeight="1" x14ac:dyDescent="0.2">
      <c r="G3" s="199"/>
      <c r="H3" s="199"/>
    </row>
    <row r="4" spans="2:28" s="9" customFormat="1" x14ac:dyDescent="0.2">
      <c r="B4" s="9" t="s">
        <v>35</v>
      </c>
      <c r="G4" s="9" t="s">
        <v>36</v>
      </c>
      <c r="J4" s="74"/>
      <c r="K4" s="74"/>
      <c r="M4" s="9" t="s">
        <v>32</v>
      </c>
      <c r="R4" s="9" t="s">
        <v>33</v>
      </c>
      <c r="W4" s="9" t="s">
        <v>34</v>
      </c>
    </row>
    <row r="5" spans="2:28" ht="13.5" thickBot="1" x14ac:dyDescent="0.25">
      <c r="B5" s="20" t="s">
        <v>1</v>
      </c>
      <c r="C5" s="20" t="s">
        <v>3</v>
      </c>
      <c r="D5" s="20" t="s">
        <v>2</v>
      </c>
      <c r="E5" s="20" t="s">
        <v>21</v>
      </c>
      <c r="G5" s="20" t="s">
        <v>1</v>
      </c>
      <c r="H5" s="20" t="s">
        <v>3</v>
      </c>
      <c r="I5" s="20" t="s">
        <v>0</v>
      </c>
      <c r="J5" s="20" t="s">
        <v>2</v>
      </c>
      <c r="K5" s="20" t="s">
        <v>22</v>
      </c>
      <c r="M5" s="20" t="s">
        <v>1</v>
      </c>
      <c r="N5" s="20" t="s">
        <v>3</v>
      </c>
      <c r="O5" s="20" t="s">
        <v>0</v>
      </c>
      <c r="P5" s="20" t="s">
        <v>28</v>
      </c>
      <c r="R5" s="20" t="s">
        <v>1</v>
      </c>
      <c r="S5" s="20" t="s">
        <v>3</v>
      </c>
      <c r="T5" s="20" t="s">
        <v>2</v>
      </c>
      <c r="U5" s="20" t="s">
        <v>29</v>
      </c>
      <c r="W5" s="20" t="s">
        <v>1</v>
      </c>
      <c r="X5" s="20" t="s">
        <v>3</v>
      </c>
      <c r="Y5" s="20" t="s">
        <v>2</v>
      </c>
      <c r="Z5" s="30" t="s">
        <v>30</v>
      </c>
      <c r="AB5" s="20" t="s">
        <v>31</v>
      </c>
    </row>
    <row r="6" spans="2:28" ht="13.5" thickBot="1" x14ac:dyDescent="0.25">
      <c r="B6" s="31">
        <v>1</v>
      </c>
      <c r="C6" s="32">
        <v>1</v>
      </c>
      <c r="D6" s="32">
        <v>1</v>
      </c>
      <c r="E6" s="69">
        <f>Model!E7</f>
        <v>0</v>
      </c>
      <c r="G6" s="31">
        <v>1</v>
      </c>
      <c r="H6" s="32">
        <v>1</v>
      </c>
      <c r="I6" s="32">
        <v>1</v>
      </c>
      <c r="J6" s="32">
        <v>1</v>
      </c>
      <c r="K6" s="71">
        <f>Model!K7</f>
        <v>0</v>
      </c>
      <c r="M6" s="31">
        <v>1</v>
      </c>
      <c r="N6" s="32">
        <v>1</v>
      </c>
      <c r="O6" s="32">
        <v>1</v>
      </c>
      <c r="P6" s="62">
        <f>Model!AR7</f>
        <v>0</v>
      </c>
      <c r="R6" s="31">
        <v>1</v>
      </c>
      <c r="S6" s="32">
        <v>1</v>
      </c>
      <c r="T6" s="43">
        <v>1</v>
      </c>
      <c r="U6" s="62">
        <f>Model!AW7</f>
        <v>500</v>
      </c>
      <c r="W6" s="31">
        <v>1</v>
      </c>
      <c r="X6" s="32">
        <v>1</v>
      </c>
      <c r="Y6" s="32">
        <v>1</v>
      </c>
      <c r="Z6" s="62">
        <f>Model!BB7</f>
        <v>0</v>
      </c>
      <c r="AB6" s="65">
        <f>OFTotalCost</f>
        <v>23558.399999999998</v>
      </c>
    </row>
    <row r="7" spans="2:28" x14ac:dyDescent="0.2">
      <c r="B7" s="34">
        <v>1</v>
      </c>
      <c r="C7" s="29">
        <v>1</v>
      </c>
      <c r="D7" s="29">
        <v>2</v>
      </c>
      <c r="E7" s="70">
        <f>Model!E8</f>
        <v>3867</v>
      </c>
      <c r="G7" s="23">
        <v>1</v>
      </c>
      <c r="H7" s="18">
        <v>1</v>
      </c>
      <c r="I7" s="18">
        <v>1</v>
      </c>
      <c r="J7" s="18">
        <v>2</v>
      </c>
      <c r="K7" s="72">
        <f>Model!K8</f>
        <v>0</v>
      </c>
      <c r="M7" s="34">
        <v>1</v>
      </c>
      <c r="N7" s="29">
        <v>1</v>
      </c>
      <c r="O7" s="29">
        <v>2</v>
      </c>
      <c r="P7" s="63">
        <f>Model!AR8</f>
        <v>280.05</v>
      </c>
      <c r="R7" s="34">
        <v>1</v>
      </c>
      <c r="S7" s="29">
        <v>1</v>
      </c>
      <c r="T7" s="44">
        <v>2</v>
      </c>
      <c r="U7" s="63">
        <f>Model!AW8</f>
        <v>500</v>
      </c>
      <c r="W7" s="34">
        <v>1</v>
      </c>
      <c r="X7" s="29">
        <v>1</v>
      </c>
      <c r="Y7" s="29">
        <v>2</v>
      </c>
      <c r="Z7" s="63">
        <f>Model!BB8</f>
        <v>966.75</v>
      </c>
    </row>
    <row r="8" spans="2:28" x14ac:dyDescent="0.2">
      <c r="B8" s="34">
        <v>1</v>
      </c>
      <c r="C8" s="29">
        <v>2</v>
      </c>
      <c r="D8" s="29">
        <v>1</v>
      </c>
      <c r="E8" s="70">
        <f>Model!E9</f>
        <v>3999</v>
      </c>
      <c r="G8" s="23">
        <v>1</v>
      </c>
      <c r="H8" s="18">
        <v>1</v>
      </c>
      <c r="I8" s="29">
        <v>2</v>
      </c>
      <c r="J8" s="29">
        <v>1</v>
      </c>
      <c r="K8" s="72">
        <f>Model!K9</f>
        <v>0</v>
      </c>
      <c r="M8" s="34">
        <v>1</v>
      </c>
      <c r="N8" s="29">
        <v>1</v>
      </c>
      <c r="O8" s="29">
        <v>3</v>
      </c>
      <c r="P8" s="63">
        <f>Model!AR9</f>
        <v>300</v>
      </c>
      <c r="R8" s="34">
        <v>1</v>
      </c>
      <c r="S8" s="29">
        <v>2</v>
      </c>
      <c r="T8" s="44">
        <v>1</v>
      </c>
      <c r="U8" s="63">
        <f>Model!AW9</f>
        <v>500</v>
      </c>
      <c r="W8" s="34">
        <v>1</v>
      </c>
      <c r="X8" s="29">
        <v>2</v>
      </c>
      <c r="Y8" s="29">
        <v>1</v>
      </c>
      <c r="Z8" s="63">
        <f>Model!BB9</f>
        <v>999.75</v>
      </c>
    </row>
    <row r="9" spans="2:28" x14ac:dyDescent="0.2">
      <c r="B9" s="34">
        <v>1</v>
      </c>
      <c r="C9" s="29">
        <v>2</v>
      </c>
      <c r="D9" s="29">
        <v>2</v>
      </c>
      <c r="E9" s="70">
        <f>Model!E10</f>
        <v>2001</v>
      </c>
      <c r="G9" s="23">
        <v>1</v>
      </c>
      <c r="H9" s="18">
        <v>1</v>
      </c>
      <c r="I9" s="18">
        <v>2</v>
      </c>
      <c r="J9" s="18">
        <v>2</v>
      </c>
      <c r="K9" s="72">
        <f>Model!K10</f>
        <v>1867</v>
      </c>
      <c r="M9" s="34">
        <v>1</v>
      </c>
      <c r="N9" s="29">
        <v>2</v>
      </c>
      <c r="O9" s="29">
        <v>1</v>
      </c>
      <c r="P9" s="63">
        <f>Model!AR10</f>
        <v>480.15</v>
      </c>
      <c r="R9" s="34">
        <v>1</v>
      </c>
      <c r="S9" s="29">
        <v>2</v>
      </c>
      <c r="T9" s="44">
        <v>2</v>
      </c>
      <c r="U9" s="63">
        <f>Model!AW10</f>
        <v>500</v>
      </c>
      <c r="W9" s="34">
        <v>1</v>
      </c>
      <c r="X9" s="29">
        <v>2</v>
      </c>
      <c r="Y9" s="29">
        <v>2</v>
      </c>
      <c r="Z9" s="63">
        <f>Model!BB10</f>
        <v>500.25</v>
      </c>
    </row>
    <row r="10" spans="2:28" x14ac:dyDescent="0.2">
      <c r="B10" s="34">
        <v>1</v>
      </c>
      <c r="C10" s="29">
        <v>3</v>
      </c>
      <c r="D10" s="29">
        <v>1</v>
      </c>
      <c r="E10" s="70">
        <f>Model!E11</f>
        <v>0</v>
      </c>
      <c r="G10" s="23">
        <v>1</v>
      </c>
      <c r="H10" s="18">
        <v>1</v>
      </c>
      <c r="I10" s="29">
        <v>3</v>
      </c>
      <c r="J10" s="29">
        <v>1</v>
      </c>
      <c r="K10" s="72">
        <f>Model!K11</f>
        <v>0</v>
      </c>
      <c r="M10" s="34">
        <v>1</v>
      </c>
      <c r="N10" s="29">
        <v>2</v>
      </c>
      <c r="O10" s="29">
        <v>2</v>
      </c>
      <c r="P10" s="63">
        <f>Model!AR11</f>
        <v>219.9</v>
      </c>
      <c r="R10" s="34">
        <v>1</v>
      </c>
      <c r="S10" s="29">
        <v>3</v>
      </c>
      <c r="T10" s="44">
        <v>1</v>
      </c>
      <c r="U10" s="63">
        <f>Model!AW11</f>
        <v>500</v>
      </c>
      <c r="W10" s="34">
        <v>1</v>
      </c>
      <c r="X10" s="29">
        <v>3</v>
      </c>
      <c r="Y10" s="29">
        <v>1</v>
      </c>
      <c r="Z10" s="63">
        <f>Model!BB11</f>
        <v>0</v>
      </c>
    </row>
    <row r="11" spans="2:28" ht="13.5" thickBot="1" x14ac:dyDescent="0.25">
      <c r="B11" s="23">
        <v>1</v>
      </c>
      <c r="C11" s="29">
        <v>3</v>
      </c>
      <c r="D11" s="29">
        <v>2</v>
      </c>
      <c r="E11" s="70">
        <f>Model!E12</f>
        <v>132</v>
      </c>
      <c r="F11"/>
      <c r="G11" s="23">
        <v>1</v>
      </c>
      <c r="H11" s="18">
        <v>1</v>
      </c>
      <c r="I11" s="18">
        <v>3</v>
      </c>
      <c r="J11" s="18">
        <v>2</v>
      </c>
      <c r="K11" s="72">
        <f>Model!K12</f>
        <v>2000</v>
      </c>
      <c r="M11" s="34">
        <v>1</v>
      </c>
      <c r="N11" s="29">
        <v>2</v>
      </c>
      <c r="O11" s="29">
        <v>3</v>
      </c>
      <c r="P11" s="63">
        <f>Model!AR12</f>
        <v>199.95</v>
      </c>
      <c r="R11" s="34">
        <v>1</v>
      </c>
      <c r="S11" s="29">
        <v>3</v>
      </c>
      <c r="T11" s="44">
        <v>2</v>
      </c>
      <c r="U11" s="63">
        <f>Model!AW12</f>
        <v>500</v>
      </c>
      <c r="W11" s="34">
        <v>1</v>
      </c>
      <c r="X11" s="29">
        <v>3</v>
      </c>
      <c r="Y11" s="29">
        <v>2</v>
      </c>
      <c r="Z11" s="63">
        <f>Model!BB12</f>
        <v>33</v>
      </c>
    </row>
    <row r="12" spans="2:28" x14ac:dyDescent="0.2">
      <c r="B12" s="31">
        <v>2</v>
      </c>
      <c r="C12" s="32">
        <v>1</v>
      </c>
      <c r="D12" s="32">
        <v>1</v>
      </c>
      <c r="E12" s="69">
        <f>Model!E13</f>
        <v>2401</v>
      </c>
      <c r="F12"/>
      <c r="G12" s="23">
        <v>1</v>
      </c>
      <c r="H12" s="29">
        <v>2</v>
      </c>
      <c r="I12" s="29">
        <v>1</v>
      </c>
      <c r="J12" s="29">
        <v>1</v>
      </c>
      <c r="K12" s="72">
        <f>Model!K13</f>
        <v>1333</v>
      </c>
      <c r="M12" s="34">
        <v>1</v>
      </c>
      <c r="N12" s="29">
        <v>3</v>
      </c>
      <c r="O12" s="29">
        <v>1</v>
      </c>
      <c r="P12" s="63">
        <f>Model!AR13</f>
        <v>19.8</v>
      </c>
      <c r="R12" s="31">
        <v>2</v>
      </c>
      <c r="S12" s="32">
        <v>1</v>
      </c>
      <c r="T12" s="43">
        <v>1</v>
      </c>
      <c r="U12" s="62">
        <f>Model!AW13</f>
        <v>500</v>
      </c>
      <c r="W12" s="31">
        <v>2</v>
      </c>
      <c r="X12" s="32">
        <v>1</v>
      </c>
      <c r="Y12" s="32">
        <v>1</v>
      </c>
      <c r="Z12" s="62">
        <f>Model!BB13</f>
        <v>600.25</v>
      </c>
    </row>
    <row r="13" spans="2:28" x14ac:dyDescent="0.2">
      <c r="B13" s="34">
        <v>2</v>
      </c>
      <c r="C13" s="29">
        <v>1</v>
      </c>
      <c r="D13" s="29">
        <v>2</v>
      </c>
      <c r="E13" s="70">
        <f>Model!E14</f>
        <v>6133</v>
      </c>
      <c r="F13"/>
      <c r="G13" s="23">
        <v>1</v>
      </c>
      <c r="H13" s="18">
        <v>2</v>
      </c>
      <c r="I13" s="18">
        <v>1</v>
      </c>
      <c r="J13" s="18">
        <v>2</v>
      </c>
      <c r="K13" s="72">
        <f>Model!K14</f>
        <v>1868</v>
      </c>
      <c r="M13" s="34">
        <v>1</v>
      </c>
      <c r="N13" s="29">
        <v>3</v>
      </c>
      <c r="O13" s="29">
        <v>2</v>
      </c>
      <c r="P13" s="63">
        <f>Model!AR14</f>
        <v>0</v>
      </c>
      <c r="R13" s="34">
        <v>2</v>
      </c>
      <c r="S13" s="29">
        <v>1</v>
      </c>
      <c r="T13" s="44">
        <v>2</v>
      </c>
      <c r="U13" s="63">
        <f>Model!AW14</f>
        <v>500</v>
      </c>
      <c r="W13" s="34">
        <v>2</v>
      </c>
      <c r="X13" s="29">
        <v>1</v>
      </c>
      <c r="Y13" s="29">
        <v>2</v>
      </c>
      <c r="Z13" s="63">
        <f>Model!BB14</f>
        <v>1533.25</v>
      </c>
    </row>
    <row r="14" spans="2:28" ht="13.5" thickBot="1" x14ac:dyDescent="0.25">
      <c r="B14" s="34">
        <v>2</v>
      </c>
      <c r="C14" s="29">
        <v>2</v>
      </c>
      <c r="D14" s="29">
        <v>1</v>
      </c>
      <c r="E14" s="70">
        <f>Model!E15</f>
        <v>2265</v>
      </c>
      <c r="F14"/>
      <c r="G14" s="23">
        <v>1</v>
      </c>
      <c r="H14" s="18">
        <v>2</v>
      </c>
      <c r="I14" s="29">
        <v>2</v>
      </c>
      <c r="J14" s="29">
        <v>1</v>
      </c>
      <c r="K14" s="72">
        <f>Model!K15</f>
        <v>1333</v>
      </c>
      <c r="M14" s="34">
        <v>1</v>
      </c>
      <c r="N14" s="29">
        <v>3</v>
      </c>
      <c r="O14" s="29">
        <v>3</v>
      </c>
      <c r="P14" s="63">
        <f>Model!AR15</f>
        <v>0</v>
      </c>
      <c r="R14" s="34">
        <v>2</v>
      </c>
      <c r="S14" s="29">
        <v>2</v>
      </c>
      <c r="T14" s="44">
        <v>1</v>
      </c>
      <c r="U14" s="63">
        <f>Model!AW15</f>
        <v>500</v>
      </c>
      <c r="W14" s="34">
        <v>2</v>
      </c>
      <c r="X14" s="29">
        <v>2</v>
      </c>
      <c r="Y14" s="29">
        <v>1</v>
      </c>
      <c r="Z14" s="63">
        <f>Model!BB15</f>
        <v>566.25</v>
      </c>
    </row>
    <row r="15" spans="2:28" x14ac:dyDescent="0.2">
      <c r="B15" s="34">
        <v>2</v>
      </c>
      <c r="C15" s="29">
        <v>2</v>
      </c>
      <c r="D15" s="29">
        <v>2</v>
      </c>
      <c r="E15" s="70">
        <f>Model!E16</f>
        <v>0</v>
      </c>
      <c r="F15"/>
      <c r="G15" s="23">
        <v>1</v>
      </c>
      <c r="H15" s="18">
        <v>2</v>
      </c>
      <c r="I15" s="18">
        <v>2</v>
      </c>
      <c r="J15" s="18">
        <v>2</v>
      </c>
      <c r="K15" s="72">
        <f>Model!K16</f>
        <v>133</v>
      </c>
      <c r="M15" s="31">
        <v>2</v>
      </c>
      <c r="N15" s="32">
        <v>1</v>
      </c>
      <c r="O15" s="32">
        <v>1</v>
      </c>
      <c r="P15" s="62">
        <f>Model!AR16</f>
        <v>300</v>
      </c>
      <c r="R15" s="34">
        <v>2</v>
      </c>
      <c r="S15" s="29">
        <v>2</v>
      </c>
      <c r="T15" s="44">
        <v>2</v>
      </c>
      <c r="U15" s="63">
        <f>Model!AW16</f>
        <v>500</v>
      </c>
      <c r="W15" s="34">
        <v>2</v>
      </c>
      <c r="X15" s="29">
        <v>2</v>
      </c>
      <c r="Y15" s="29">
        <v>2</v>
      </c>
      <c r="Z15" s="63">
        <f>Model!BB16</f>
        <v>0</v>
      </c>
    </row>
    <row r="16" spans="2:28" x14ac:dyDescent="0.2">
      <c r="B16" s="34">
        <v>2</v>
      </c>
      <c r="C16" s="29">
        <v>3</v>
      </c>
      <c r="D16" s="29">
        <v>1</v>
      </c>
      <c r="E16" s="70">
        <f>Model!E17</f>
        <v>0</v>
      </c>
      <c r="F16"/>
      <c r="G16" s="23">
        <v>1</v>
      </c>
      <c r="H16" s="18">
        <v>2</v>
      </c>
      <c r="I16" s="29">
        <v>3</v>
      </c>
      <c r="J16" s="29">
        <v>1</v>
      </c>
      <c r="K16" s="72">
        <f>Model!K17</f>
        <v>1333</v>
      </c>
      <c r="M16" s="34">
        <v>2</v>
      </c>
      <c r="N16" s="29">
        <v>1</v>
      </c>
      <c r="O16" s="29">
        <v>2</v>
      </c>
      <c r="P16" s="63">
        <f>Model!AR17</f>
        <v>360.15</v>
      </c>
      <c r="R16" s="34">
        <v>2</v>
      </c>
      <c r="S16" s="29">
        <v>3</v>
      </c>
      <c r="T16" s="44">
        <v>1</v>
      </c>
      <c r="U16" s="63">
        <f>Model!AW17</f>
        <v>500</v>
      </c>
      <c r="W16" s="34">
        <v>2</v>
      </c>
      <c r="X16" s="29">
        <v>3</v>
      </c>
      <c r="Y16" s="29">
        <v>1</v>
      </c>
      <c r="Z16" s="63">
        <f>Model!BB17</f>
        <v>0</v>
      </c>
    </row>
    <row r="17" spans="2:26" ht="13.5" thickBot="1" x14ac:dyDescent="0.25">
      <c r="B17" s="23">
        <v>2</v>
      </c>
      <c r="C17" s="29">
        <v>3</v>
      </c>
      <c r="D17" s="29">
        <v>2</v>
      </c>
      <c r="E17" s="70">
        <f>Model!E18</f>
        <v>0</v>
      </c>
      <c r="F17"/>
      <c r="G17" s="23">
        <v>1</v>
      </c>
      <c r="H17" s="18">
        <v>2</v>
      </c>
      <c r="I17" s="18">
        <v>3</v>
      </c>
      <c r="J17" s="18">
        <v>2</v>
      </c>
      <c r="K17" s="72">
        <f>Model!K18</f>
        <v>0</v>
      </c>
      <c r="M17" s="34">
        <v>2</v>
      </c>
      <c r="N17" s="29">
        <v>1</v>
      </c>
      <c r="O17" s="29">
        <v>3</v>
      </c>
      <c r="P17" s="63">
        <f>Model!AR18</f>
        <v>619.94999999999993</v>
      </c>
      <c r="R17" s="34">
        <v>2</v>
      </c>
      <c r="S17" s="29">
        <v>3</v>
      </c>
      <c r="T17" s="44">
        <v>2</v>
      </c>
      <c r="U17" s="63">
        <f>Model!AW18</f>
        <v>500</v>
      </c>
      <c r="W17" s="23">
        <v>2</v>
      </c>
      <c r="X17" s="29">
        <v>3</v>
      </c>
      <c r="Y17" s="29">
        <v>2</v>
      </c>
      <c r="Z17" s="63">
        <f>Model!BB18</f>
        <v>0</v>
      </c>
    </row>
    <row r="18" spans="2:26" x14ac:dyDescent="0.2">
      <c r="B18" s="31">
        <v>3</v>
      </c>
      <c r="C18" s="32">
        <v>1</v>
      </c>
      <c r="D18" s="32">
        <v>1</v>
      </c>
      <c r="E18" s="69">
        <f>Model!E19</f>
        <v>7599</v>
      </c>
      <c r="F18"/>
      <c r="G18" s="23">
        <v>1</v>
      </c>
      <c r="H18" s="29">
        <v>3</v>
      </c>
      <c r="I18" s="29">
        <v>1</v>
      </c>
      <c r="J18" s="29">
        <v>1</v>
      </c>
      <c r="K18" s="72">
        <f>Model!K19</f>
        <v>0</v>
      </c>
      <c r="M18" s="34">
        <v>2</v>
      </c>
      <c r="N18" s="29">
        <v>2</v>
      </c>
      <c r="O18" s="29">
        <v>1</v>
      </c>
      <c r="P18" s="63">
        <f>Model!AR19</f>
        <v>199.95</v>
      </c>
      <c r="R18" s="31">
        <v>3</v>
      </c>
      <c r="S18" s="32">
        <v>1</v>
      </c>
      <c r="T18" s="43">
        <v>1</v>
      </c>
      <c r="U18" s="62">
        <f>Model!AW19</f>
        <v>500</v>
      </c>
      <c r="W18" s="31">
        <v>3</v>
      </c>
      <c r="X18" s="32">
        <v>1</v>
      </c>
      <c r="Y18" s="32">
        <v>1</v>
      </c>
      <c r="Z18" s="62">
        <f>Model!BB19</f>
        <v>1899.75</v>
      </c>
    </row>
    <row r="19" spans="2:26" x14ac:dyDescent="0.2">
      <c r="B19" s="34">
        <v>3</v>
      </c>
      <c r="C19" s="29">
        <v>1</v>
      </c>
      <c r="D19" s="29">
        <v>2</v>
      </c>
      <c r="E19" s="70">
        <f>Model!E20</f>
        <v>0</v>
      </c>
      <c r="F19"/>
      <c r="G19" s="23">
        <v>1</v>
      </c>
      <c r="H19" s="18">
        <v>3</v>
      </c>
      <c r="I19" s="18">
        <v>1</v>
      </c>
      <c r="J19" s="18">
        <v>2</v>
      </c>
      <c r="K19" s="72">
        <f>Model!K20</f>
        <v>132</v>
      </c>
      <c r="M19" s="34">
        <v>2</v>
      </c>
      <c r="N19" s="29">
        <v>2</v>
      </c>
      <c r="O19" s="29">
        <v>2</v>
      </c>
      <c r="P19" s="63">
        <f>Model!AR20</f>
        <v>139.79999999999998</v>
      </c>
      <c r="R19" s="34">
        <v>3</v>
      </c>
      <c r="S19" s="29">
        <v>1</v>
      </c>
      <c r="T19" s="44">
        <v>2</v>
      </c>
      <c r="U19" s="63">
        <f>Model!AW20</f>
        <v>500</v>
      </c>
      <c r="W19" s="34">
        <v>3</v>
      </c>
      <c r="X19" s="29">
        <v>1</v>
      </c>
      <c r="Y19" s="29">
        <v>2</v>
      </c>
      <c r="Z19" s="63">
        <f>Model!BB20</f>
        <v>0</v>
      </c>
    </row>
    <row r="20" spans="2:26" x14ac:dyDescent="0.2">
      <c r="B20" s="34">
        <v>3</v>
      </c>
      <c r="C20" s="29">
        <v>2</v>
      </c>
      <c r="D20" s="29">
        <v>1</v>
      </c>
      <c r="E20" s="70">
        <f>Model!E21</f>
        <v>0</v>
      </c>
      <c r="F20"/>
      <c r="G20" s="23">
        <v>1</v>
      </c>
      <c r="H20" s="18">
        <v>3</v>
      </c>
      <c r="I20" s="29">
        <v>2</v>
      </c>
      <c r="J20" s="29">
        <v>1</v>
      </c>
      <c r="K20" s="72">
        <f>Model!K21</f>
        <v>0</v>
      </c>
      <c r="M20" s="34">
        <v>2</v>
      </c>
      <c r="N20" s="29">
        <v>2</v>
      </c>
      <c r="O20" s="29">
        <v>3</v>
      </c>
      <c r="P20" s="63">
        <f>Model!AR21</f>
        <v>0</v>
      </c>
      <c r="R20" s="34">
        <v>3</v>
      </c>
      <c r="S20" s="29">
        <v>2</v>
      </c>
      <c r="T20" s="44">
        <v>1</v>
      </c>
      <c r="U20" s="63">
        <f>Model!AW21</f>
        <v>500</v>
      </c>
      <c r="W20" s="34">
        <v>3</v>
      </c>
      <c r="X20" s="29">
        <v>2</v>
      </c>
      <c r="Y20" s="29">
        <v>1</v>
      </c>
      <c r="Z20" s="63">
        <f>Model!BB21</f>
        <v>0</v>
      </c>
    </row>
    <row r="21" spans="2:26" x14ac:dyDescent="0.2">
      <c r="B21" s="34">
        <v>3</v>
      </c>
      <c r="C21" s="29">
        <v>2</v>
      </c>
      <c r="D21" s="29">
        <v>2</v>
      </c>
      <c r="E21" s="70">
        <f>Model!E22</f>
        <v>7999</v>
      </c>
      <c r="F21"/>
      <c r="G21" s="23">
        <v>1</v>
      </c>
      <c r="H21" s="18">
        <v>3</v>
      </c>
      <c r="I21" s="18">
        <v>2</v>
      </c>
      <c r="J21" s="18">
        <v>2</v>
      </c>
      <c r="K21" s="72">
        <f>Model!K22</f>
        <v>0</v>
      </c>
      <c r="M21" s="34">
        <v>2</v>
      </c>
      <c r="N21" s="29">
        <v>3</v>
      </c>
      <c r="O21" s="29">
        <v>1</v>
      </c>
      <c r="P21" s="63">
        <f>Model!AR22</f>
        <v>0</v>
      </c>
      <c r="R21" s="34">
        <v>3</v>
      </c>
      <c r="S21" s="29">
        <v>2</v>
      </c>
      <c r="T21" s="44">
        <v>2</v>
      </c>
      <c r="U21" s="63">
        <f>Model!AW22</f>
        <v>500</v>
      </c>
      <c r="W21" s="34">
        <v>3</v>
      </c>
      <c r="X21" s="29">
        <v>2</v>
      </c>
      <c r="Y21" s="29">
        <v>2</v>
      </c>
      <c r="Z21" s="63">
        <f>Model!BB22</f>
        <v>1999.75</v>
      </c>
    </row>
    <row r="22" spans="2:26" x14ac:dyDescent="0.2">
      <c r="B22" s="34">
        <v>3</v>
      </c>
      <c r="C22" s="29">
        <v>3</v>
      </c>
      <c r="D22" s="29">
        <v>1</v>
      </c>
      <c r="E22" s="70">
        <f>Model!E23</f>
        <v>0</v>
      </c>
      <c r="F22"/>
      <c r="G22" s="23">
        <v>1</v>
      </c>
      <c r="H22" s="18">
        <v>3</v>
      </c>
      <c r="I22" s="29">
        <v>3</v>
      </c>
      <c r="J22" s="29">
        <v>1</v>
      </c>
      <c r="K22" s="72">
        <f>Model!K23</f>
        <v>0</v>
      </c>
      <c r="M22" s="34">
        <v>2</v>
      </c>
      <c r="N22" s="29">
        <v>3</v>
      </c>
      <c r="O22" s="29">
        <v>2</v>
      </c>
      <c r="P22" s="63">
        <f>Model!AR23</f>
        <v>0</v>
      </c>
      <c r="R22" s="34">
        <v>3</v>
      </c>
      <c r="S22" s="29">
        <v>3</v>
      </c>
      <c r="T22" s="44">
        <v>1</v>
      </c>
      <c r="U22" s="63">
        <f>Model!AW23</f>
        <v>500</v>
      </c>
      <c r="W22" s="34">
        <v>3</v>
      </c>
      <c r="X22" s="29">
        <v>3</v>
      </c>
      <c r="Y22" s="29">
        <v>1</v>
      </c>
      <c r="Z22" s="63">
        <f>Model!BB23</f>
        <v>0</v>
      </c>
    </row>
    <row r="23" spans="2:26" ht="13.5" thickBot="1" x14ac:dyDescent="0.25">
      <c r="B23" s="23">
        <v>3</v>
      </c>
      <c r="C23" s="29">
        <v>3</v>
      </c>
      <c r="D23" s="29">
        <v>2</v>
      </c>
      <c r="E23" s="70">
        <f>Model!E24</f>
        <v>0</v>
      </c>
      <c r="F23"/>
      <c r="G23" s="23">
        <v>1</v>
      </c>
      <c r="H23" s="18">
        <v>3</v>
      </c>
      <c r="I23" s="18">
        <v>3</v>
      </c>
      <c r="J23" s="18">
        <v>2</v>
      </c>
      <c r="K23" s="114">
        <f>Model!K24</f>
        <v>0</v>
      </c>
      <c r="M23" s="34">
        <v>2</v>
      </c>
      <c r="N23" s="29">
        <v>3</v>
      </c>
      <c r="O23" s="29">
        <v>3</v>
      </c>
      <c r="P23" s="63">
        <f>Model!AR24</f>
        <v>0</v>
      </c>
      <c r="R23" s="34">
        <v>3</v>
      </c>
      <c r="S23" s="29">
        <v>3</v>
      </c>
      <c r="T23" s="44">
        <v>2</v>
      </c>
      <c r="U23" s="63">
        <f>Model!AW24</f>
        <v>500</v>
      </c>
      <c r="W23" s="23">
        <v>3</v>
      </c>
      <c r="X23" s="29">
        <v>3</v>
      </c>
      <c r="Y23" s="29">
        <v>2</v>
      </c>
      <c r="Z23" s="63">
        <f>Model!BB24</f>
        <v>0</v>
      </c>
    </row>
    <row r="24" spans="2:26" ht="13.5" thickBot="1" x14ac:dyDescent="0.25">
      <c r="B24"/>
      <c r="C24"/>
      <c r="D24"/>
      <c r="E24"/>
      <c r="F24"/>
      <c r="G24" s="31">
        <v>2</v>
      </c>
      <c r="H24" s="32">
        <v>1</v>
      </c>
      <c r="I24" s="32">
        <v>1</v>
      </c>
      <c r="J24" s="32">
        <v>1</v>
      </c>
      <c r="K24" s="73">
        <f>Model!K25</f>
        <v>0</v>
      </c>
      <c r="M24" s="31">
        <v>3</v>
      </c>
      <c r="N24" s="32">
        <v>1</v>
      </c>
      <c r="O24" s="32">
        <v>1</v>
      </c>
      <c r="P24" s="62">
        <f>Model!AR25</f>
        <v>339.9</v>
      </c>
    </row>
    <row r="25" spans="2:26" ht="13.5" thickBot="1" x14ac:dyDescent="0.25">
      <c r="B25"/>
      <c r="C25"/>
      <c r="D25"/>
      <c r="E25"/>
      <c r="F25"/>
      <c r="G25" s="23">
        <v>2</v>
      </c>
      <c r="H25" s="18">
        <v>1</v>
      </c>
      <c r="I25" s="18">
        <v>1</v>
      </c>
      <c r="J25" s="18">
        <v>2</v>
      </c>
      <c r="K25" s="72">
        <f>Model!K26</f>
        <v>2000</v>
      </c>
      <c r="M25" s="34">
        <v>3</v>
      </c>
      <c r="N25" s="29">
        <v>1</v>
      </c>
      <c r="O25" s="29">
        <v>2</v>
      </c>
      <c r="P25" s="63">
        <f>Model!AR26</f>
        <v>379.95</v>
      </c>
      <c r="U25" s="64">
        <f>OFHoldCost</f>
        <v>9000</v>
      </c>
      <c r="Z25" s="64">
        <f>OFProdCost</f>
        <v>9099</v>
      </c>
    </row>
    <row r="26" spans="2:26" x14ac:dyDescent="0.2">
      <c r="B26"/>
      <c r="C26"/>
      <c r="D26"/>
      <c r="E26"/>
      <c r="F26"/>
      <c r="G26" s="23">
        <v>2</v>
      </c>
      <c r="H26" s="18">
        <v>1</v>
      </c>
      <c r="I26" s="29">
        <v>2</v>
      </c>
      <c r="J26" s="29">
        <v>1</v>
      </c>
      <c r="K26" s="72">
        <f>Model!K27</f>
        <v>401</v>
      </c>
      <c r="M26" s="34">
        <v>3</v>
      </c>
      <c r="N26" s="29">
        <v>1</v>
      </c>
      <c r="O26" s="29">
        <v>3</v>
      </c>
      <c r="P26" s="63">
        <f>Model!AR27</f>
        <v>420</v>
      </c>
    </row>
    <row r="27" spans="2:26" x14ac:dyDescent="0.2">
      <c r="B27"/>
      <c r="C27"/>
      <c r="D27"/>
      <c r="E27"/>
      <c r="F27"/>
      <c r="G27" s="23">
        <v>2</v>
      </c>
      <c r="H27" s="18">
        <v>1</v>
      </c>
      <c r="I27" s="18">
        <v>2</v>
      </c>
      <c r="J27" s="18">
        <v>2</v>
      </c>
      <c r="K27" s="72">
        <f>Model!K28</f>
        <v>2000</v>
      </c>
      <c r="M27" s="34">
        <v>3</v>
      </c>
      <c r="N27" s="29">
        <v>2</v>
      </c>
      <c r="O27" s="29">
        <v>1</v>
      </c>
      <c r="P27" s="63">
        <f>Model!AR28</f>
        <v>360</v>
      </c>
    </row>
    <row r="28" spans="2:26" x14ac:dyDescent="0.2">
      <c r="B28"/>
      <c r="C28"/>
      <c r="D28"/>
      <c r="E28"/>
      <c r="F28"/>
      <c r="G28" s="23">
        <v>2</v>
      </c>
      <c r="H28" s="18">
        <v>1</v>
      </c>
      <c r="I28" s="29">
        <v>3</v>
      </c>
      <c r="J28" s="29">
        <v>1</v>
      </c>
      <c r="K28" s="72">
        <f>Model!K29</f>
        <v>2000</v>
      </c>
      <c r="M28" s="34">
        <v>3</v>
      </c>
      <c r="N28" s="29">
        <v>2</v>
      </c>
      <c r="O28" s="29">
        <v>2</v>
      </c>
      <c r="P28" s="63">
        <f>Model!AR29</f>
        <v>399.9</v>
      </c>
    </row>
    <row r="29" spans="2:26" x14ac:dyDescent="0.2">
      <c r="B29"/>
      <c r="C29"/>
      <c r="D29"/>
      <c r="E29"/>
      <c r="F29"/>
      <c r="G29" s="23">
        <v>2</v>
      </c>
      <c r="H29" s="18">
        <v>1</v>
      </c>
      <c r="I29" s="18">
        <v>3</v>
      </c>
      <c r="J29" s="18">
        <v>2</v>
      </c>
      <c r="K29" s="72">
        <f>Model!K30</f>
        <v>2133</v>
      </c>
      <c r="M29" s="34">
        <v>3</v>
      </c>
      <c r="N29" s="29">
        <v>2</v>
      </c>
      <c r="O29" s="29">
        <v>3</v>
      </c>
      <c r="P29" s="63">
        <f>Model!AR30</f>
        <v>439.95</v>
      </c>
    </row>
    <row r="30" spans="2:26" x14ac:dyDescent="0.2">
      <c r="B30"/>
      <c r="C30"/>
      <c r="D30"/>
      <c r="E30"/>
      <c r="F30"/>
      <c r="G30" s="23">
        <v>2</v>
      </c>
      <c r="H30" s="29">
        <v>2</v>
      </c>
      <c r="I30" s="29">
        <v>1</v>
      </c>
      <c r="J30" s="29">
        <v>1</v>
      </c>
      <c r="K30" s="72">
        <f>Model!K31</f>
        <v>1333</v>
      </c>
      <c r="M30" s="34">
        <v>3</v>
      </c>
      <c r="N30" s="29">
        <v>3</v>
      </c>
      <c r="O30" s="29">
        <v>1</v>
      </c>
      <c r="P30" s="63">
        <f>Model!AR31</f>
        <v>0</v>
      </c>
    </row>
    <row r="31" spans="2:26" x14ac:dyDescent="0.2">
      <c r="B31"/>
      <c r="C31"/>
      <c r="D31"/>
      <c r="E31"/>
      <c r="F31"/>
      <c r="G31" s="23">
        <v>2</v>
      </c>
      <c r="H31" s="18">
        <v>2</v>
      </c>
      <c r="I31" s="18">
        <v>1</v>
      </c>
      <c r="J31" s="18">
        <v>2</v>
      </c>
      <c r="K31" s="72">
        <f>Model!K32</f>
        <v>0</v>
      </c>
      <c r="M31" s="34">
        <v>3</v>
      </c>
      <c r="N31" s="29">
        <v>3</v>
      </c>
      <c r="O31" s="29">
        <v>2</v>
      </c>
      <c r="P31" s="63">
        <f>Model!AR32</f>
        <v>0</v>
      </c>
    </row>
    <row r="32" spans="2:26" x14ac:dyDescent="0.2">
      <c r="B32"/>
      <c r="C32"/>
      <c r="D32"/>
      <c r="E32"/>
      <c r="F32"/>
      <c r="G32" s="23">
        <v>2</v>
      </c>
      <c r="H32" s="18">
        <v>2</v>
      </c>
      <c r="I32" s="29">
        <v>2</v>
      </c>
      <c r="J32" s="29">
        <v>1</v>
      </c>
      <c r="K32" s="72">
        <f>Model!K33</f>
        <v>932</v>
      </c>
      <c r="M32" s="34">
        <v>3</v>
      </c>
      <c r="N32" s="29">
        <v>3</v>
      </c>
      <c r="O32" s="29">
        <v>3</v>
      </c>
      <c r="P32" s="63">
        <f>Model!AR33</f>
        <v>0</v>
      </c>
    </row>
    <row r="33" spans="2:16" ht="13.5" thickBot="1" x14ac:dyDescent="0.25">
      <c r="B33"/>
      <c r="C33"/>
      <c r="D33"/>
      <c r="E33"/>
      <c r="F33"/>
      <c r="G33" s="23">
        <v>2</v>
      </c>
      <c r="H33" s="18">
        <v>2</v>
      </c>
      <c r="I33" s="18">
        <v>2</v>
      </c>
      <c r="J33" s="18">
        <v>2</v>
      </c>
      <c r="K33" s="72">
        <f>Model!K34</f>
        <v>0</v>
      </c>
    </row>
    <row r="34" spans="2:16" ht="13.5" thickBot="1" x14ac:dyDescent="0.25">
      <c r="B34"/>
      <c r="C34"/>
      <c r="D34"/>
      <c r="E34"/>
      <c r="F34"/>
      <c r="G34" s="23">
        <v>2</v>
      </c>
      <c r="H34" s="18">
        <v>2</v>
      </c>
      <c r="I34" s="29">
        <v>3</v>
      </c>
      <c r="J34" s="29">
        <v>1</v>
      </c>
      <c r="K34" s="72">
        <f>Model!K35</f>
        <v>0</v>
      </c>
      <c r="P34" s="64">
        <f>OFShipCost</f>
        <v>5459.3999999999987</v>
      </c>
    </row>
    <row r="35" spans="2:16" x14ac:dyDescent="0.2">
      <c r="B35"/>
      <c r="C35"/>
      <c r="D35"/>
      <c r="E35"/>
      <c r="F35"/>
      <c r="G35" s="23">
        <v>2</v>
      </c>
      <c r="H35" s="18">
        <v>2</v>
      </c>
      <c r="I35" s="18">
        <v>3</v>
      </c>
      <c r="J35" s="18">
        <v>2</v>
      </c>
      <c r="K35" s="72">
        <f>Model!K36</f>
        <v>0</v>
      </c>
    </row>
    <row r="36" spans="2:16" x14ac:dyDescent="0.2">
      <c r="B36"/>
      <c r="C36"/>
      <c r="D36"/>
      <c r="E36"/>
      <c r="F36"/>
      <c r="G36" s="23">
        <v>2</v>
      </c>
      <c r="H36" s="29">
        <v>3</v>
      </c>
      <c r="I36" s="29">
        <v>1</v>
      </c>
      <c r="J36" s="29">
        <v>1</v>
      </c>
      <c r="K36" s="72">
        <f>Model!K37</f>
        <v>0</v>
      </c>
    </row>
    <row r="37" spans="2:16" x14ac:dyDescent="0.2">
      <c r="B37"/>
      <c r="C37"/>
      <c r="D37"/>
      <c r="E37"/>
      <c r="F37"/>
      <c r="G37" s="23">
        <v>2</v>
      </c>
      <c r="H37" s="18">
        <v>3</v>
      </c>
      <c r="I37" s="18">
        <v>1</v>
      </c>
      <c r="J37" s="18">
        <v>2</v>
      </c>
      <c r="K37" s="72">
        <f>Model!K38</f>
        <v>0</v>
      </c>
    </row>
    <row r="38" spans="2:16" x14ac:dyDescent="0.2">
      <c r="B38"/>
      <c r="C38"/>
      <c r="D38"/>
      <c r="E38"/>
      <c r="F38"/>
      <c r="G38" s="23">
        <v>2</v>
      </c>
      <c r="H38" s="18">
        <v>3</v>
      </c>
      <c r="I38" s="29">
        <v>2</v>
      </c>
      <c r="J38" s="29">
        <v>1</v>
      </c>
      <c r="K38" s="72">
        <f>Model!K39</f>
        <v>0</v>
      </c>
    </row>
    <row r="39" spans="2:16" x14ac:dyDescent="0.2">
      <c r="B39"/>
      <c r="C39"/>
      <c r="D39"/>
      <c r="E39"/>
      <c r="F39"/>
      <c r="G39" s="23">
        <v>2</v>
      </c>
      <c r="H39" s="18">
        <v>3</v>
      </c>
      <c r="I39" s="18">
        <v>2</v>
      </c>
      <c r="J39" s="18">
        <v>2</v>
      </c>
      <c r="K39" s="72">
        <f>Model!K40</f>
        <v>0</v>
      </c>
    </row>
    <row r="40" spans="2:16" x14ac:dyDescent="0.2">
      <c r="B40"/>
      <c r="C40"/>
      <c r="D40"/>
      <c r="E40"/>
      <c r="F40"/>
      <c r="G40" s="23">
        <v>2</v>
      </c>
      <c r="H40" s="18">
        <v>3</v>
      </c>
      <c r="I40" s="29">
        <v>3</v>
      </c>
      <c r="J40" s="29">
        <v>1</v>
      </c>
      <c r="K40" s="72">
        <f>Model!K41</f>
        <v>0</v>
      </c>
    </row>
    <row r="41" spans="2:16" ht="13.5" thickBot="1" x14ac:dyDescent="0.25">
      <c r="B41"/>
      <c r="C41"/>
      <c r="D41"/>
      <c r="E41"/>
      <c r="F41"/>
      <c r="G41" s="23">
        <v>2</v>
      </c>
      <c r="H41" s="18">
        <v>3</v>
      </c>
      <c r="I41" s="18">
        <v>3</v>
      </c>
      <c r="J41" s="18">
        <v>2</v>
      </c>
      <c r="K41" s="114">
        <f>Model!K42</f>
        <v>0</v>
      </c>
    </row>
    <row r="42" spans="2:16" x14ac:dyDescent="0.2">
      <c r="B42"/>
      <c r="C42"/>
      <c r="D42"/>
      <c r="E42"/>
      <c r="F42"/>
      <c r="G42" s="31">
        <v>3</v>
      </c>
      <c r="H42" s="32">
        <v>1</v>
      </c>
      <c r="I42" s="32">
        <v>1</v>
      </c>
      <c r="J42" s="32">
        <v>1</v>
      </c>
      <c r="K42" s="73">
        <f>Model!K43</f>
        <v>2266</v>
      </c>
    </row>
    <row r="43" spans="2:16" x14ac:dyDescent="0.2">
      <c r="B43"/>
      <c r="C43"/>
      <c r="D43"/>
      <c r="E43"/>
      <c r="F43"/>
      <c r="G43" s="23">
        <v>3</v>
      </c>
      <c r="H43" s="18">
        <v>1</v>
      </c>
      <c r="I43" s="18">
        <v>1</v>
      </c>
      <c r="J43" s="18">
        <v>2</v>
      </c>
      <c r="K43" s="72">
        <f>Model!K44</f>
        <v>0</v>
      </c>
    </row>
    <row r="44" spans="2:16" x14ac:dyDescent="0.2">
      <c r="B44"/>
      <c r="C44"/>
      <c r="D44"/>
      <c r="E44"/>
      <c r="F44"/>
      <c r="G44" s="23">
        <v>3</v>
      </c>
      <c r="H44" s="18">
        <v>1</v>
      </c>
      <c r="I44" s="29">
        <v>2</v>
      </c>
      <c r="J44" s="29">
        <v>1</v>
      </c>
      <c r="K44" s="72">
        <f>Model!K45</f>
        <v>2533</v>
      </c>
    </row>
    <row r="45" spans="2:16" x14ac:dyDescent="0.2">
      <c r="B45"/>
      <c r="C45"/>
      <c r="D45"/>
      <c r="E45"/>
      <c r="F45"/>
      <c r="G45" s="23">
        <v>3</v>
      </c>
      <c r="H45" s="18">
        <v>1</v>
      </c>
      <c r="I45" s="18">
        <v>2</v>
      </c>
      <c r="J45" s="18">
        <v>2</v>
      </c>
      <c r="K45" s="72">
        <f>Model!K46</f>
        <v>0</v>
      </c>
    </row>
    <row r="46" spans="2:16" x14ac:dyDescent="0.2">
      <c r="B46"/>
      <c r="C46"/>
      <c r="D46"/>
      <c r="E46"/>
      <c r="F46"/>
      <c r="G46" s="23">
        <v>3</v>
      </c>
      <c r="H46" s="18">
        <v>1</v>
      </c>
      <c r="I46" s="29">
        <v>3</v>
      </c>
      <c r="J46" s="29">
        <v>1</v>
      </c>
      <c r="K46" s="72">
        <f>Model!K47</f>
        <v>2800</v>
      </c>
    </row>
    <row r="47" spans="2:16" x14ac:dyDescent="0.2">
      <c r="B47"/>
      <c r="C47"/>
      <c r="D47"/>
      <c r="E47"/>
      <c r="F47"/>
      <c r="G47" s="23">
        <v>3</v>
      </c>
      <c r="H47" s="18">
        <v>1</v>
      </c>
      <c r="I47" s="18">
        <v>3</v>
      </c>
      <c r="J47" s="18">
        <v>2</v>
      </c>
      <c r="K47" s="72">
        <f>Model!K48</f>
        <v>0</v>
      </c>
    </row>
    <row r="48" spans="2:16" x14ac:dyDescent="0.2">
      <c r="B48"/>
      <c r="C48"/>
      <c r="D48"/>
      <c r="E48"/>
      <c r="F48"/>
      <c r="G48" s="23">
        <v>3</v>
      </c>
      <c r="H48" s="29">
        <v>2</v>
      </c>
      <c r="I48" s="29">
        <v>1</v>
      </c>
      <c r="J48" s="29">
        <v>1</v>
      </c>
      <c r="K48" s="72">
        <f>Model!K49</f>
        <v>0</v>
      </c>
    </row>
    <row r="49" spans="2:11" x14ac:dyDescent="0.2">
      <c r="B49"/>
      <c r="C49"/>
      <c r="D49"/>
      <c r="E49"/>
      <c r="F49"/>
      <c r="G49" s="23">
        <v>3</v>
      </c>
      <c r="H49" s="18">
        <v>2</v>
      </c>
      <c r="I49" s="18">
        <v>1</v>
      </c>
      <c r="J49" s="18">
        <v>2</v>
      </c>
      <c r="K49" s="72">
        <f>Model!K50</f>
        <v>2400</v>
      </c>
    </row>
    <row r="50" spans="2:11" x14ac:dyDescent="0.2">
      <c r="B50"/>
      <c r="C50"/>
      <c r="D50"/>
      <c r="E50"/>
      <c r="F50"/>
      <c r="G50" s="23">
        <v>3</v>
      </c>
      <c r="H50" s="18">
        <v>2</v>
      </c>
      <c r="I50" s="29">
        <v>2</v>
      </c>
      <c r="J50" s="29">
        <v>1</v>
      </c>
      <c r="K50" s="72">
        <f>Model!K51</f>
        <v>0</v>
      </c>
    </row>
    <row r="51" spans="2:11" x14ac:dyDescent="0.2">
      <c r="B51"/>
      <c r="C51"/>
      <c r="D51"/>
      <c r="E51"/>
      <c r="F51"/>
      <c r="G51" s="23">
        <v>3</v>
      </c>
      <c r="H51" s="18">
        <v>2</v>
      </c>
      <c r="I51" s="18">
        <v>2</v>
      </c>
      <c r="J51" s="18">
        <v>2</v>
      </c>
      <c r="K51" s="72">
        <f>Model!K52</f>
        <v>2666</v>
      </c>
    </row>
    <row r="52" spans="2:11" x14ac:dyDescent="0.2">
      <c r="B52"/>
      <c r="C52"/>
      <c r="D52"/>
      <c r="E52"/>
      <c r="F52"/>
      <c r="G52" s="23">
        <v>3</v>
      </c>
      <c r="H52" s="18">
        <v>2</v>
      </c>
      <c r="I52" s="29">
        <v>3</v>
      </c>
      <c r="J52" s="29">
        <v>1</v>
      </c>
      <c r="K52" s="72">
        <f>Model!K53</f>
        <v>0</v>
      </c>
    </row>
    <row r="53" spans="2:11" x14ac:dyDescent="0.2">
      <c r="B53"/>
      <c r="C53"/>
      <c r="D53"/>
      <c r="E53"/>
      <c r="F53"/>
      <c r="G53" s="23">
        <v>3</v>
      </c>
      <c r="H53" s="18">
        <v>2</v>
      </c>
      <c r="I53" s="18">
        <v>3</v>
      </c>
      <c r="J53" s="18">
        <v>2</v>
      </c>
      <c r="K53" s="72">
        <f>Model!K54</f>
        <v>2933</v>
      </c>
    </row>
    <row r="54" spans="2:11" x14ac:dyDescent="0.2">
      <c r="B54"/>
      <c r="C54"/>
      <c r="D54"/>
      <c r="E54"/>
      <c r="F54"/>
      <c r="G54" s="23">
        <v>3</v>
      </c>
      <c r="H54" s="29">
        <v>3</v>
      </c>
      <c r="I54" s="29">
        <v>1</v>
      </c>
      <c r="J54" s="29">
        <v>1</v>
      </c>
      <c r="K54" s="72">
        <f>Model!K55</f>
        <v>0</v>
      </c>
    </row>
    <row r="55" spans="2:11" x14ac:dyDescent="0.2">
      <c r="B55"/>
      <c r="C55"/>
      <c r="D55"/>
      <c r="E55"/>
      <c r="F55"/>
      <c r="G55" s="23">
        <v>3</v>
      </c>
      <c r="H55" s="18">
        <v>3</v>
      </c>
      <c r="I55" s="18">
        <v>1</v>
      </c>
      <c r="J55" s="18">
        <v>2</v>
      </c>
      <c r="K55" s="72">
        <f>Model!K56</f>
        <v>0</v>
      </c>
    </row>
    <row r="56" spans="2:11" x14ac:dyDescent="0.2">
      <c r="B56"/>
      <c r="C56"/>
      <c r="D56"/>
      <c r="E56"/>
      <c r="F56"/>
      <c r="G56" s="23">
        <v>3</v>
      </c>
      <c r="H56" s="18">
        <v>3</v>
      </c>
      <c r="I56" s="29">
        <v>2</v>
      </c>
      <c r="J56" s="29">
        <v>1</v>
      </c>
      <c r="K56" s="72">
        <f>Model!K57</f>
        <v>0</v>
      </c>
    </row>
    <row r="57" spans="2:11" x14ac:dyDescent="0.2">
      <c r="B57"/>
      <c r="C57"/>
      <c r="D57"/>
      <c r="E57"/>
      <c r="F57"/>
      <c r="G57" s="23">
        <v>3</v>
      </c>
      <c r="H57" s="18">
        <v>3</v>
      </c>
      <c r="I57" s="18">
        <v>2</v>
      </c>
      <c r="J57" s="18">
        <v>2</v>
      </c>
      <c r="K57" s="72">
        <f>Model!K58</f>
        <v>0</v>
      </c>
    </row>
    <row r="58" spans="2:11" x14ac:dyDescent="0.2">
      <c r="B58"/>
      <c r="C58"/>
      <c r="D58"/>
      <c r="E58"/>
      <c r="F58"/>
      <c r="G58" s="23">
        <v>3</v>
      </c>
      <c r="H58" s="18">
        <v>3</v>
      </c>
      <c r="I58" s="29">
        <v>3</v>
      </c>
      <c r="J58" s="29">
        <v>1</v>
      </c>
      <c r="K58" s="72">
        <f>Model!K59</f>
        <v>0</v>
      </c>
    </row>
    <row r="59" spans="2:11" x14ac:dyDescent="0.2">
      <c r="B59"/>
      <c r="C59"/>
      <c r="D59"/>
      <c r="E59"/>
      <c r="F59"/>
      <c r="G59" s="23">
        <v>3</v>
      </c>
      <c r="H59" s="18">
        <v>3</v>
      </c>
      <c r="I59" s="18">
        <v>3</v>
      </c>
      <c r="J59" s="18">
        <v>2</v>
      </c>
      <c r="K59" s="72">
        <f>Model!K60</f>
        <v>0</v>
      </c>
    </row>
    <row r="60" spans="2:11" x14ac:dyDescent="0.2">
      <c r="B60"/>
      <c r="C60"/>
      <c r="D60"/>
      <c r="E60"/>
      <c r="F60"/>
    </row>
    <row r="61" spans="2:11" x14ac:dyDescent="0.2">
      <c r="B61"/>
      <c r="C61"/>
      <c r="D61"/>
      <c r="E61"/>
      <c r="F61"/>
    </row>
    <row r="62" spans="2:11" x14ac:dyDescent="0.2">
      <c r="B62"/>
      <c r="C62"/>
      <c r="D62"/>
      <c r="E62"/>
      <c r="F62"/>
    </row>
    <row r="63" spans="2:11" x14ac:dyDescent="0.2">
      <c r="B63"/>
      <c r="C63"/>
      <c r="D63"/>
      <c r="E63"/>
      <c r="F63"/>
    </row>
    <row r="64" spans="2:11" x14ac:dyDescent="0.2">
      <c r="B64"/>
      <c r="C64"/>
      <c r="D64"/>
      <c r="E64"/>
      <c r="F64"/>
    </row>
    <row r="65" spans="2:6" x14ac:dyDescent="0.2">
      <c r="B65"/>
      <c r="C65"/>
      <c r="D65"/>
      <c r="E65"/>
      <c r="F65"/>
    </row>
    <row r="66" spans="2:6" x14ac:dyDescent="0.2">
      <c r="B66"/>
      <c r="C66"/>
      <c r="D66"/>
      <c r="E66"/>
      <c r="F66"/>
    </row>
    <row r="67" spans="2:6" x14ac:dyDescent="0.2">
      <c r="B67"/>
      <c r="C67"/>
      <c r="D67"/>
      <c r="E67"/>
      <c r="F67"/>
    </row>
    <row r="68" spans="2:6" x14ac:dyDescent="0.2">
      <c r="B68"/>
      <c r="C68"/>
      <c r="D68"/>
      <c r="E68"/>
      <c r="F68"/>
    </row>
    <row r="69" spans="2:6" x14ac:dyDescent="0.2">
      <c r="B69"/>
      <c r="C69"/>
      <c r="D69"/>
      <c r="E69"/>
      <c r="F69"/>
    </row>
    <row r="70" spans="2:6" x14ac:dyDescent="0.2">
      <c r="B70"/>
      <c r="C70"/>
      <c r="D70"/>
      <c r="E70"/>
      <c r="F70"/>
    </row>
    <row r="71" spans="2:6" x14ac:dyDescent="0.2">
      <c r="B71"/>
      <c r="C71"/>
      <c r="D71"/>
      <c r="E71"/>
      <c r="F71"/>
    </row>
    <row r="72" spans="2:6" x14ac:dyDescent="0.2">
      <c r="B72"/>
      <c r="C72"/>
      <c r="D72"/>
      <c r="E72"/>
      <c r="F72"/>
    </row>
    <row r="73" spans="2:6" x14ac:dyDescent="0.2">
      <c r="B73"/>
      <c r="C73"/>
      <c r="D73"/>
      <c r="E73"/>
      <c r="F73"/>
    </row>
    <row r="74" spans="2:6" x14ac:dyDescent="0.2">
      <c r="B74"/>
      <c r="C74"/>
      <c r="D74"/>
      <c r="E74"/>
      <c r="F74"/>
    </row>
    <row r="75" spans="2:6" x14ac:dyDescent="0.2">
      <c r="B75"/>
      <c r="C75"/>
      <c r="D75"/>
      <c r="E75"/>
      <c r="F75"/>
    </row>
    <row r="76" spans="2:6" x14ac:dyDescent="0.2">
      <c r="B76"/>
      <c r="C76"/>
      <c r="D76"/>
      <c r="E76"/>
      <c r="F76"/>
    </row>
    <row r="77" spans="2:6" x14ac:dyDescent="0.2">
      <c r="B77"/>
      <c r="C77"/>
      <c r="D77"/>
      <c r="E77"/>
      <c r="F77"/>
    </row>
    <row r="78" spans="2:6" x14ac:dyDescent="0.2">
      <c r="B78"/>
      <c r="C78"/>
      <c r="D78"/>
      <c r="E78"/>
      <c r="F78"/>
    </row>
    <row r="79" spans="2:6" x14ac:dyDescent="0.2">
      <c r="B79"/>
      <c r="C79"/>
      <c r="D79"/>
      <c r="E79"/>
      <c r="F79"/>
    </row>
    <row r="80" spans="2:6" x14ac:dyDescent="0.2">
      <c r="B80"/>
      <c r="C80"/>
      <c r="D80"/>
      <c r="E80"/>
      <c r="F80"/>
    </row>
    <row r="81" spans="2:6" x14ac:dyDescent="0.2">
      <c r="B81"/>
      <c r="C81"/>
      <c r="D81"/>
      <c r="E81"/>
      <c r="F81"/>
    </row>
    <row r="82" spans="2:6" x14ac:dyDescent="0.2">
      <c r="B82"/>
      <c r="C82"/>
      <c r="D82"/>
      <c r="E82"/>
      <c r="F82"/>
    </row>
    <row r="83" spans="2:6" x14ac:dyDescent="0.2">
      <c r="B83"/>
      <c r="C83"/>
      <c r="D83"/>
      <c r="E83"/>
      <c r="F83"/>
    </row>
    <row r="84" spans="2:6" x14ac:dyDescent="0.2">
      <c r="B84"/>
      <c r="C84"/>
      <c r="D84"/>
      <c r="E84"/>
      <c r="F84"/>
    </row>
    <row r="85" spans="2:6" x14ac:dyDescent="0.2">
      <c r="B85"/>
      <c r="C85"/>
      <c r="D85"/>
      <c r="E85"/>
      <c r="F85"/>
    </row>
    <row r="86" spans="2:6" x14ac:dyDescent="0.2">
      <c r="B86"/>
      <c r="C86"/>
      <c r="D86"/>
      <c r="E86"/>
      <c r="F86"/>
    </row>
    <row r="87" spans="2:6" x14ac:dyDescent="0.2">
      <c r="B87"/>
      <c r="C87"/>
      <c r="D87"/>
      <c r="E87"/>
      <c r="F87"/>
    </row>
    <row r="88" spans="2:6" x14ac:dyDescent="0.2">
      <c r="B88"/>
      <c r="C88"/>
      <c r="D88"/>
      <c r="E88"/>
      <c r="F88"/>
    </row>
    <row r="89" spans="2:6" x14ac:dyDescent="0.2">
      <c r="B89"/>
      <c r="C89"/>
      <c r="D89"/>
      <c r="E89"/>
      <c r="F89"/>
    </row>
    <row r="90" spans="2:6" x14ac:dyDescent="0.2">
      <c r="F90"/>
    </row>
    <row r="91" spans="2:6" x14ac:dyDescent="0.2">
      <c r="F91"/>
    </row>
    <row r="92" spans="2:6" x14ac:dyDescent="0.2">
      <c r="F92"/>
    </row>
    <row r="93" spans="2:6" x14ac:dyDescent="0.2">
      <c r="F93"/>
    </row>
    <row r="94" spans="2:6" x14ac:dyDescent="0.2">
      <c r="F94"/>
    </row>
    <row r="95" spans="2:6" x14ac:dyDescent="0.2">
      <c r="F95"/>
    </row>
    <row r="96" spans="2:6" x14ac:dyDescent="0.2">
      <c r="F96"/>
    </row>
    <row r="97" spans="6:6" x14ac:dyDescent="0.2">
      <c r="F97"/>
    </row>
    <row r="98" spans="6:6" x14ac:dyDescent="0.2">
      <c r="F98"/>
    </row>
    <row r="99" spans="6:6" x14ac:dyDescent="0.2">
      <c r="F99"/>
    </row>
    <row r="100" spans="6:6" x14ac:dyDescent="0.2">
      <c r="F100"/>
    </row>
    <row r="101" spans="6:6" x14ac:dyDescent="0.2">
      <c r="F101"/>
    </row>
    <row r="102" spans="6:6" x14ac:dyDescent="0.2">
      <c r="F102"/>
    </row>
    <row r="103" spans="6:6" x14ac:dyDescent="0.2">
      <c r="F103"/>
    </row>
    <row r="104" spans="6:6" x14ac:dyDescent="0.2">
      <c r="F104"/>
    </row>
    <row r="105" spans="6:6" x14ac:dyDescent="0.2">
      <c r="F105"/>
    </row>
  </sheetData>
  <mergeCells count="1">
    <mergeCell ref="G3:H3"/>
  </mergeCells>
  <phoneticPr fontId="2" type="noConversion"/>
  <hyperlinks>
    <hyperlink ref="G3" location="Network!A1" display="Return to Network"/>
  </hyperlinks>
  <pageMargins left="0.75" right="0.75" top="1" bottom="1" header="0.5" footer="0.5"/>
  <pageSetup orientation="portrait" verticalDpi="0" r:id="rId1"/>
  <headerFooter alignWithMargins="0"/>
  <drawing r:id="rId2"/>
  <picture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F22"/>
  <sheetViews>
    <sheetView showGridLines="0" showRowColHeaders="0" workbookViewId="0">
      <selection activeCell="P29" sqref="P29"/>
    </sheetView>
  </sheetViews>
  <sheetFormatPr defaultRowHeight="12.75" x14ac:dyDescent="0.2"/>
  <cols>
    <col min="1" max="1" width="3.7109375" customWidth="1"/>
    <col min="2" max="2" width="18.85546875" bestFit="1" customWidth="1"/>
    <col min="3" max="3" width="10.140625" customWidth="1"/>
    <col min="4" max="4" width="9.42578125" customWidth="1"/>
    <col min="5" max="5" width="9.42578125" bestFit="1" customWidth="1"/>
    <col min="6" max="6" width="11.7109375" customWidth="1"/>
  </cols>
  <sheetData>
    <row r="4" spans="2:6" x14ac:dyDescent="0.2">
      <c r="B4" s="85" t="s">
        <v>21</v>
      </c>
      <c r="C4" s="85"/>
      <c r="D4" s="85" t="s">
        <v>2</v>
      </c>
      <c r="E4" s="85"/>
      <c r="F4" s="85"/>
    </row>
    <row r="5" spans="2:6" x14ac:dyDescent="0.2">
      <c r="B5" s="88" t="s">
        <v>1</v>
      </c>
      <c r="C5" s="88" t="s">
        <v>3</v>
      </c>
      <c r="D5" s="101">
        <v>1</v>
      </c>
      <c r="E5" s="102">
        <v>2</v>
      </c>
      <c r="F5" s="100" t="s">
        <v>53</v>
      </c>
    </row>
    <row r="6" spans="2:6" ht="15.75" thickBot="1" x14ac:dyDescent="0.3">
      <c r="B6" s="89">
        <v>1</v>
      </c>
      <c r="C6" s="112">
        <v>1</v>
      </c>
      <c r="D6" s="103">
        <v>0</v>
      </c>
      <c r="E6" s="104">
        <v>1999.9999999995666</v>
      </c>
      <c r="F6" s="105">
        <v>1999.9999999995666</v>
      </c>
    </row>
    <row r="7" spans="2:6" ht="13.5" thickTop="1" x14ac:dyDescent="0.2">
      <c r="B7" s="84"/>
      <c r="C7" s="113">
        <v>2</v>
      </c>
      <c r="D7" s="106">
        <v>3999</v>
      </c>
      <c r="E7" s="107">
        <v>4000</v>
      </c>
      <c r="F7" s="108">
        <v>7999</v>
      </c>
    </row>
    <row r="8" spans="2:6" x14ac:dyDescent="0.2">
      <c r="B8" s="84"/>
      <c r="C8" s="113">
        <v>3</v>
      </c>
      <c r="D8" s="106">
        <v>0</v>
      </c>
      <c r="E8" s="107">
        <v>0</v>
      </c>
      <c r="F8" s="108">
        <v>0</v>
      </c>
    </row>
    <row r="9" spans="2:6" ht="15.75" thickBot="1" x14ac:dyDescent="0.3">
      <c r="B9" s="90" t="s">
        <v>54</v>
      </c>
      <c r="C9" s="91"/>
      <c r="D9" s="96">
        <v>3999</v>
      </c>
      <c r="E9" s="96">
        <v>5999.9999999995671</v>
      </c>
      <c r="F9" s="97">
        <v>9998.9999999995671</v>
      </c>
    </row>
    <row r="10" spans="2:6" ht="13.5" thickTop="1" x14ac:dyDescent="0.2">
      <c r="B10" s="82"/>
      <c r="C10" s="83"/>
      <c r="D10" s="93"/>
      <c r="E10" s="94"/>
      <c r="F10" s="95"/>
    </row>
    <row r="11" spans="2:6" ht="15.75" thickBot="1" x14ac:dyDescent="0.3">
      <c r="B11" s="89">
        <v>2</v>
      </c>
      <c r="C11" s="112">
        <v>1</v>
      </c>
      <c r="D11" s="103">
        <v>1999.9999999985</v>
      </c>
      <c r="E11" s="104">
        <v>0</v>
      </c>
      <c r="F11" s="105">
        <v>1999.9999999985</v>
      </c>
    </row>
    <row r="12" spans="2:6" ht="13.5" thickTop="1" x14ac:dyDescent="0.2">
      <c r="B12" s="84"/>
      <c r="C12" s="113">
        <v>2</v>
      </c>
      <c r="D12" s="106">
        <v>2665.9999999992224</v>
      </c>
      <c r="E12" s="107">
        <v>4000</v>
      </c>
      <c r="F12" s="108">
        <v>6665.9999999992224</v>
      </c>
    </row>
    <row r="13" spans="2:6" x14ac:dyDescent="0.2">
      <c r="B13" s="84"/>
      <c r="C13" s="113">
        <v>3</v>
      </c>
      <c r="D13" s="106">
        <v>0</v>
      </c>
      <c r="E13" s="107">
        <v>2132.9999568854046</v>
      </c>
      <c r="F13" s="108">
        <v>2132.9999568854046</v>
      </c>
    </row>
    <row r="14" spans="2:6" ht="15.75" thickBot="1" x14ac:dyDescent="0.3">
      <c r="B14" s="90" t="s">
        <v>55</v>
      </c>
      <c r="C14" s="91"/>
      <c r="D14" s="96">
        <v>4665.9999999977226</v>
      </c>
      <c r="E14" s="96">
        <v>6132.9999568854046</v>
      </c>
      <c r="F14" s="97">
        <v>10798.999956883126</v>
      </c>
    </row>
    <row r="15" spans="2:6" ht="13.5" thickTop="1" x14ac:dyDescent="0.2">
      <c r="B15" s="82"/>
      <c r="C15" s="83"/>
      <c r="D15" s="93"/>
      <c r="E15" s="94"/>
      <c r="F15" s="95"/>
    </row>
    <row r="16" spans="2:6" ht="15.75" thickBot="1" x14ac:dyDescent="0.3">
      <c r="B16" s="89">
        <v>3</v>
      </c>
      <c r="C16" s="112">
        <v>1</v>
      </c>
      <c r="D16" s="103">
        <v>0</v>
      </c>
      <c r="E16" s="104">
        <v>9.0940375230275095E-9</v>
      </c>
      <c r="F16" s="105">
        <v>9.0940375230275095E-9</v>
      </c>
    </row>
    <row r="17" spans="2:6" ht="13.5" thickTop="1" x14ac:dyDescent="0.2">
      <c r="B17" s="84"/>
      <c r="C17" s="113">
        <v>2</v>
      </c>
      <c r="D17" s="106">
        <v>3334.9998415962455</v>
      </c>
      <c r="E17" s="107">
        <v>2000</v>
      </c>
      <c r="F17" s="108">
        <v>5334.9998415962455</v>
      </c>
    </row>
    <row r="18" spans="2:6" x14ac:dyDescent="0.2">
      <c r="B18" s="84"/>
      <c r="C18" s="113">
        <v>3</v>
      </c>
      <c r="D18" s="106">
        <v>4264.0000048082911</v>
      </c>
      <c r="E18" s="107">
        <v>5998.9998332686382</v>
      </c>
      <c r="F18" s="108">
        <v>10262.999838076928</v>
      </c>
    </row>
    <row r="19" spans="2:6" ht="15.75" thickBot="1" x14ac:dyDescent="0.3">
      <c r="B19" s="90" t="s">
        <v>56</v>
      </c>
      <c r="C19" s="91"/>
      <c r="D19" s="96">
        <v>7598.9998464045366</v>
      </c>
      <c r="E19" s="96">
        <v>7998.9998332777323</v>
      </c>
      <c r="F19" s="97">
        <v>15597.999679682267</v>
      </c>
    </row>
    <row r="20" spans="2:6" ht="13.5" thickTop="1" x14ac:dyDescent="0.2">
      <c r="B20" s="82"/>
      <c r="C20" s="83"/>
      <c r="D20" s="93"/>
      <c r="E20" s="94"/>
      <c r="F20" s="95"/>
    </row>
    <row r="21" spans="2:6" ht="13.5" thickBot="1" x14ac:dyDescent="0.25">
      <c r="B21" s="87" t="s">
        <v>53</v>
      </c>
      <c r="C21" s="86"/>
      <c r="D21" s="98">
        <v>16263.999846402259</v>
      </c>
      <c r="E21" s="98">
        <v>20131.999790162703</v>
      </c>
      <c r="F21" s="99">
        <v>36395.999636564957</v>
      </c>
    </row>
    <row r="22" spans="2:6" ht="13.5" thickTop="1" x14ac:dyDescent="0.2"/>
  </sheetData>
  <phoneticPr fontId="2" type="noConversion"/>
  <pageMargins left="0.75" right="0.75" top="1" bottom="1" header="0.5" footer="0.5"/>
  <headerFooter alignWithMargins="0"/>
  <drawing r:id="rId2"/>
  <picture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4:G49"/>
  <sheetViews>
    <sheetView showGridLines="0" showRowColHeaders="0" workbookViewId="0">
      <selection activeCell="M32" sqref="M32"/>
    </sheetView>
  </sheetViews>
  <sheetFormatPr defaultRowHeight="12.75" x14ac:dyDescent="0.2"/>
  <cols>
    <col min="1" max="1" width="4.7109375" customWidth="1"/>
    <col min="2" max="2" width="15.28515625" bestFit="1" customWidth="1"/>
    <col min="3" max="3" width="10.140625" bestFit="1" customWidth="1"/>
    <col min="4" max="4" width="12" bestFit="1" customWidth="1"/>
    <col min="5" max="7" width="13.7109375" bestFit="1" customWidth="1"/>
  </cols>
  <sheetData>
    <row r="4" spans="2:7" x14ac:dyDescent="0.2">
      <c r="B4" s="85" t="s">
        <v>22</v>
      </c>
      <c r="C4" s="85"/>
      <c r="D4" s="85"/>
      <c r="E4" s="85" t="s">
        <v>2</v>
      </c>
      <c r="F4" s="85"/>
      <c r="G4" s="85"/>
    </row>
    <row r="5" spans="2:7" x14ac:dyDescent="0.2">
      <c r="B5" s="88" t="s">
        <v>1</v>
      </c>
      <c r="C5" s="88" t="s">
        <v>3</v>
      </c>
      <c r="D5" s="88" t="s">
        <v>0</v>
      </c>
      <c r="E5" s="132">
        <v>1</v>
      </c>
      <c r="F5" s="133">
        <v>2</v>
      </c>
      <c r="G5" s="134" t="s">
        <v>53</v>
      </c>
    </row>
    <row r="6" spans="2:7" ht="15.75" thickBot="1" x14ac:dyDescent="0.3">
      <c r="B6" s="122">
        <v>1</v>
      </c>
      <c r="C6" s="123">
        <v>1</v>
      </c>
      <c r="D6" s="109">
        <v>1</v>
      </c>
      <c r="E6" s="135">
        <v>0</v>
      </c>
      <c r="F6" s="136">
        <v>1999.9999999995666</v>
      </c>
      <c r="G6" s="137">
        <v>1999.9999999995666</v>
      </c>
    </row>
    <row r="7" spans="2:7" ht="13.5" thickTop="1" x14ac:dyDescent="0.2">
      <c r="B7" s="124"/>
      <c r="C7" s="124"/>
      <c r="D7" s="110">
        <v>2</v>
      </c>
      <c r="E7" s="138">
        <v>0</v>
      </c>
      <c r="F7" s="139">
        <v>0</v>
      </c>
      <c r="G7" s="140">
        <v>0</v>
      </c>
    </row>
    <row r="8" spans="2:7" x14ac:dyDescent="0.2">
      <c r="B8" s="124"/>
      <c r="C8" s="124"/>
      <c r="D8" s="110">
        <v>3</v>
      </c>
      <c r="E8" s="138">
        <v>0</v>
      </c>
      <c r="F8" s="139">
        <v>0</v>
      </c>
      <c r="G8" s="140">
        <v>0</v>
      </c>
    </row>
    <row r="9" spans="2:7" x14ac:dyDescent="0.2">
      <c r="B9" s="124"/>
      <c r="C9" s="125" t="s">
        <v>54</v>
      </c>
      <c r="D9" s="126"/>
      <c r="E9" s="141">
        <v>0</v>
      </c>
      <c r="F9" s="142">
        <v>1999.9999999995666</v>
      </c>
      <c r="G9" s="143">
        <v>1999.9999999995666</v>
      </c>
    </row>
    <row r="10" spans="2:7" x14ac:dyDescent="0.2">
      <c r="B10" s="124"/>
      <c r="C10" s="123">
        <v>2</v>
      </c>
      <c r="D10" s="109">
        <v>1</v>
      </c>
      <c r="E10" s="135">
        <v>1333</v>
      </c>
      <c r="F10" s="136">
        <v>0</v>
      </c>
      <c r="G10" s="137">
        <v>1333</v>
      </c>
    </row>
    <row r="11" spans="2:7" x14ac:dyDescent="0.2">
      <c r="B11" s="124"/>
      <c r="C11" s="124"/>
      <c r="D11" s="110">
        <v>2</v>
      </c>
      <c r="E11" s="138">
        <v>1333</v>
      </c>
      <c r="F11" s="139">
        <v>2000</v>
      </c>
      <c r="G11" s="140">
        <v>3333</v>
      </c>
    </row>
    <row r="12" spans="2:7" x14ac:dyDescent="0.2">
      <c r="B12" s="124"/>
      <c r="C12" s="124"/>
      <c r="D12" s="110">
        <v>3</v>
      </c>
      <c r="E12" s="138">
        <v>1333</v>
      </c>
      <c r="F12" s="139">
        <v>2000</v>
      </c>
      <c r="G12" s="140">
        <v>3333</v>
      </c>
    </row>
    <row r="13" spans="2:7" x14ac:dyDescent="0.2">
      <c r="B13" s="124"/>
      <c r="C13" s="125" t="s">
        <v>55</v>
      </c>
      <c r="D13" s="126"/>
      <c r="E13" s="141">
        <v>3999</v>
      </c>
      <c r="F13" s="142">
        <v>4000</v>
      </c>
      <c r="G13" s="143">
        <v>7999</v>
      </c>
    </row>
    <row r="14" spans="2:7" x14ac:dyDescent="0.2">
      <c r="B14" s="124"/>
      <c r="C14" s="123">
        <v>3</v>
      </c>
      <c r="D14" s="109">
        <v>1</v>
      </c>
      <c r="E14" s="135">
        <v>0</v>
      </c>
      <c r="F14" s="136">
        <v>0</v>
      </c>
      <c r="G14" s="137">
        <v>0</v>
      </c>
    </row>
    <row r="15" spans="2:7" x14ac:dyDescent="0.2">
      <c r="B15" s="124"/>
      <c r="C15" s="124"/>
      <c r="D15" s="110">
        <v>2</v>
      </c>
      <c r="E15" s="138">
        <v>0</v>
      </c>
      <c r="F15" s="139">
        <v>0</v>
      </c>
      <c r="G15" s="140">
        <v>0</v>
      </c>
    </row>
    <row r="16" spans="2:7" x14ac:dyDescent="0.2">
      <c r="B16" s="124"/>
      <c r="C16" s="124"/>
      <c r="D16" s="110">
        <v>3</v>
      </c>
      <c r="E16" s="138">
        <v>0</v>
      </c>
      <c r="F16" s="139">
        <v>0</v>
      </c>
      <c r="G16" s="140">
        <v>0</v>
      </c>
    </row>
    <row r="17" spans="2:7" x14ac:dyDescent="0.2">
      <c r="B17" s="124"/>
      <c r="C17" s="125" t="s">
        <v>56</v>
      </c>
      <c r="D17" s="126"/>
      <c r="E17" s="141">
        <v>0</v>
      </c>
      <c r="F17" s="142">
        <v>0</v>
      </c>
      <c r="G17" s="143">
        <v>0</v>
      </c>
    </row>
    <row r="18" spans="2:7" ht="15.75" thickBot="1" x14ac:dyDescent="0.3">
      <c r="B18" s="127" t="s">
        <v>54</v>
      </c>
      <c r="C18" s="128"/>
      <c r="D18" s="128"/>
      <c r="E18" s="144">
        <v>3999</v>
      </c>
      <c r="F18" s="144">
        <v>5999.9999999995671</v>
      </c>
      <c r="G18" s="145">
        <v>9998.9999999995671</v>
      </c>
    </row>
    <row r="19" spans="2:7" ht="13.5" thickTop="1" x14ac:dyDescent="0.2">
      <c r="B19" s="123"/>
      <c r="C19" s="129"/>
      <c r="D19" s="129"/>
      <c r="E19" s="146"/>
      <c r="F19" s="147"/>
      <c r="G19" s="148"/>
    </row>
    <row r="20" spans="2:7" ht="15.75" thickBot="1" x14ac:dyDescent="0.3">
      <c r="B20" s="122">
        <v>2</v>
      </c>
      <c r="C20" s="123">
        <v>1</v>
      </c>
      <c r="D20" s="109">
        <v>1</v>
      </c>
      <c r="E20" s="135">
        <v>0</v>
      </c>
      <c r="F20" s="136">
        <v>0</v>
      </c>
      <c r="G20" s="137">
        <v>0</v>
      </c>
    </row>
    <row r="21" spans="2:7" ht="13.5" thickTop="1" x14ac:dyDescent="0.2">
      <c r="B21" s="124"/>
      <c r="C21" s="124"/>
      <c r="D21" s="110">
        <v>2</v>
      </c>
      <c r="E21" s="138">
        <v>0</v>
      </c>
      <c r="F21" s="139">
        <v>0</v>
      </c>
      <c r="G21" s="140">
        <v>0</v>
      </c>
    </row>
    <row r="22" spans="2:7" x14ac:dyDescent="0.2">
      <c r="B22" s="124"/>
      <c r="C22" s="124"/>
      <c r="D22" s="110">
        <v>3</v>
      </c>
      <c r="E22" s="138">
        <v>2000</v>
      </c>
      <c r="F22" s="139">
        <v>0</v>
      </c>
      <c r="G22" s="140">
        <v>2000</v>
      </c>
    </row>
    <row r="23" spans="2:7" x14ac:dyDescent="0.2">
      <c r="B23" s="124"/>
      <c r="C23" s="125" t="s">
        <v>54</v>
      </c>
      <c r="D23" s="126"/>
      <c r="E23" s="141">
        <v>2000</v>
      </c>
      <c r="F23" s="142">
        <v>0</v>
      </c>
      <c r="G23" s="143">
        <v>2000</v>
      </c>
    </row>
    <row r="24" spans="2:7" x14ac:dyDescent="0.2">
      <c r="B24" s="124"/>
      <c r="C24" s="123">
        <v>2</v>
      </c>
      <c r="D24" s="109">
        <v>1</v>
      </c>
      <c r="E24" s="135">
        <v>1333</v>
      </c>
      <c r="F24" s="136">
        <v>2000</v>
      </c>
      <c r="G24" s="137">
        <v>3333</v>
      </c>
    </row>
    <row r="25" spans="2:7" x14ac:dyDescent="0.2">
      <c r="B25" s="124"/>
      <c r="C25" s="124"/>
      <c r="D25" s="110">
        <v>2</v>
      </c>
      <c r="E25" s="138">
        <v>1332.999999999322</v>
      </c>
      <c r="F25" s="139">
        <v>2000</v>
      </c>
      <c r="G25" s="140">
        <v>3332.999999999322</v>
      </c>
    </row>
    <row r="26" spans="2:7" x14ac:dyDescent="0.2">
      <c r="B26" s="124"/>
      <c r="C26" s="124"/>
      <c r="D26" s="110">
        <v>3</v>
      </c>
      <c r="E26" s="138">
        <v>0</v>
      </c>
      <c r="F26" s="139">
        <v>0</v>
      </c>
      <c r="G26" s="140">
        <v>0</v>
      </c>
    </row>
    <row r="27" spans="2:7" x14ac:dyDescent="0.2">
      <c r="B27" s="124"/>
      <c r="C27" s="125" t="s">
        <v>55</v>
      </c>
      <c r="D27" s="126"/>
      <c r="E27" s="141">
        <v>2665.999999999322</v>
      </c>
      <c r="F27" s="142">
        <v>4000</v>
      </c>
      <c r="G27" s="143">
        <v>6665.9999999993215</v>
      </c>
    </row>
    <row r="28" spans="2:7" x14ac:dyDescent="0.2">
      <c r="B28" s="124"/>
      <c r="C28" s="123">
        <v>3</v>
      </c>
      <c r="D28" s="109">
        <v>1</v>
      </c>
      <c r="E28" s="135">
        <v>0</v>
      </c>
      <c r="F28" s="136">
        <v>0</v>
      </c>
      <c r="G28" s="137">
        <v>0</v>
      </c>
    </row>
    <row r="29" spans="2:7" x14ac:dyDescent="0.2">
      <c r="B29" s="124"/>
      <c r="C29" s="124"/>
      <c r="D29" s="110">
        <v>2</v>
      </c>
      <c r="E29" s="138">
        <v>0</v>
      </c>
      <c r="F29" s="139">
        <v>0</v>
      </c>
      <c r="G29" s="140">
        <v>0</v>
      </c>
    </row>
    <row r="30" spans="2:7" x14ac:dyDescent="0.2">
      <c r="B30" s="124"/>
      <c r="C30" s="124"/>
      <c r="D30" s="110">
        <v>3</v>
      </c>
      <c r="E30" s="138">
        <v>0</v>
      </c>
      <c r="F30" s="139">
        <v>2132.9999568854046</v>
      </c>
      <c r="G30" s="140">
        <v>2132.9999568854046</v>
      </c>
    </row>
    <row r="31" spans="2:7" x14ac:dyDescent="0.2">
      <c r="B31" s="124"/>
      <c r="C31" s="125" t="s">
        <v>56</v>
      </c>
      <c r="D31" s="126"/>
      <c r="E31" s="141">
        <v>0</v>
      </c>
      <c r="F31" s="142">
        <v>2132.9999568854046</v>
      </c>
      <c r="G31" s="143">
        <v>2132.9999568854046</v>
      </c>
    </row>
    <row r="32" spans="2:7" ht="15.75" thickBot="1" x14ac:dyDescent="0.3">
      <c r="B32" s="127" t="s">
        <v>55</v>
      </c>
      <c r="C32" s="128"/>
      <c r="D32" s="128"/>
      <c r="E32" s="144">
        <v>4665.9999999993215</v>
      </c>
      <c r="F32" s="144">
        <v>6132.9999568854046</v>
      </c>
      <c r="G32" s="145">
        <v>10798.999956884727</v>
      </c>
    </row>
    <row r="33" spans="2:7" ht="13.5" thickTop="1" x14ac:dyDescent="0.2">
      <c r="B33" s="123"/>
      <c r="C33" s="129"/>
      <c r="D33" s="129"/>
      <c r="E33" s="146"/>
      <c r="F33" s="147"/>
      <c r="G33" s="148"/>
    </row>
    <row r="34" spans="2:7" ht="15.75" thickBot="1" x14ac:dyDescent="0.3">
      <c r="B34" s="122">
        <v>3</v>
      </c>
      <c r="C34" s="123">
        <v>1</v>
      </c>
      <c r="D34" s="109">
        <v>1</v>
      </c>
      <c r="E34" s="135">
        <v>0</v>
      </c>
      <c r="F34" s="136">
        <v>0</v>
      </c>
      <c r="G34" s="137">
        <v>0</v>
      </c>
    </row>
    <row r="35" spans="2:7" ht="13.5" thickTop="1" x14ac:dyDescent="0.2">
      <c r="B35" s="124"/>
      <c r="C35" s="124"/>
      <c r="D35" s="110">
        <v>2</v>
      </c>
      <c r="E35" s="138">
        <v>0</v>
      </c>
      <c r="F35" s="139">
        <v>0</v>
      </c>
      <c r="G35" s="140">
        <v>0</v>
      </c>
    </row>
    <row r="36" spans="2:7" x14ac:dyDescent="0.2">
      <c r="B36" s="124"/>
      <c r="C36" s="124"/>
      <c r="D36" s="110">
        <v>3</v>
      </c>
      <c r="E36" s="138">
        <v>0</v>
      </c>
      <c r="F36" s="139">
        <v>0</v>
      </c>
      <c r="G36" s="140">
        <v>0</v>
      </c>
    </row>
    <row r="37" spans="2:7" x14ac:dyDescent="0.2">
      <c r="B37" s="124"/>
      <c r="C37" s="125" t="s">
        <v>54</v>
      </c>
      <c r="D37" s="126"/>
      <c r="E37" s="141">
        <v>0</v>
      </c>
      <c r="F37" s="142">
        <v>0</v>
      </c>
      <c r="G37" s="143">
        <v>0</v>
      </c>
    </row>
    <row r="38" spans="2:7" x14ac:dyDescent="0.2">
      <c r="B38" s="124"/>
      <c r="C38" s="123">
        <v>2</v>
      </c>
      <c r="D38" s="109">
        <v>1</v>
      </c>
      <c r="E38" s="135">
        <v>0</v>
      </c>
      <c r="F38" s="136">
        <v>0</v>
      </c>
      <c r="G38" s="137">
        <v>0</v>
      </c>
    </row>
    <row r="39" spans="2:7" x14ac:dyDescent="0.2">
      <c r="B39" s="124"/>
      <c r="C39" s="124"/>
      <c r="D39" s="110">
        <v>2</v>
      </c>
      <c r="E39" s="138">
        <v>534.99989818955191</v>
      </c>
      <c r="F39" s="139">
        <v>0</v>
      </c>
      <c r="G39" s="140">
        <v>534.99989818955191</v>
      </c>
    </row>
    <row r="40" spans="2:7" x14ac:dyDescent="0.2">
      <c r="B40" s="124"/>
      <c r="C40" s="124"/>
      <c r="D40" s="110">
        <v>3</v>
      </c>
      <c r="E40" s="138">
        <v>2799.9999434066935</v>
      </c>
      <c r="F40" s="139">
        <v>2000.0000050504916</v>
      </c>
      <c r="G40" s="140">
        <v>4799.9999484571854</v>
      </c>
    </row>
    <row r="41" spans="2:7" x14ac:dyDescent="0.2">
      <c r="B41" s="124"/>
      <c r="C41" s="125" t="s">
        <v>55</v>
      </c>
      <c r="D41" s="126"/>
      <c r="E41" s="141">
        <v>3334.9998415962455</v>
      </c>
      <c r="F41" s="142">
        <v>2000.0000050504916</v>
      </c>
      <c r="G41" s="143">
        <v>5334.9998466467368</v>
      </c>
    </row>
    <row r="42" spans="2:7" x14ac:dyDescent="0.2">
      <c r="B42" s="124"/>
      <c r="C42" s="123">
        <v>3</v>
      </c>
      <c r="D42" s="109">
        <v>1</v>
      </c>
      <c r="E42" s="135">
        <v>2265.9999541978468</v>
      </c>
      <c r="F42" s="136">
        <v>2399.9999514921005</v>
      </c>
      <c r="G42" s="137">
        <v>4665.9999056899469</v>
      </c>
    </row>
    <row r="43" spans="2:7" x14ac:dyDescent="0.2">
      <c r="B43" s="124"/>
      <c r="C43" s="124"/>
      <c r="D43" s="110">
        <v>2</v>
      </c>
      <c r="E43" s="138">
        <v>1998.0000506104452</v>
      </c>
      <c r="F43" s="139">
        <v>2665.9999461124398</v>
      </c>
      <c r="G43" s="140">
        <v>4663.999996722885</v>
      </c>
    </row>
    <row r="44" spans="2:7" x14ac:dyDescent="0.2">
      <c r="B44" s="124"/>
      <c r="C44" s="124"/>
      <c r="D44" s="110">
        <v>3</v>
      </c>
      <c r="E44" s="138">
        <v>0</v>
      </c>
      <c r="F44" s="139">
        <v>932.99993566409807</v>
      </c>
      <c r="G44" s="140">
        <v>932.99993566409807</v>
      </c>
    </row>
    <row r="45" spans="2:7" x14ac:dyDescent="0.2">
      <c r="B45" s="124"/>
      <c r="C45" s="125" t="s">
        <v>56</v>
      </c>
      <c r="D45" s="126"/>
      <c r="E45" s="141">
        <v>4264.000004808292</v>
      </c>
      <c r="F45" s="142">
        <v>5998.9998332686391</v>
      </c>
      <c r="G45" s="143">
        <v>10262.99983807693</v>
      </c>
    </row>
    <row r="46" spans="2:7" ht="15.75" thickBot="1" x14ac:dyDescent="0.3">
      <c r="B46" s="127" t="s">
        <v>56</v>
      </c>
      <c r="C46" s="128"/>
      <c r="D46" s="128"/>
      <c r="E46" s="144">
        <v>7598.9998464045375</v>
      </c>
      <c r="F46" s="144">
        <v>7998.9998383191305</v>
      </c>
      <c r="G46" s="145">
        <v>15597.999684723667</v>
      </c>
    </row>
    <row r="47" spans="2:7" ht="13.5" thickTop="1" x14ac:dyDescent="0.2">
      <c r="B47" s="123"/>
      <c r="C47" s="129"/>
      <c r="D47" s="129"/>
      <c r="E47" s="146"/>
      <c r="F47" s="147"/>
      <c r="G47" s="148"/>
    </row>
    <row r="48" spans="2:7" ht="13.5" thickBot="1" x14ac:dyDescent="0.25">
      <c r="B48" s="130" t="s">
        <v>53</v>
      </c>
      <c r="C48" s="131"/>
      <c r="D48" s="131"/>
      <c r="E48" s="149">
        <v>16263.999846403858</v>
      </c>
      <c r="F48" s="149">
        <v>20131.999795204101</v>
      </c>
      <c r="G48" s="150">
        <v>36395.999641607959</v>
      </c>
    </row>
    <row r="49" ht="13.5" thickTop="1" x14ac:dyDescent="0.2"/>
  </sheetData>
  <phoneticPr fontId="2" type="noConversion"/>
  <pageMargins left="0.75" right="0.75" top="1" bottom="1" header="0.5" footer="0.5"/>
  <headerFooter alignWithMargins="0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4:G22"/>
  <sheetViews>
    <sheetView showGridLines="0" showRowColHeaders="0" workbookViewId="0">
      <selection activeCell="M30" sqref="M30"/>
    </sheetView>
  </sheetViews>
  <sheetFormatPr defaultRowHeight="12.75" x14ac:dyDescent="0.2"/>
  <cols>
    <col min="1" max="1" width="4" customWidth="1"/>
    <col min="2" max="2" width="11.7109375" customWidth="1"/>
    <col min="3" max="3" width="12.28515625" customWidth="1"/>
    <col min="4" max="7" width="13.7109375" bestFit="1" customWidth="1"/>
  </cols>
  <sheetData>
    <row r="4" spans="2:7" x14ac:dyDescent="0.2">
      <c r="B4" s="85" t="s">
        <v>28</v>
      </c>
      <c r="C4" s="85"/>
      <c r="D4" s="85" t="s">
        <v>0</v>
      </c>
      <c r="E4" s="85"/>
      <c r="F4" s="85"/>
      <c r="G4" s="85"/>
    </row>
    <row r="5" spans="2:7" x14ac:dyDescent="0.2">
      <c r="B5" s="88" t="s">
        <v>1</v>
      </c>
      <c r="C5" s="88" t="s">
        <v>3</v>
      </c>
      <c r="D5" s="132">
        <v>1</v>
      </c>
      <c r="E5" s="133">
        <v>2</v>
      </c>
      <c r="F5" s="133">
        <v>3</v>
      </c>
      <c r="G5" s="92" t="s">
        <v>53</v>
      </c>
    </row>
    <row r="6" spans="2:7" ht="15.75" thickBot="1" x14ac:dyDescent="0.3">
      <c r="B6" s="122">
        <v>1</v>
      </c>
      <c r="C6" s="109">
        <v>1</v>
      </c>
      <c r="D6" s="161">
        <v>299.99999999993497</v>
      </c>
      <c r="E6" s="162">
        <v>0</v>
      </c>
      <c r="F6" s="162">
        <v>0</v>
      </c>
      <c r="G6" s="163">
        <v>299.99999999993497</v>
      </c>
    </row>
    <row r="7" spans="2:7" ht="13.5" thickTop="1" x14ac:dyDescent="0.2">
      <c r="B7" s="124"/>
      <c r="C7" s="110">
        <v>2</v>
      </c>
      <c r="D7" s="164">
        <v>199.95</v>
      </c>
      <c r="E7" s="165">
        <v>499.95</v>
      </c>
      <c r="F7" s="165">
        <v>499.95</v>
      </c>
      <c r="G7" s="166">
        <v>1199.8499999999999</v>
      </c>
    </row>
    <row r="8" spans="2:7" x14ac:dyDescent="0.2">
      <c r="B8" s="124"/>
      <c r="C8" s="110">
        <v>3</v>
      </c>
      <c r="D8" s="164">
        <v>0</v>
      </c>
      <c r="E8" s="165">
        <v>0</v>
      </c>
      <c r="F8" s="165">
        <v>0</v>
      </c>
      <c r="G8" s="166">
        <v>0</v>
      </c>
    </row>
    <row r="9" spans="2:7" ht="15.75" thickBot="1" x14ac:dyDescent="0.3">
      <c r="B9" s="127" t="s">
        <v>54</v>
      </c>
      <c r="C9" s="128"/>
      <c r="D9" s="157">
        <v>499.94999999993496</v>
      </c>
      <c r="E9" s="157">
        <v>499.95</v>
      </c>
      <c r="F9" s="157">
        <v>499.95</v>
      </c>
      <c r="G9" s="158">
        <v>1499.8499999999349</v>
      </c>
    </row>
    <row r="10" spans="2:7" ht="13.5" thickTop="1" x14ac:dyDescent="0.2">
      <c r="B10" s="123"/>
      <c r="C10" s="129"/>
      <c r="D10" s="151"/>
      <c r="E10" s="152"/>
      <c r="F10" s="152"/>
      <c r="G10" s="153"/>
    </row>
    <row r="11" spans="2:7" ht="15.75" thickBot="1" x14ac:dyDescent="0.3">
      <c r="B11" s="122">
        <v>2</v>
      </c>
      <c r="C11" s="109">
        <v>1</v>
      </c>
      <c r="D11" s="161">
        <v>0</v>
      </c>
      <c r="E11" s="162">
        <v>0</v>
      </c>
      <c r="F11" s="162">
        <v>300</v>
      </c>
      <c r="G11" s="163">
        <v>300</v>
      </c>
    </row>
    <row r="12" spans="2:7" ht="13.5" thickTop="1" x14ac:dyDescent="0.2">
      <c r="B12" s="124"/>
      <c r="C12" s="110">
        <v>2</v>
      </c>
      <c r="D12" s="164">
        <v>499.95</v>
      </c>
      <c r="E12" s="165">
        <v>499.9499999998983</v>
      </c>
      <c r="F12" s="165">
        <v>0</v>
      </c>
      <c r="G12" s="166">
        <v>999.89999999989823</v>
      </c>
    </row>
    <row r="13" spans="2:7" x14ac:dyDescent="0.2">
      <c r="B13" s="124"/>
      <c r="C13" s="110">
        <v>3</v>
      </c>
      <c r="D13" s="164">
        <v>0</v>
      </c>
      <c r="E13" s="165">
        <v>0</v>
      </c>
      <c r="F13" s="165">
        <v>319.94999353281065</v>
      </c>
      <c r="G13" s="166">
        <v>319.94999353281065</v>
      </c>
    </row>
    <row r="14" spans="2:7" ht="15.75" thickBot="1" x14ac:dyDescent="0.3">
      <c r="B14" s="127" t="s">
        <v>55</v>
      </c>
      <c r="C14" s="128"/>
      <c r="D14" s="157">
        <v>499.95</v>
      </c>
      <c r="E14" s="157">
        <v>499.9499999998983</v>
      </c>
      <c r="F14" s="157">
        <v>619.94999353281059</v>
      </c>
      <c r="G14" s="158">
        <v>1619.8499935327088</v>
      </c>
    </row>
    <row r="15" spans="2:7" ht="13.5" thickTop="1" x14ac:dyDescent="0.2">
      <c r="B15" s="123"/>
      <c r="C15" s="129"/>
      <c r="D15" s="151"/>
      <c r="E15" s="152"/>
      <c r="F15" s="152"/>
      <c r="G15" s="153"/>
    </row>
    <row r="16" spans="2:7" ht="15.75" thickBot="1" x14ac:dyDescent="0.3">
      <c r="B16" s="122">
        <v>3</v>
      </c>
      <c r="C16" s="109">
        <v>1</v>
      </c>
      <c r="D16" s="161">
        <v>0</v>
      </c>
      <c r="E16" s="162">
        <v>0</v>
      </c>
      <c r="F16" s="162">
        <v>0</v>
      </c>
      <c r="G16" s="163">
        <v>0</v>
      </c>
    </row>
    <row r="17" spans="2:7" ht="13.5" thickTop="1" x14ac:dyDescent="0.2">
      <c r="B17" s="124"/>
      <c r="C17" s="110">
        <v>2</v>
      </c>
      <c r="D17" s="164">
        <v>0</v>
      </c>
      <c r="E17" s="165">
        <v>80.249984728432779</v>
      </c>
      <c r="F17" s="165">
        <v>719.99999226857778</v>
      </c>
      <c r="G17" s="166">
        <v>800.24997699701055</v>
      </c>
    </row>
    <row r="18" spans="2:7" x14ac:dyDescent="0.2">
      <c r="B18" s="124"/>
      <c r="C18" s="110">
        <v>3</v>
      </c>
      <c r="D18" s="164">
        <v>699.89998585349201</v>
      </c>
      <c r="E18" s="165">
        <v>699.59999950843269</v>
      </c>
      <c r="F18" s="165">
        <v>139.94999034961469</v>
      </c>
      <c r="G18" s="166">
        <v>1539.4499757115393</v>
      </c>
    </row>
    <row r="19" spans="2:7" ht="15.75" thickBot="1" x14ac:dyDescent="0.3">
      <c r="B19" s="127" t="s">
        <v>56</v>
      </c>
      <c r="C19" s="128"/>
      <c r="D19" s="157">
        <v>699.89998585349201</v>
      </c>
      <c r="E19" s="157">
        <v>779.84998423686545</v>
      </c>
      <c r="F19" s="157">
        <v>859.94998261819251</v>
      </c>
      <c r="G19" s="158">
        <v>2339.69995270855</v>
      </c>
    </row>
    <row r="20" spans="2:7" ht="13.5" thickTop="1" x14ac:dyDescent="0.2">
      <c r="B20" s="82"/>
      <c r="C20" s="83"/>
      <c r="D20" s="151"/>
      <c r="E20" s="152"/>
      <c r="F20" s="152"/>
      <c r="G20" s="153"/>
    </row>
    <row r="21" spans="2:7" ht="13.5" thickBot="1" x14ac:dyDescent="0.25">
      <c r="B21" s="87" t="s">
        <v>53</v>
      </c>
      <c r="C21" s="86"/>
      <c r="D21" s="159">
        <v>1699.799985853427</v>
      </c>
      <c r="E21" s="159">
        <v>1779.7499842367638</v>
      </c>
      <c r="F21" s="159">
        <v>1979.8499761510031</v>
      </c>
      <c r="G21" s="160">
        <v>5459.3999462411939</v>
      </c>
    </row>
    <row r="22" spans="2:7" ht="13.5" thickTop="1" x14ac:dyDescent="0.2"/>
  </sheetData>
  <phoneticPr fontId="2" type="noConversion"/>
  <pageMargins left="0.75" right="0.75" top="1" bottom="1" header="0.5" footer="0.5"/>
  <headerFooter alignWithMargins="0"/>
  <drawing r:id="rId2"/>
  <picture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4:F22"/>
  <sheetViews>
    <sheetView showGridLines="0" showRowColHeaders="0" workbookViewId="0">
      <selection activeCell="N31" sqref="N31"/>
    </sheetView>
  </sheetViews>
  <sheetFormatPr defaultRowHeight="12.75" x14ac:dyDescent="0.2"/>
  <cols>
    <col min="1" max="1" width="5.7109375" customWidth="1"/>
    <col min="2" max="2" width="17.85546875" bestFit="1" customWidth="1"/>
    <col min="3" max="3" width="12.5703125" bestFit="1" customWidth="1"/>
    <col min="4" max="4" width="11.85546875" bestFit="1" customWidth="1"/>
    <col min="5" max="6" width="13.7109375" bestFit="1" customWidth="1"/>
  </cols>
  <sheetData>
    <row r="4" spans="2:6" x14ac:dyDescent="0.2">
      <c r="B4" s="113" t="s">
        <v>29</v>
      </c>
      <c r="C4" s="113"/>
      <c r="D4" s="113" t="s">
        <v>2</v>
      </c>
      <c r="E4" s="113"/>
      <c r="F4" s="113"/>
    </row>
    <row r="5" spans="2:6" x14ac:dyDescent="0.2">
      <c r="B5" s="167" t="s">
        <v>1</v>
      </c>
      <c r="C5" s="167" t="s">
        <v>3</v>
      </c>
      <c r="D5" s="132">
        <v>1</v>
      </c>
      <c r="E5" s="133">
        <v>2</v>
      </c>
      <c r="F5" s="134" t="s">
        <v>53</v>
      </c>
    </row>
    <row r="6" spans="2:6" ht="15.75" thickBot="1" x14ac:dyDescent="0.3">
      <c r="B6" s="111">
        <v>1</v>
      </c>
      <c r="C6" s="109">
        <v>1</v>
      </c>
      <c r="D6" s="151">
        <v>500</v>
      </c>
      <c r="E6" s="152">
        <v>500</v>
      </c>
      <c r="F6" s="153">
        <v>1000</v>
      </c>
    </row>
    <row r="7" spans="2:6" ht="13.5" thickTop="1" x14ac:dyDescent="0.2">
      <c r="B7" s="115"/>
      <c r="C7" s="110">
        <v>2</v>
      </c>
      <c r="D7" s="154">
        <v>500</v>
      </c>
      <c r="E7" s="155">
        <v>500</v>
      </c>
      <c r="F7" s="156">
        <v>1000</v>
      </c>
    </row>
    <row r="8" spans="2:6" x14ac:dyDescent="0.2">
      <c r="B8" s="115"/>
      <c r="C8" s="110">
        <v>3</v>
      </c>
      <c r="D8" s="154">
        <v>500</v>
      </c>
      <c r="E8" s="155">
        <v>500</v>
      </c>
      <c r="F8" s="156">
        <v>1000</v>
      </c>
    </row>
    <row r="9" spans="2:6" ht="15.75" thickBot="1" x14ac:dyDescent="0.3">
      <c r="B9" s="116" t="s">
        <v>54</v>
      </c>
      <c r="C9" s="117"/>
      <c r="D9" s="157">
        <v>1500</v>
      </c>
      <c r="E9" s="157">
        <v>1500</v>
      </c>
      <c r="F9" s="158">
        <v>3000</v>
      </c>
    </row>
    <row r="10" spans="2:6" ht="13.5" thickTop="1" x14ac:dyDescent="0.2">
      <c r="B10" s="118"/>
      <c r="C10" s="119"/>
      <c r="D10" s="151"/>
      <c r="E10" s="152"/>
      <c r="F10" s="153"/>
    </row>
    <row r="11" spans="2:6" ht="15.75" thickBot="1" x14ac:dyDescent="0.3">
      <c r="B11" s="111">
        <v>2</v>
      </c>
      <c r="C11" s="109">
        <v>1</v>
      </c>
      <c r="D11" s="151">
        <v>499.99999999925012</v>
      </c>
      <c r="E11" s="152">
        <v>499.99999999925012</v>
      </c>
      <c r="F11" s="153">
        <v>999.99999999850024</v>
      </c>
    </row>
    <row r="12" spans="2:6" ht="13.5" thickTop="1" x14ac:dyDescent="0.2">
      <c r="B12" s="115"/>
      <c r="C12" s="110">
        <v>2</v>
      </c>
      <c r="D12" s="154">
        <v>499.99999999995021</v>
      </c>
      <c r="E12" s="155">
        <v>499.99999999994998</v>
      </c>
      <c r="F12" s="156">
        <v>999.99999999990018</v>
      </c>
    </row>
    <row r="13" spans="2:6" x14ac:dyDescent="0.2">
      <c r="B13" s="115"/>
      <c r="C13" s="110">
        <v>3</v>
      </c>
      <c r="D13" s="154">
        <v>500</v>
      </c>
      <c r="E13" s="155">
        <v>500</v>
      </c>
      <c r="F13" s="156">
        <v>1000</v>
      </c>
    </row>
    <row r="14" spans="2:6" ht="15.75" thickBot="1" x14ac:dyDescent="0.3">
      <c r="B14" s="116" t="s">
        <v>55</v>
      </c>
      <c r="C14" s="117"/>
      <c r="D14" s="157">
        <v>1499.9999999992003</v>
      </c>
      <c r="E14" s="157">
        <v>1499.9999999992001</v>
      </c>
      <c r="F14" s="158">
        <v>2999.9999999984002</v>
      </c>
    </row>
    <row r="15" spans="2:6" ht="13.5" thickTop="1" x14ac:dyDescent="0.2">
      <c r="B15" s="118"/>
      <c r="C15" s="119"/>
      <c r="D15" s="151"/>
      <c r="E15" s="152"/>
      <c r="F15" s="153"/>
    </row>
    <row r="16" spans="2:6" ht="15.75" thickBot="1" x14ac:dyDescent="0.3">
      <c r="B16" s="111">
        <v>3</v>
      </c>
      <c r="C16" s="109">
        <v>1</v>
      </c>
      <c r="D16" s="151">
        <v>500</v>
      </c>
      <c r="E16" s="152">
        <v>500.00000000454702</v>
      </c>
      <c r="F16" s="153">
        <v>1000.000000004547</v>
      </c>
    </row>
    <row r="17" spans="2:6" ht="13.5" thickTop="1" x14ac:dyDescent="0.2">
      <c r="B17" s="115"/>
      <c r="C17" s="110">
        <v>2</v>
      </c>
      <c r="D17" s="154">
        <v>500</v>
      </c>
      <c r="E17" s="155">
        <v>499.9999974747542</v>
      </c>
      <c r="F17" s="156">
        <v>999.9999974747542</v>
      </c>
    </row>
    <row r="18" spans="2:6" x14ac:dyDescent="0.2">
      <c r="B18" s="115"/>
      <c r="C18" s="110">
        <v>3</v>
      </c>
      <c r="D18" s="154">
        <v>500</v>
      </c>
      <c r="E18" s="155">
        <v>499.99999999999909</v>
      </c>
      <c r="F18" s="156">
        <v>999.99999999999864</v>
      </c>
    </row>
    <row r="19" spans="2:6" ht="15.75" thickBot="1" x14ac:dyDescent="0.3">
      <c r="B19" s="116" t="s">
        <v>56</v>
      </c>
      <c r="C19" s="117"/>
      <c r="D19" s="157">
        <v>1500</v>
      </c>
      <c r="E19" s="157">
        <v>1499.9999974793004</v>
      </c>
      <c r="F19" s="158">
        <v>2999.9999974793</v>
      </c>
    </row>
    <row r="20" spans="2:6" ht="13.5" thickTop="1" x14ac:dyDescent="0.2">
      <c r="B20" s="118"/>
      <c r="C20" s="119"/>
      <c r="D20" s="151"/>
      <c r="E20" s="152"/>
      <c r="F20" s="153"/>
    </row>
    <row r="21" spans="2:6" ht="13.5" thickBot="1" x14ac:dyDescent="0.25">
      <c r="B21" s="120" t="s">
        <v>53</v>
      </c>
      <c r="C21" s="121"/>
      <c r="D21" s="159">
        <v>4499.9999999991996</v>
      </c>
      <c r="E21" s="159">
        <v>4499.9999974785005</v>
      </c>
      <c r="F21" s="160">
        <v>8999.9999974777002</v>
      </c>
    </row>
    <row r="22" spans="2:6" ht="13.5" thickTop="1" x14ac:dyDescent="0.2"/>
  </sheetData>
  <phoneticPr fontId="2" type="noConversion"/>
  <pageMargins left="0.75" right="0.75" top="1" bottom="1" header="0.5" footer="0.5"/>
  <headerFooter alignWithMargins="0"/>
  <drawing r:id="rId2"/>
  <picture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4:F22"/>
  <sheetViews>
    <sheetView showGridLines="0" showRowColHeaders="0" workbookViewId="0">
      <selection activeCell="M28" sqref="M28"/>
    </sheetView>
  </sheetViews>
  <sheetFormatPr defaultRowHeight="12.75" x14ac:dyDescent="0.2"/>
  <cols>
    <col min="1" max="1" width="5.7109375" customWidth="1"/>
    <col min="2" max="2" width="17.140625" customWidth="1"/>
    <col min="3" max="3" width="12.5703125" bestFit="1" customWidth="1"/>
    <col min="4" max="5" width="10.140625" customWidth="1"/>
    <col min="6" max="6" width="11.7109375" customWidth="1"/>
  </cols>
  <sheetData>
    <row r="4" spans="2:6" x14ac:dyDescent="0.2">
      <c r="B4" s="85" t="s">
        <v>30</v>
      </c>
      <c r="C4" s="85"/>
      <c r="D4" s="85" t="s">
        <v>2</v>
      </c>
      <c r="E4" s="85"/>
      <c r="F4" s="85"/>
    </row>
    <row r="5" spans="2:6" x14ac:dyDescent="0.2">
      <c r="B5" s="167" t="s">
        <v>1</v>
      </c>
      <c r="C5" s="167" t="s">
        <v>3</v>
      </c>
      <c r="D5" s="132">
        <v>1</v>
      </c>
      <c r="E5" s="133">
        <v>2</v>
      </c>
      <c r="F5" s="134" t="s">
        <v>53</v>
      </c>
    </row>
    <row r="6" spans="2:6" ht="15.75" thickBot="1" x14ac:dyDescent="0.3">
      <c r="B6" s="111">
        <v>1</v>
      </c>
      <c r="C6" s="112">
        <v>1</v>
      </c>
      <c r="D6" s="161">
        <v>0</v>
      </c>
      <c r="E6" s="162">
        <v>499.99999999989166</v>
      </c>
      <c r="F6" s="163">
        <v>499.99999999989166</v>
      </c>
    </row>
    <row r="7" spans="2:6" ht="13.5" thickTop="1" x14ac:dyDescent="0.2">
      <c r="B7" s="115"/>
      <c r="C7" s="113">
        <v>2</v>
      </c>
      <c r="D7" s="164">
        <v>999.75</v>
      </c>
      <c r="E7" s="165">
        <v>1000</v>
      </c>
      <c r="F7" s="166">
        <v>1999.75</v>
      </c>
    </row>
    <row r="8" spans="2:6" x14ac:dyDescent="0.2">
      <c r="B8" s="115"/>
      <c r="C8" s="113">
        <v>3</v>
      </c>
      <c r="D8" s="164">
        <v>0</v>
      </c>
      <c r="E8" s="165">
        <v>0</v>
      </c>
      <c r="F8" s="166">
        <v>0</v>
      </c>
    </row>
    <row r="9" spans="2:6" ht="15.75" thickBot="1" x14ac:dyDescent="0.3">
      <c r="B9" s="116" t="s">
        <v>54</v>
      </c>
      <c r="C9" s="117"/>
      <c r="D9" s="157">
        <v>999.75</v>
      </c>
      <c r="E9" s="157">
        <v>1499.9999999998918</v>
      </c>
      <c r="F9" s="158">
        <v>2499.7499999998918</v>
      </c>
    </row>
    <row r="10" spans="2:6" ht="13.5" thickTop="1" x14ac:dyDescent="0.2">
      <c r="B10" s="82"/>
      <c r="C10" s="83"/>
      <c r="D10" s="151"/>
      <c r="E10" s="152"/>
      <c r="F10" s="153"/>
    </row>
    <row r="11" spans="2:6" ht="15.75" thickBot="1" x14ac:dyDescent="0.3">
      <c r="B11" s="111">
        <v>2</v>
      </c>
      <c r="C11" s="112">
        <v>1</v>
      </c>
      <c r="D11" s="161">
        <v>499.999999999625</v>
      </c>
      <c r="E11" s="162">
        <v>0</v>
      </c>
      <c r="F11" s="163">
        <v>499.999999999625</v>
      </c>
    </row>
    <row r="12" spans="2:6" ht="13.5" thickTop="1" x14ac:dyDescent="0.2">
      <c r="B12" s="115"/>
      <c r="C12" s="113">
        <v>2</v>
      </c>
      <c r="D12" s="164">
        <v>666.4999999998056</v>
      </c>
      <c r="E12" s="165">
        <v>1000</v>
      </c>
      <c r="F12" s="166">
        <v>1666.4999999998056</v>
      </c>
    </row>
    <row r="13" spans="2:6" x14ac:dyDescent="0.2">
      <c r="B13" s="115"/>
      <c r="C13" s="113">
        <v>3</v>
      </c>
      <c r="D13" s="164">
        <v>0</v>
      </c>
      <c r="E13" s="165">
        <v>533.24998922135114</v>
      </c>
      <c r="F13" s="166">
        <v>533.24998922135114</v>
      </c>
    </row>
    <row r="14" spans="2:6" ht="15.75" thickBot="1" x14ac:dyDescent="0.3">
      <c r="B14" s="116" t="s">
        <v>55</v>
      </c>
      <c r="C14" s="117"/>
      <c r="D14" s="157">
        <v>1166.4999999994307</v>
      </c>
      <c r="E14" s="157">
        <v>1533.2499892213511</v>
      </c>
      <c r="F14" s="158">
        <v>2699.7499892207816</v>
      </c>
    </row>
    <row r="15" spans="2:6" ht="13.5" thickTop="1" x14ac:dyDescent="0.2">
      <c r="B15" s="82"/>
      <c r="C15" s="83"/>
      <c r="D15" s="151"/>
      <c r="E15" s="152"/>
      <c r="F15" s="153"/>
    </row>
    <row r="16" spans="2:6" ht="15.75" thickBot="1" x14ac:dyDescent="0.3">
      <c r="B16" s="111">
        <v>3</v>
      </c>
      <c r="C16" s="112">
        <v>1</v>
      </c>
      <c r="D16" s="161">
        <v>0</v>
      </c>
      <c r="E16" s="162">
        <v>2.2735093807568774E-9</v>
      </c>
      <c r="F16" s="163">
        <v>2.2735093807568774E-9</v>
      </c>
    </row>
    <row r="17" spans="2:6" ht="13.5" thickTop="1" x14ac:dyDescent="0.2">
      <c r="B17" s="115"/>
      <c r="C17" s="113">
        <v>2</v>
      </c>
      <c r="D17" s="164">
        <v>833.74996039906137</v>
      </c>
      <c r="E17" s="165">
        <v>500</v>
      </c>
      <c r="F17" s="166">
        <v>1333.7499603990614</v>
      </c>
    </row>
    <row r="18" spans="2:6" x14ac:dyDescent="0.2">
      <c r="B18" s="115"/>
      <c r="C18" s="113">
        <v>3</v>
      </c>
      <c r="D18" s="164">
        <v>1066.0000012020728</v>
      </c>
      <c r="E18" s="165">
        <v>1499.7499583171596</v>
      </c>
      <c r="F18" s="166">
        <v>2565.7499595192321</v>
      </c>
    </row>
    <row r="19" spans="2:6" ht="15.75" thickBot="1" x14ac:dyDescent="0.3">
      <c r="B19" s="116" t="s">
        <v>56</v>
      </c>
      <c r="C19" s="117"/>
      <c r="D19" s="157">
        <v>1899.7499616011341</v>
      </c>
      <c r="E19" s="157">
        <v>1999.7499583194331</v>
      </c>
      <c r="F19" s="158">
        <v>3899.4999199205668</v>
      </c>
    </row>
    <row r="20" spans="2:6" ht="13.5" thickTop="1" x14ac:dyDescent="0.2">
      <c r="B20" s="82"/>
      <c r="C20" s="83"/>
      <c r="D20" s="151"/>
      <c r="E20" s="152"/>
      <c r="F20" s="153"/>
    </row>
    <row r="21" spans="2:6" ht="13.5" thickBot="1" x14ac:dyDescent="0.25">
      <c r="B21" s="120" t="s">
        <v>53</v>
      </c>
      <c r="C21" s="121"/>
      <c r="D21" s="159">
        <v>4065.9999616005648</v>
      </c>
      <c r="E21" s="159">
        <v>5032.9999475406757</v>
      </c>
      <c r="F21" s="160">
        <v>9098.9999091412392</v>
      </c>
    </row>
    <row r="22" spans="2:6" ht="13.5" thickTop="1" x14ac:dyDescent="0.2"/>
  </sheetData>
  <phoneticPr fontId="2" type="noConversion"/>
  <pageMargins left="0.75" right="0.75" top="1" bottom="1" header="0.5" footer="0.5"/>
  <headerFooter alignWithMargins="0"/>
  <drawing r:id="rId2"/>
  <picture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J102"/>
  <sheetViews>
    <sheetView showGridLines="0" workbookViewId="0">
      <selection activeCell="D29" sqref="D29"/>
    </sheetView>
  </sheetViews>
  <sheetFormatPr defaultRowHeight="12.75" x14ac:dyDescent="0.2"/>
  <cols>
    <col min="1" max="1" width="3.7109375" style="1" customWidth="1"/>
    <col min="2" max="2" width="14.5703125" style="6" customWidth="1"/>
    <col min="3" max="3" width="7.7109375" style="6" bestFit="1" customWidth="1"/>
    <col min="4" max="4" width="16.140625" style="6" bestFit="1" customWidth="1"/>
    <col min="5" max="5" width="11.28515625" style="6" customWidth="1"/>
    <col min="6" max="6" width="9" style="1" customWidth="1"/>
    <col min="7" max="7" width="19.85546875" style="1" bestFit="1" customWidth="1"/>
    <col min="8" max="8" width="21.7109375" style="1" bestFit="1" customWidth="1"/>
    <col min="9" max="9" width="7.7109375" style="1" customWidth="1"/>
    <col min="10" max="10" width="10.140625" style="1" bestFit="1" customWidth="1"/>
    <col min="11" max="11" width="9.5703125" style="1" bestFit="1" customWidth="1"/>
    <col min="12" max="12" width="9.140625" style="1"/>
    <col min="13" max="13" width="15.28515625" style="1" bestFit="1" customWidth="1"/>
    <col min="14" max="16" width="9.140625" style="1"/>
    <col min="17" max="17" width="9.5703125" style="1" bestFit="1" customWidth="1"/>
    <col min="18" max="18" width="19" style="1" bestFit="1" customWidth="1"/>
    <col min="19" max="19" width="3.28515625" style="1" customWidth="1"/>
    <col min="20" max="22" width="9.140625" style="1"/>
    <col min="23" max="23" width="17.85546875" style="1" bestFit="1" customWidth="1"/>
    <col min="24" max="24" width="5.7109375" style="1" customWidth="1"/>
    <col min="25" max="27" width="9.140625" style="1"/>
    <col min="28" max="28" width="20.7109375" style="1" bestFit="1" customWidth="1"/>
    <col min="29" max="29" width="6" style="1" customWidth="1"/>
    <col min="30" max="30" width="12.42578125" style="1" customWidth="1"/>
    <col min="31" max="16384" width="9.140625" style="1"/>
  </cols>
  <sheetData>
    <row r="2" spans="2:10" ht="14.25" customHeight="1" x14ac:dyDescent="0.2"/>
    <row r="3" spans="2:10" ht="25.5" customHeight="1" x14ac:dyDescent="0.2">
      <c r="G3" s="199"/>
      <c r="H3" s="199"/>
      <c r="I3" s="68"/>
      <c r="J3" s="68"/>
    </row>
    <row r="4" spans="2:10" s="9" customFormat="1" x14ac:dyDescent="0.2">
      <c r="B4" s="74" t="s">
        <v>40</v>
      </c>
      <c r="C4"/>
      <c r="D4"/>
      <c r="E4"/>
      <c r="F4" s="9" t="s">
        <v>42</v>
      </c>
    </row>
    <row r="5" spans="2:10" ht="13.5" thickBot="1" x14ac:dyDescent="0.25">
      <c r="B5" s="20" t="s">
        <v>1</v>
      </c>
      <c r="C5" s="20" t="s">
        <v>2</v>
      </c>
      <c r="D5" s="20" t="s">
        <v>38</v>
      </c>
      <c r="E5"/>
      <c r="F5" s="20" t="s">
        <v>1</v>
      </c>
      <c r="G5" s="20" t="s">
        <v>44</v>
      </c>
      <c r="J5" s="20" t="s">
        <v>31</v>
      </c>
    </row>
    <row r="6" spans="2:10" ht="13.5" thickBot="1" x14ac:dyDescent="0.25">
      <c r="B6" s="31">
        <v>1</v>
      </c>
      <c r="C6" s="32">
        <v>1</v>
      </c>
      <c r="D6" s="69">
        <f>SUM(Results!E6,Results!E8,Results!E10)</f>
        <v>3999</v>
      </c>
      <c r="E6"/>
      <c r="F6" s="31">
        <v>1</v>
      </c>
      <c r="G6" s="80">
        <f>SUM(Results!P6:P14)</f>
        <v>1499.85</v>
      </c>
      <c r="J6" s="65">
        <f>OFTotalCost</f>
        <v>23558.399999999998</v>
      </c>
    </row>
    <row r="7" spans="2:10" ht="13.5" thickBot="1" x14ac:dyDescent="0.25">
      <c r="B7" s="34"/>
      <c r="C7" s="29">
        <v>2</v>
      </c>
      <c r="D7" s="70">
        <f>SUM(Results!E7,Results!E9,Results!E11)</f>
        <v>6000</v>
      </c>
      <c r="E7"/>
      <c r="F7" s="31">
        <v>2</v>
      </c>
      <c r="G7" s="80">
        <f>SUM(Results!P15:P23)</f>
        <v>1619.85</v>
      </c>
    </row>
    <row r="8" spans="2:10" ht="13.5" thickBot="1" x14ac:dyDescent="0.25">
      <c r="B8" s="31">
        <v>2</v>
      </c>
      <c r="C8" s="32">
        <v>1</v>
      </c>
      <c r="D8" s="69">
        <f>SUM(Results!E12,Results!E14,Results!E16)</f>
        <v>4666</v>
      </c>
      <c r="E8"/>
      <c r="F8" s="31">
        <v>3</v>
      </c>
      <c r="G8" s="80">
        <f>SUM(Results!P24:P32)</f>
        <v>2339.6999999999998</v>
      </c>
    </row>
    <row r="9" spans="2:10" ht="13.5" thickBot="1" x14ac:dyDescent="0.25">
      <c r="B9" s="34"/>
      <c r="C9" s="29">
        <v>2</v>
      </c>
      <c r="D9" s="70">
        <f>SUM(Results!E13,Results!E15,Results!E17)</f>
        <v>6133</v>
      </c>
      <c r="E9"/>
      <c r="F9"/>
      <c r="G9" s="64">
        <f>SUM(G6:G8)</f>
        <v>5459.4</v>
      </c>
    </row>
    <row r="10" spans="2:10" x14ac:dyDescent="0.2">
      <c r="B10" s="31">
        <v>3</v>
      </c>
      <c r="C10" s="32">
        <v>1</v>
      </c>
      <c r="D10" s="69">
        <f>SUM(Results!E18,Results!E20,Results!E22)</f>
        <v>7599</v>
      </c>
      <c r="E10"/>
    </row>
    <row r="11" spans="2:10" x14ac:dyDescent="0.2">
      <c r="B11" s="34"/>
      <c r="C11" s="29">
        <v>2</v>
      </c>
      <c r="D11" s="70">
        <f>SUM(Results!E19,Results!E21,Results!E23)</f>
        <v>7999</v>
      </c>
      <c r="E11"/>
      <c r="F11" s="74" t="s">
        <v>43</v>
      </c>
    </row>
    <row r="12" spans="2:10" ht="13.5" thickBot="1" x14ac:dyDescent="0.25">
      <c r="B12"/>
      <c r="C12"/>
      <c r="D12"/>
      <c r="E12"/>
      <c r="F12" s="20" t="s">
        <v>1</v>
      </c>
      <c r="G12" s="20" t="s">
        <v>2</v>
      </c>
      <c r="H12" s="20" t="s">
        <v>45</v>
      </c>
    </row>
    <row r="13" spans="2:10" x14ac:dyDescent="0.2">
      <c r="B13" s="74" t="s">
        <v>41</v>
      </c>
      <c r="C13"/>
      <c r="D13"/>
      <c r="E13"/>
      <c r="F13" s="31">
        <v>1</v>
      </c>
      <c r="G13" s="32">
        <v>1</v>
      </c>
      <c r="H13" s="80">
        <f>SUMIF(Results!T6:T11,"=1",Results!U6:U11)</f>
        <v>1500</v>
      </c>
    </row>
    <row r="14" spans="2:10" ht="13.5" thickBot="1" x14ac:dyDescent="0.25">
      <c r="B14" s="20" t="s">
        <v>1</v>
      </c>
      <c r="C14" s="20" t="s">
        <v>2</v>
      </c>
      <c r="D14" s="20" t="s">
        <v>39</v>
      </c>
      <c r="E14"/>
      <c r="F14" s="34"/>
      <c r="G14" s="29">
        <v>2</v>
      </c>
      <c r="H14" s="81">
        <f>SUMIF(Results!T7:T12,"=2",Results!U7:U12)</f>
        <v>1500</v>
      </c>
    </row>
    <row r="15" spans="2:10" x14ac:dyDescent="0.2">
      <c r="B15" s="31">
        <v>1</v>
      </c>
      <c r="C15" s="32">
        <v>1</v>
      </c>
      <c r="D15" s="69">
        <f>SUMIF(Results!$J$6:$J$23, "=1",Results!$K$6:$K$23)</f>
        <v>3999</v>
      </c>
      <c r="E15"/>
      <c r="F15" s="31">
        <v>2</v>
      </c>
      <c r="G15" s="32">
        <v>1</v>
      </c>
      <c r="H15" s="80">
        <f>SUMIF(Results!T12:T17,"=1",Results!U12:U17)</f>
        <v>1500</v>
      </c>
    </row>
    <row r="16" spans="2:10" ht="13.5" thickBot="1" x14ac:dyDescent="0.25">
      <c r="B16" s="34"/>
      <c r="C16" s="29">
        <v>2</v>
      </c>
      <c r="D16" s="70">
        <f>SUMIF(Results!$J$6:$J$23, "=2",Results!$K$6:$K$23)</f>
        <v>6000</v>
      </c>
      <c r="E16"/>
      <c r="F16" s="34"/>
      <c r="G16" s="29">
        <v>2</v>
      </c>
      <c r="H16" s="81">
        <f>SUMIF(Results!T13:T18,"=2",Results!U13:U18)</f>
        <v>1500</v>
      </c>
    </row>
    <row r="17" spans="2:8" x14ac:dyDescent="0.2">
      <c r="B17" s="31">
        <v>2</v>
      </c>
      <c r="C17" s="32">
        <v>1</v>
      </c>
      <c r="D17" s="69">
        <f>SUMIF(Results!$J$24:$J$41, "=1",Results!$K$24:$K$41)</f>
        <v>4666</v>
      </c>
      <c r="E17"/>
      <c r="F17" s="31">
        <v>3</v>
      </c>
      <c r="G17" s="32">
        <v>1</v>
      </c>
      <c r="H17" s="80">
        <f>SUMIF(Results!T18:T23,"=1",Results!U18:U23)</f>
        <v>1500</v>
      </c>
    </row>
    <row r="18" spans="2:8" ht="13.5" thickBot="1" x14ac:dyDescent="0.25">
      <c r="B18" s="34"/>
      <c r="C18" s="29">
        <v>2</v>
      </c>
      <c r="D18" s="70">
        <f>SUMIF(Results!$J$24:$J$41, "=2",Results!$K$24:$K$41)</f>
        <v>6133</v>
      </c>
      <c r="E18"/>
      <c r="F18" s="34"/>
      <c r="G18" s="29">
        <v>2</v>
      </c>
      <c r="H18" s="81">
        <f>SUMIF(Results!T19:T24,"=2",Results!U19:U24)</f>
        <v>1500</v>
      </c>
    </row>
    <row r="19" spans="2:8" ht="13.5" thickBot="1" x14ac:dyDescent="0.25">
      <c r="B19" s="31">
        <v>3</v>
      </c>
      <c r="C19" s="32">
        <v>1</v>
      </c>
      <c r="D19" s="69">
        <f>SUMIF(Results!$J$42:$J$59, "=1",Results!$K$42:$K$59)</f>
        <v>7599</v>
      </c>
      <c r="E19"/>
      <c r="F19"/>
      <c r="H19" s="64">
        <f>SUM(H13:H18)</f>
        <v>9000</v>
      </c>
    </row>
    <row r="20" spans="2:8" x14ac:dyDescent="0.2">
      <c r="B20" s="34"/>
      <c r="C20" s="29">
        <v>2</v>
      </c>
      <c r="D20" s="70">
        <f>SUMIF(Results!$J$42:$J$59, "=2",Results!$K$42:$K$59)</f>
        <v>7999</v>
      </c>
      <c r="E20"/>
      <c r="F20"/>
    </row>
    <row r="21" spans="2:8" x14ac:dyDescent="0.2">
      <c r="B21"/>
      <c r="C21"/>
      <c r="D21"/>
      <c r="E21"/>
      <c r="F21" s="74" t="s">
        <v>46</v>
      </c>
    </row>
    <row r="22" spans="2:8" ht="13.5" thickBot="1" x14ac:dyDescent="0.25">
      <c r="B22"/>
      <c r="C22"/>
      <c r="D22"/>
      <c r="E22"/>
      <c r="F22" s="20" t="s">
        <v>1</v>
      </c>
      <c r="G22" s="20" t="s">
        <v>2</v>
      </c>
      <c r="H22" s="20" t="s">
        <v>47</v>
      </c>
    </row>
    <row r="23" spans="2:8" x14ac:dyDescent="0.2">
      <c r="B23"/>
      <c r="C23"/>
      <c r="D23"/>
      <c r="E23"/>
      <c r="F23" s="31">
        <v>1</v>
      </c>
      <c r="G23" s="32">
        <v>1</v>
      </c>
      <c r="H23" s="80">
        <f>SUMIF(Results!Y6:Y11,"=1",Results!Z6:Z11)</f>
        <v>999.75</v>
      </c>
    </row>
    <row r="24" spans="2:8" ht="13.5" thickBot="1" x14ac:dyDescent="0.25">
      <c r="B24"/>
      <c r="C24"/>
      <c r="D24"/>
      <c r="E24"/>
      <c r="F24" s="34"/>
      <c r="G24" s="29">
        <v>2</v>
      </c>
      <c r="H24" s="81">
        <f>SUMIF(Results!Y7:Y12,"=2",Results!Z7:Z12)</f>
        <v>1500</v>
      </c>
    </row>
    <row r="25" spans="2:8" x14ac:dyDescent="0.2">
      <c r="B25"/>
      <c r="C25"/>
      <c r="D25"/>
      <c r="E25"/>
      <c r="F25" s="31">
        <v>2</v>
      </c>
      <c r="G25" s="32">
        <v>1</v>
      </c>
      <c r="H25" s="80">
        <f>SUMIF(Results!Y12:Y17,"=1",Results!Z12:Z17)</f>
        <v>1166.5</v>
      </c>
    </row>
    <row r="26" spans="2:8" ht="13.5" thickBot="1" x14ac:dyDescent="0.25">
      <c r="F26" s="34"/>
      <c r="G26" s="29">
        <v>2</v>
      </c>
      <c r="H26" s="81">
        <f>SUMIF(Results!Y12:Y17,"=2",Results!Z12:Z17)</f>
        <v>1533.25</v>
      </c>
    </row>
    <row r="27" spans="2:8" x14ac:dyDescent="0.2">
      <c r="F27" s="31">
        <v>3</v>
      </c>
      <c r="G27" s="32">
        <v>1</v>
      </c>
      <c r="H27" s="80">
        <f>SUMIF(Results!Y18:Y23,"=1",Results!Z18:Z23)</f>
        <v>1899.75</v>
      </c>
    </row>
    <row r="28" spans="2:8" ht="13.5" thickBot="1" x14ac:dyDescent="0.25">
      <c r="F28" s="34"/>
      <c r="G28" s="29">
        <v>2</v>
      </c>
      <c r="H28" s="81">
        <f>SUMIF(Results!Y18:Y23,"=2",Results!Z18:Z23)</f>
        <v>1999.75</v>
      </c>
    </row>
    <row r="29" spans="2:8" ht="13.5" thickBot="1" x14ac:dyDescent="0.25">
      <c r="B29"/>
      <c r="F29"/>
      <c r="H29" s="64">
        <f>SUM(H23:H28)</f>
        <v>9099</v>
      </c>
    </row>
    <row r="30" spans="2:8" x14ac:dyDescent="0.2">
      <c r="B30"/>
      <c r="F30"/>
    </row>
    <row r="31" spans="2:8" x14ac:dyDescent="0.2">
      <c r="B31"/>
      <c r="F31"/>
    </row>
    <row r="32" spans="2:8" x14ac:dyDescent="0.2">
      <c r="B32"/>
      <c r="F32"/>
    </row>
    <row r="33" spans="2:6" x14ac:dyDescent="0.2">
      <c r="B33"/>
      <c r="C33"/>
      <c r="D33"/>
      <c r="E33"/>
      <c r="F33"/>
    </row>
    <row r="34" spans="2:6" x14ac:dyDescent="0.2">
      <c r="B34"/>
      <c r="C34"/>
      <c r="D34"/>
      <c r="E34"/>
      <c r="F34"/>
    </row>
    <row r="35" spans="2:6" x14ac:dyDescent="0.2">
      <c r="B35"/>
      <c r="C35"/>
      <c r="D35"/>
      <c r="E35"/>
      <c r="F35"/>
    </row>
    <row r="36" spans="2:6" x14ac:dyDescent="0.2">
      <c r="B36"/>
      <c r="C36"/>
      <c r="D36"/>
      <c r="E36"/>
      <c r="F36"/>
    </row>
    <row r="37" spans="2:6" x14ac:dyDescent="0.2">
      <c r="B37"/>
      <c r="C37"/>
      <c r="D37"/>
      <c r="E37"/>
      <c r="F37"/>
    </row>
    <row r="38" spans="2:6" x14ac:dyDescent="0.2">
      <c r="B38"/>
      <c r="C38"/>
      <c r="D38"/>
      <c r="E38"/>
      <c r="F38"/>
    </row>
    <row r="39" spans="2:6" x14ac:dyDescent="0.2">
      <c r="B39"/>
      <c r="C39"/>
      <c r="D39"/>
      <c r="E39"/>
      <c r="F39"/>
    </row>
    <row r="40" spans="2:6" x14ac:dyDescent="0.2">
      <c r="B40"/>
      <c r="C40"/>
      <c r="D40"/>
      <c r="E40"/>
      <c r="F40"/>
    </row>
    <row r="41" spans="2:6" x14ac:dyDescent="0.2">
      <c r="B41"/>
      <c r="C41"/>
      <c r="D41"/>
      <c r="E41"/>
      <c r="F41"/>
    </row>
    <row r="42" spans="2:6" x14ac:dyDescent="0.2">
      <c r="B42"/>
      <c r="C42"/>
      <c r="D42"/>
      <c r="E42"/>
      <c r="F42"/>
    </row>
    <row r="43" spans="2:6" x14ac:dyDescent="0.2">
      <c r="B43"/>
      <c r="C43"/>
      <c r="D43"/>
      <c r="E43"/>
      <c r="F43"/>
    </row>
    <row r="44" spans="2:6" x14ac:dyDescent="0.2">
      <c r="B44"/>
      <c r="C44"/>
      <c r="D44"/>
      <c r="E44"/>
      <c r="F44"/>
    </row>
    <row r="45" spans="2:6" x14ac:dyDescent="0.2">
      <c r="B45"/>
      <c r="C45"/>
      <c r="D45"/>
      <c r="E45"/>
      <c r="F45"/>
    </row>
    <row r="46" spans="2:6" x14ac:dyDescent="0.2">
      <c r="B46"/>
      <c r="C46"/>
      <c r="D46"/>
      <c r="E46"/>
      <c r="F46"/>
    </row>
    <row r="47" spans="2:6" x14ac:dyDescent="0.2">
      <c r="B47"/>
      <c r="C47"/>
      <c r="D47"/>
      <c r="E47"/>
      <c r="F47"/>
    </row>
    <row r="48" spans="2:6" x14ac:dyDescent="0.2">
      <c r="B48"/>
      <c r="C48"/>
      <c r="D48"/>
      <c r="E48"/>
      <c r="F48"/>
    </row>
    <row r="49" spans="2:6" x14ac:dyDescent="0.2">
      <c r="B49"/>
      <c r="C49"/>
      <c r="D49"/>
      <c r="E49"/>
      <c r="F49"/>
    </row>
    <row r="50" spans="2:6" x14ac:dyDescent="0.2">
      <c r="B50"/>
      <c r="C50"/>
      <c r="D50"/>
      <c r="E50"/>
      <c r="F50"/>
    </row>
    <row r="51" spans="2:6" x14ac:dyDescent="0.2">
      <c r="B51"/>
      <c r="C51"/>
      <c r="D51"/>
      <c r="E51"/>
      <c r="F51"/>
    </row>
    <row r="52" spans="2:6" x14ac:dyDescent="0.2">
      <c r="B52"/>
      <c r="C52"/>
      <c r="D52"/>
      <c r="E52"/>
      <c r="F52"/>
    </row>
    <row r="53" spans="2:6" x14ac:dyDescent="0.2">
      <c r="B53"/>
      <c r="C53"/>
      <c r="D53"/>
      <c r="E53"/>
      <c r="F53"/>
    </row>
    <row r="54" spans="2:6" x14ac:dyDescent="0.2">
      <c r="B54"/>
      <c r="C54"/>
      <c r="D54"/>
      <c r="E54"/>
      <c r="F54"/>
    </row>
    <row r="55" spans="2:6" x14ac:dyDescent="0.2">
      <c r="B55"/>
      <c r="C55"/>
      <c r="D55"/>
      <c r="E55"/>
      <c r="F55"/>
    </row>
    <row r="56" spans="2:6" x14ac:dyDescent="0.2">
      <c r="B56"/>
      <c r="C56"/>
      <c r="D56"/>
      <c r="E56"/>
      <c r="F56"/>
    </row>
    <row r="57" spans="2:6" x14ac:dyDescent="0.2">
      <c r="B57"/>
      <c r="C57"/>
      <c r="D57"/>
      <c r="E57"/>
      <c r="F57"/>
    </row>
    <row r="58" spans="2:6" x14ac:dyDescent="0.2">
      <c r="B58"/>
      <c r="C58"/>
      <c r="D58"/>
      <c r="E58"/>
      <c r="F58"/>
    </row>
    <row r="59" spans="2:6" x14ac:dyDescent="0.2">
      <c r="B59"/>
      <c r="C59"/>
      <c r="D59"/>
      <c r="E59"/>
      <c r="F59"/>
    </row>
    <row r="60" spans="2:6" x14ac:dyDescent="0.2">
      <c r="B60"/>
      <c r="C60"/>
      <c r="D60"/>
      <c r="E60"/>
      <c r="F60"/>
    </row>
    <row r="61" spans="2:6" x14ac:dyDescent="0.2">
      <c r="B61"/>
      <c r="C61"/>
      <c r="D61"/>
      <c r="E61"/>
      <c r="F61"/>
    </row>
    <row r="62" spans="2:6" x14ac:dyDescent="0.2">
      <c r="B62"/>
      <c r="C62"/>
      <c r="D62"/>
      <c r="E62"/>
      <c r="F62"/>
    </row>
    <row r="63" spans="2:6" x14ac:dyDescent="0.2">
      <c r="B63"/>
      <c r="C63"/>
      <c r="D63"/>
      <c r="E63"/>
      <c r="F63"/>
    </row>
    <row r="64" spans="2:6" x14ac:dyDescent="0.2">
      <c r="B64"/>
      <c r="C64"/>
      <c r="D64"/>
      <c r="E64"/>
      <c r="F64"/>
    </row>
    <row r="65" spans="2:6" x14ac:dyDescent="0.2">
      <c r="B65"/>
      <c r="C65"/>
      <c r="D65"/>
      <c r="E65"/>
      <c r="F65"/>
    </row>
    <row r="66" spans="2:6" x14ac:dyDescent="0.2">
      <c r="B66"/>
      <c r="C66"/>
      <c r="D66"/>
      <c r="E66"/>
      <c r="F66"/>
    </row>
    <row r="67" spans="2:6" x14ac:dyDescent="0.2">
      <c r="B67"/>
      <c r="C67"/>
      <c r="D67"/>
      <c r="E67"/>
      <c r="F67"/>
    </row>
    <row r="68" spans="2:6" x14ac:dyDescent="0.2">
      <c r="B68"/>
      <c r="C68"/>
      <c r="D68"/>
      <c r="E68"/>
      <c r="F68"/>
    </row>
    <row r="69" spans="2:6" x14ac:dyDescent="0.2">
      <c r="B69"/>
      <c r="C69"/>
      <c r="D69"/>
      <c r="E69"/>
      <c r="F69"/>
    </row>
    <row r="70" spans="2:6" x14ac:dyDescent="0.2">
      <c r="B70"/>
      <c r="C70"/>
      <c r="D70"/>
      <c r="E70"/>
      <c r="F70"/>
    </row>
    <row r="71" spans="2:6" x14ac:dyDescent="0.2">
      <c r="B71"/>
      <c r="C71"/>
      <c r="D71"/>
      <c r="E71"/>
      <c r="F71"/>
    </row>
    <row r="72" spans="2:6" x14ac:dyDescent="0.2">
      <c r="B72"/>
      <c r="C72"/>
      <c r="D72"/>
      <c r="E72"/>
      <c r="F72"/>
    </row>
    <row r="73" spans="2:6" x14ac:dyDescent="0.2">
      <c r="B73"/>
      <c r="C73"/>
      <c r="D73"/>
      <c r="E73"/>
      <c r="F73"/>
    </row>
    <row r="74" spans="2:6" x14ac:dyDescent="0.2">
      <c r="B74"/>
      <c r="C74"/>
      <c r="D74"/>
      <c r="E74"/>
      <c r="F74"/>
    </row>
    <row r="75" spans="2:6" x14ac:dyDescent="0.2">
      <c r="B75"/>
      <c r="C75"/>
      <c r="D75"/>
      <c r="E75"/>
      <c r="F75"/>
    </row>
    <row r="76" spans="2:6" x14ac:dyDescent="0.2">
      <c r="B76"/>
      <c r="C76"/>
      <c r="D76"/>
      <c r="E76"/>
      <c r="F76"/>
    </row>
    <row r="77" spans="2:6" x14ac:dyDescent="0.2">
      <c r="B77"/>
      <c r="C77"/>
      <c r="D77"/>
      <c r="E77"/>
      <c r="F77"/>
    </row>
    <row r="78" spans="2:6" x14ac:dyDescent="0.2">
      <c r="B78"/>
      <c r="C78"/>
      <c r="D78"/>
      <c r="E78"/>
      <c r="F78"/>
    </row>
    <row r="79" spans="2:6" x14ac:dyDescent="0.2">
      <c r="B79"/>
      <c r="C79"/>
      <c r="D79"/>
      <c r="E79"/>
      <c r="F79"/>
    </row>
    <row r="80" spans="2:6" x14ac:dyDescent="0.2">
      <c r="B80"/>
      <c r="C80"/>
      <c r="D80"/>
      <c r="E80"/>
      <c r="F80"/>
    </row>
    <row r="81" spans="2:6" x14ac:dyDescent="0.2">
      <c r="B81"/>
      <c r="C81"/>
      <c r="D81"/>
      <c r="E81"/>
      <c r="F81"/>
    </row>
    <row r="82" spans="2:6" x14ac:dyDescent="0.2">
      <c r="B82"/>
      <c r="C82"/>
      <c r="D82"/>
      <c r="E82"/>
      <c r="F82"/>
    </row>
    <row r="83" spans="2:6" x14ac:dyDescent="0.2">
      <c r="B83"/>
      <c r="C83"/>
      <c r="D83"/>
      <c r="E83"/>
      <c r="F83"/>
    </row>
    <row r="84" spans="2:6" x14ac:dyDescent="0.2">
      <c r="B84"/>
      <c r="C84"/>
      <c r="D84"/>
      <c r="E84"/>
      <c r="F84"/>
    </row>
    <row r="85" spans="2:6" x14ac:dyDescent="0.2">
      <c r="B85"/>
      <c r="C85"/>
      <c r="D85"/>
      <c r="E85"/>
      <c r="F85"/>
    </row>
    <row r="86" spans="2:6" x14ac:dyDescent="0.2">
      <c r="B86"/>
      <c r="C86"/>
      <c r="D86"/>
      <c r="E86"/>
      <c r="F86"/>
    </row>
    <row r="87" spans="2:6" x14ac:dyDescent="0.2">
      <c r="B87"/>
      <c r="C87"/>
      <c r="D87"/>
      <c r="E87"/>
      <c r="F87"/>
    </row>
    <row r="88" spans="2:6" x14ac:dyDescent="0.2">
      <c r="B88"/>
      <c r="C88"/>
      <c r="D88"/>
      <c r="E88"/>
      <c r="F88"/>
    </row>
    <row r="89" spans="2:6" x14ac:dyDescent="0.2">
      <c r="B89"/>
      <c r="C89"/>
      <c r="D89"/>
      <c r="E89"/>
      <c r="F89"/>
    </row>
    <row r="90" spans="2:6" x14ac:dyDescent="0.2">
      <c r="F90"/>
    </row>
    <row r="91" spans="2:6" x14ac:dyDescent="0.2">
      <c r="F91"/>
    </row>
    <row r="92" spans="2:6" x14ac:dyDescent="0.2">
      <c r="F92"/>
    </row>
    <row r="93" spans="2:6" x14ac:dyDescent="0.2">
      <c r="F93"/>
    </row>
    <row r="94" spans="2:6" x14ac:dyDescent="0.2">
      <c r="F94"/>
    </row>
    <row r="95" spans="2:6" x14ac:dyDescent="0.2">
      <c r="F95"/>
    </row>
    <row r="96" spans="2:6" x14ac:dyDescent="0.2">
      <c r="F96"/>
    </row>
    <row r="97" spans="6:6" x14ac:dyDescent="0.2">
      <c r="F97"/>
    </row>
    <row r="98" spans="6:6" x14ac:dyDescent="0.2">
      <c r="F98"/>
    </row>
    <row r="99" spans="6:6" x14ac:dyDescent="0.2">
      <c r="F99"/>
    </row>
    <row r="100" spans="6:6" x14ac:dyDescent="0.2">
      <c r="F100"/>
    </row>
    <row r="101" spans="6:6" x14ac:dyDescent="0.2">
      <c r="F101"/>
    </row>
    <row r="102" spans="6:6" x14ac:dyDescent="0.2">
      <c r="F102"/>
    </row>
  </sheetData>
  <mergeCells count="1">
    <mergeCell ref="G3:H3"/>
  </mergeCells>
  <phoneticPr fontId="2" type="noConversion"/>
  <hyperlinks>
    <hyperlink ref="G3" location="Network!A1" display="Return to Network"/>
  </hyperlinks>
  <pageMargins left="0.75" right="0.75" top="1" bottom="1" header="0.5" footer="0.5"/>
  <pageSetup orientation="portrait" verticalDpi="0" r:id="rId1"/>
  <headerFooter alignWithMargins="0"/>
  <drawing r:id="rId2"/>
  <picture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J102"/>
  <sheetViews>
    <sheetView showGridLines="0" workbookViewId="0">
      <selection activeCell="J17" sqref="J17"/>
    </sheetView>
  </sheetViews>
  <sheetFormatPr defaultRowHeight="12.75" x14ac:dyDescent="0.2"/>
  <cols>
    <col min="1" max="1" width="3.7109375" style="1" customWidth="1"/>
    <col min="2" max="2" width="14.5703125" style="6" customWidth="1"/>
    <col min="3" max="3" width="7.7109375" style="6" bestFit="1" customWidth="1"/>
    <col min="4" max="4" width="16.140625" style="6" bestFit="1" customWidth="1"/>
    <col min="5" max="5" width="11.28515625" style="6" customWidth="1"/>
    <col min="6" max="6" width="9" style="1" customWidth="1"/>
    <col min="7" max="7" width="19.85546875" style="1" bestFit="1" customWidth="1"/>
    <col min="8" max="8" width="21.7109375" style="1" bestFit="1" customWidth="1"/>
    <col min="9" max="9" width="7.7109375" style="1" customWidth="1"/>
    <col min="10" max="10" width="10.140625" style="1" bestFit="1" customWidth="1"/>
    <col min="11" max="11" width="9.5703125" style="1" bestFit="1" customWidth="1"/>
    <col min="12" max="12" width="9.140625" style="1"/>
    <col min="13" max="13" width="15.28515625" style="1" bestFit="1" customWidth="1"/>
    <col min="14" max="16" width="9.140625" style="1"/>
    <col min="17" max="17" width="9.5703125" style="1" bestFit="1" customWidth="1"/>
    <col min="18" max="18" width="19" style="1" bestFit="1" customWidth="1"/>
    <col min="19" max="19" width="3.28515625" style="1" customWidth="1"/>
    <col min="20" max="22" width="9.140625" style="1"/>
    <col min="23" max="23" width="17.85546875" style="1" bestFit="1" customWidth="1"/>
    <col min="24" max="24" width="5.7109375" style="1" customWidth="1"/>
    <col min="25" max="27" width="9.140625" style="1"/>
    <col min="28" max="28" width="20.7109375" style="1" bestFit="1" customWidth="1"/>
    <col min="29" max="29" width="6" style="1" customWidth="1"/>
    <col min="30" max="30" width="12.42578125" style="1" customWidth="1"/>
    <col min="31" max="16384" width="9.140625" style="1"/>
  </cols>
  <sheetData>
    <row r="2" spans="2:10" ht="14.25" customHeight="1" x14ac:dyDescent="0.2"/>
    <row r="3" spans="2:10" ht="25.5" customHeight="1" x14ac:dyDescent="0.2">
      <c r="G3" s="199"/>
      <c r="H3" s="199"/>
      <c r="I3" s="68"/>
      <c r="J3" s="68"/>
    </row>
    <row r="4" spans="2:10" s="9" customFormat="1" x14ac:dyDescent="0.2">
      <c r="B4" s="74" t="s">
        <v>48</v>
      </c>
      <c r="C4"/>
      <c r="D4"/>
      <c r="E4"/>
      <c r="F4" s="9" t="s">
        <v>50</v>
      </c>
    </row>
    <row r="5" spans="2:10" ht="13.5" thickBot="1" x14ac:dyDescent="0.25">
      <c r="B5" s="20" t="s">
        <v>3</v>
      </c>
      <c r="C5" s="20" t="s">
        <v>2</v>
      </c>
      <c r="D5" s="20" t="s">
        <v>38</v>
      </c>
      <c r="E5"/>
      <c r="F5" s="20" t="s">
        <v>3</v>
      </c>
      <c r="G5" s="20" t="s">
        <v>44</v>
      </c>
      <c r="J5" s="20" t="s">
        <v>31</v>
      </c>
    </row>
    <row r="6" spans="2:10" ht="13.5" thickBot="1" x14ac:dyDescent="0.25">
      <c r="B6" s="31">
        <v>1</v>
      </c>
      <c r="C6" s="32">
        <v>1</v>
      </c>
      <c r="D6" s="69">
        <f>SUM(Results!E6,Results!E12,Results!E18)</f>
        <v>10000</v>
      </c>
      <c r="E6"/>
      <c r="F6" s="31">
        <v>1</v>
      </c>
      <c r="G6" s="80"/>
      <c r="J6" s="65">
        <f>OFTotalCost</f>
        <v>23558.399999999998</v>
      </c>
    </row>
    <row r="7" spans="2:10" ht="13.5" thickBot="1" x14ac:dyDescent="0.25">
      <c r="B7" s="34"/>
      <c r="C7" s="29">
        <v>2</v>
      </c>
      <c r="D7" s="70">
        <f>SUM(Results!E7,Results!E13,Results!E19)</f>
        <v>10000</v>
      </c>
      <c r="E7"/>
      <c r="F7" s="31">
        <v>2</v>
      </c>
      <c r="G7" s="80"/>
    </row>
    <row r="8" spans="2:10" ht="13.5" thickBot="1" x14ac:dyDescent="0.25">
      <c r="B8" s="31">
        <v>2</v>
      </c>
      <c r="C8" s="32">
        <v>1</v>
      </c>
      <c r="D8" s="69">
        <f>SUM(Results!E8,Results!E14,Results!E20)</f>
        <v>6264</v>
      </c>
      <c r="E8"/>
      <c r="F8" s="31">
        <v>3</v>
      </c>
      <c r="G8" s="80"/>
    </row>
    <row r="9" spans="2:10" ht="13.5" thickBot="1" x14ac:dyDescent="0.25">
      <c r="B9" s="34"/>
      <c r="C9" s="29">
        <v>2</v>
      </c>
      <c r="D9" s="70">
        <f>SUM(Results!E9,Results!E15,Results!E21)</f>
        <v>10000</v>
      </c>
      <c r="E9"/>
      <c r="F9"/>
      <c r="G9" s="64">
        <f>SUM(G6:G8)</f>
        <v>0</v>
      </c>
    </row>
    <row r="10" spans="2:10" x14ac:dyDescent="0.2">
      <c r="B10" s="31">
        <v>3</v>
      </c>
      <c r="C10" s="32">
        <v>1</v>
      </c>
      <c r="D10" s="69">
        <f>SUM(Results!E10,Results!E16,Results!E22)</f>
        <v>0</v>
      </c>
      <c r="E10"/>
    </row>
    <row r="11" spans="2:10" x14ac:dyDescent="0.2">
      <c r="B11" s="34"/>
      <c r="C11" s="29">
        <v>2</v>
      </c>
      <c r="D11" s="70">
        <f>SUM(Results!E11,Results!E17,Results!E23)</f>
        <v>132</v>
      </c>
      <c r="E11"/>
      <c r="F11" s="74" t="s">
        <v>51</v>
      </c>
    </row>
    <row r="12" spans="2:10" ht="13.5" thickBot="1" x14ac:dyDescent="0.25">
      <c r="B12"/>
      <c r="C12"/>
      <c r="D12"/>
      <c r="E12"/>
      <c r="F12" s="20" t="s">
        <v>3</v>
      </c>
      <c r="G12" s="20" t="s">
        <v>2</v>
      </c>
      <c r="H12" s="20" t="s">
        <v>45</v>
      </c>
    </row>
    <row r="13" spans="2:10" x14ac:dyDescent="0.2">
      <c r="B13" s="74" t="s">
        <v>49</v>
      </c>
      <c r="C13"/>
      <c r="D13"/>
      <c r="E13"/>
      <c r="F13" s="31">
        <v>1</v>
      </c>
      <c r="G13" s="32">
        <v>1</v>
      </c>
      <c r="H13" s="80"/>
    </row>
    <row r="14" spans="2:10" ht="13.5" thickBot="1" x14ac:dyDescent="0.25">
      <c r="B14" s="20" t="s">
        <v>3</v>
      </c>
      <c r="C14" s="20" t="s">
        <v>2</v>
      </c>
      <c r="D14" s="20" t="s">
        <v>39</v>
      </c>
      <c r="E14"/>
      <c r="F14" s="34"/>
      <c r="G14" s="29">
        <v>2</v>
      </c>
      <c r="H14" s="81"/>
    </row>
    <row r="15" spans="2:10" x14ac:dyDescent="0.2">
      <c r="B15" s="31">
        <v>1</v>
      </c>
      <c r="C15" s="32">
        <v>1</v>
      </c>
      <c r="D15" s="69">
        <f>SUM(Results!K42,Results!K44,Results!K46)</f>
        <v>7599</v>
      </c>
      <c r="E15"/>
      <c r="F15" s="31">
        <v>2</v>
      </c>
      <c r="G15" s="32">
        <v>1</v>
      </c>
      <c r="H15" s="80"/>
    </row>
    <row r="16" spans="2:10" ht="13.5" thickBot="1" x14ac:dyDescent="0.25">
      <c r="B16" s="34"/>
      <c r="C16" s="29">
        <v>2</v>
      </c>
      <c r="D16" s="70">
        <f>SUM(Results!K11,Results!K9,Results!K7)</f>
        <v>3867</v>
      </c>
      <c r="E16"/>
      <c r="F16" s="34"/>
      <c r="G16" s="29">
        <v>2</v>
      </c>
      <c r="H16" s="81"/>
    </row>
    <row r="17" spans="2:8" x14ac:dyDescent="0.2">
      <c r="B17" s="31">
        <v>2</v>
      </c>
      <c r="C17" s="32">
        <v>1</v>
      </c>
      <c r="D17" s="69"/>
      <c r="E17"/>
      <c r="F17" s="31">
        <v>3</v>
      </c>
      <c r="G17" s="32">
        <v>1</v>
      </c>
      <c r="H17" s="80"/>
    </row>
    <row r="18" spans="2:8" ht="13.5" thickBot="1" x14ac:dyDescent="0.25">
      <c r="B18" s="34"/>
      <c r="C18" s="29">
        <v>2</v>
      </c>
      <c r="D18" s="70"/>
      <c r="E18"/>
      <c r="F18" s="34"/>
      <c r="G18" s="29">
        <v>2</v>
      </c>
      <c r="H18" s="81"/>
    </row>
    <row r="19" spans="2:8" ht="13.5" thickBot="1" x14ac:dyDescent="0.25">
      <c r="B19" s="31">
        <v>3</v>
      </c>
      <c r="C19" s="32">
        <v>1</v>
      </c>
      <c r="D19" s="69"/>
      <c r="E19"/>
      <c r="F19"/>
      <c r="H19" s="64">
        <f>SUM(H13:H18)</f>
        <v>0</v>
      </c>
    </row>
    <row r="20" spans="2:8" x14ac:dyDescent="0.2">
      <c r="B20" s="34"/>
      <c r="C20" s="29">
        <v>2</v>
      </c>
      <c r="D20" s="70"/>
      <c r="E20"/>
      <c r="F20"/>
    </row>
    <row r="21" spans="2:8" x14ac:dyDescent="0.2">
      <c r="B21"/>
      <c r="C21"/>
      <c r="D21"/>
      <c r="E21"/>
      <c r="F21" s="74" t="s">
        <v>52</v>
      </c>
    </row>
    <row r="22" spans="2:8" ht="13.5" thickBot="1" x14ac:dyDescent="0.25">
      <c r="B22"/>
      <c r="C22"/>
      <c r="D22"/>
      <c r="E22"/>
      <c r="F22" s="20" t="s">
        <v>3</v>
      </c>
      <c r="G22" s="20" t="s">
        <v>2</v>
      </c>
      <c r="H22" s="20" t="s">
        <v>47</v>
      </c>
    </row>
    <row r="23" spans="2:8" x14ac:dyDescent="0.2">
      <c r="B23"/>
      <c r="C23"/>
      <c r="D23"/>
      <c r="E23"/>
      <c r="F23" s="31">
        <v>1</v>
      </c>
      <c r="G23" s="32">
        <v>1</v>
      </c>
      <c r="H23" s="80"/>
    </row>
    <row r="24" spans="2:8" ht="13.5" thickBot="1" x14ac:dyDescent="0.25">
      <c r="B24"/>
      <c r="C24"/>
      <c r="D24"/>
      <c r="E24"/>
      <c r="F24" s="34"/>
      <c r="G24" s="29">
        <v>2</v>
      </c>
      <c r="H24" s="81"/>
    </row>
    <row r="25" spans="2:8" x14ac:dyDescent="0.2">
      <c r="B25"/>
      <c r="C25"/>
      <c r="D25"/>
      <c r="E25"/>
      <c r="F25" s="31">
        <v>2</v>
      </c>
      <c r="G25" s="32">
        <v>1</v>
      </c>
      <c r="H25" s="80"/>
    </row>
    <row r="26" spans="2:8" ht="13.5" thickBot="1" x14ac:dyDescent="0.25">
      <c r="F26" s="34"/>
      <c r="G26" s="29">
        <v>2</v>
      </c>
      <c r="H26" s="81"/>
    </row>
    <row r="27" spans="2:8" x14ac:dyDescent="0.2">
      <c r="F27" s="31">
        <v>3</v>
      </c>
      <c r="G27" s="32">
        <v>1</v>
      </c>
      <c r="H27" s="80"/>
    </row>
    <row r="28" spans="2:8" ht="13.5" thickBot="1" x14ac:dyDescent="0.25">
      <c r="F28" s="34"/>
      <c r="G28" s="29">
        <v>2</v>
      </c>
      <c r="H28" s="81"/>
    </row>
    <row r="29" spans="2:8" ht="13.5" thickBot="1" x14ac:dyDescent="0.25">
      <c r="B29"/>
      <c r="F29"/>
      <c r="H29" s="64">
        <f>SUM(H23:H28)</f>
        <v>0</v>
      </c>
    </row>
    <row r="30" spans="2:8" x14ac:dyDescent="0.2">
      <c r="B30"/>
      <c r="F30"/>
    </row>
    <row r="31" spans="2:8" x14ac:dyDescent="0.2">
      <c r="B31"/>
      <c r="F31"/>
    </row>
    <row r="32" spans="2:8" x14ac:dyDescent="0.2">
      <c r="B32"/>
      <c r="F32"/>
    </row>
    <row r="33" spans="2:6" x14ac:dyDescent="0.2">
      <c r="B33"/>
      <c r="C33"/>
      <c r="D33"/>
      <c r="E33"/>
      <c r="F33"/>
    </row>
    <row r="34" spans="2:6" x14ac:dyDescent="0.2">
      <c r="B34"/>
      <c r="C34"/>
      <c r="D34"/>
      <c r="E34"/>
      <c r="F34"/>
    </row>
    <row r="35" spans="2:6" x14ac:dyDescent="0.2">
      <c r="B35"/>
      <c r="C35"/>
      <c r="D35"/>
      <c r="E35"/>
      <c r="F35"/>
    </row>
    <row r="36" spans="2:6" x14ac:dyDescent="0.2">
      <c r="B36"/>
      <c r="C36"/>
      <c r="D36"/>
      <c r="E36"/>
      <c r="F36"/>
    </row>
    <row r="37" spans="2:6" x14ac:dyDescent="0.2">
      <c r="B37"/>
      <c r="C37"/>
      <c r="D37"/>
      <c r="E37"/>
      <c r="F37"/>
    </row>
    <row r="38" spans="2:6" x14ac:dyDescent="0.2">
      <c r="B38"/>
      <c r="C38"/>
      <c r="D38"/>
      <c r="E38"/>
      <c r="F38"/>
    </row>
    <row r="39" spans="2:6" x14ac:dyDescent="0.2">
      <c r="B39"/>
      <c r="C39"/>
      <c r="D39"/>
      <c r="E39"/>
      <c r="F39"/>
    </row>
    <row r="40" spans="2:6" x14ac:dyDescent="0.2">
      <c r="B40"/>
      <c r="C40"/>
      <c r="D40"/>
      <c r="E40"/>
      <c r="F40"/>
    </row>
    <row r="41" spans="2:6" x14ac:dyDescent="0.2">
      <c r="B41"/>
      <c r="C41"/>
      <c r="D41"/>
      <c r="E41"/>
      <c r="F41"/>
    </row>
    <row r="42" spans="2:6" x14ac:dyDescent="0.2">
      <c r="B42"/>
      <c r="C42"/>
      <c r="D42"/>
      <c r="E42"/>
      <c r="F42"/>
    </row>
    <row r="43" spans="2:6" x14ac:dyDescent="0.2">
      <c r="B43"/>
      <c r="C43"/>
      <c r="D43"/>
      <c r="E43"/>
      <c r="F43"/>
    </row>
    <row r="44" spans="2:6" x14ac:dyDescent="0.2">
      <c r="B44"/>
      <c r="C44"/>
      <c r="D44"/>
      <c r="E44"/>
      <c r="F44"/>
    </row>
    <row r="45" spans="2:6" x14ac:dyDescent="0.2">
      <c r="B45"/>
      <c r="C45"/>
      <c r="D45"/>
      <c r="E45"/>
      <c r="F45"/>
    </row>
    <row r="46" spans="2:6" x14ac:dyDescent="0.2">
      <c r="B46"/>
      <c r="C46"/>
      <c r="D46"/>
      <c r="E46"/>
      <c r="F46"/>
    </row>
    <row r="47" spans="2:6" x14ac:dyDescent="0.2">
      <c r="B47"/>
      <c r="C47"/>
      <c r="D47"/>
      <c r="E47"/>
      <c r="F47"/>
    </row>
    <row r="48" spans="2:6" x14ac:dyDescent="0.2">
      <c r="B48"/>
      <c r="C48"/>
      <c r="D48"/>
      <c r="E48"/>
      <c r="F48"/>
    </row>
    <row r="49" spans="2:6" x14ac:dyDescent="0.2">
      <c r="B49"/>
      <c r="C49"/>
      <c r="D49"/>
      <c r="E49"/>
      <c r="F49"/>
    </row>
    <row r="50" spans="2:6" x14ac:dyDescent="0.2">
      <c r="B50"/>
      <c r="C50"/>
      <c r="D50"/>
      <c r="E50"/>
      <c r="F50"/>
    </row>
    <row r="51" spans="2:6" x14ac:dyDescent="0.2">
      <c r="B51"/>
      <c r="C51"/>
      <c r="D51"/>
      <c r="E51"/>
      <c r="F51"/>
    </row>
    <row r="52" spans="2:6" x14ac:dyDescent="0.2">
      <c r="B52"/>
      <c r="C52"/>
      <c r="D52"/>
      <c r="E52"/>
      <c r="F52"/>
    </row>
    <row r="53" spans="2:6" x14ac:dyDescent="0.2">
      <c r="B53"/>
      <c r="C53"/>
      <c r="D53"/>
      <c r="E53"/>
      <c r="F53"/>
    </row>
    <row r="54" spans="2:6" x14ac:dyDescent="0.2">
      <c r="B54"/>
      <c r="C54"/>
      <c r="D54"/>
      <c r="E54"/>
      <c r="F54"/>
    </row>
    <row r="55" spans="2:6" x14ac:dyDescent="0.2">
      <c r="B55"/>
      <c r="C55"/>
      <c r="D55"/>
      <c r="E55"/>
      <c r="F55"/>
    </row>
    <row r="56" spans="2:6" x14ac:dyDescent="0.2">
      <c r="B56"/>
      <c r="C56"/>
      <c r="D56"/>
      <c r="E56"/>
      <c r="F56"/>
    </row>
    <row r="57" spans="2:6" x14ac:dyDescent="0.2">
      <c r="B57"/>
      <c r="C57"/>
      <c r="D57"/>
      <c r="E57"/>
      <c r="F57"/>
    </row>
    <row r="58" spans="2:6" x14ac:dyDescent="0.2">
      <c r="B58"/>
      <c r="C58"/>
      <c r="D58"/>
      <c r="E58"/>
      <c r="F58"/>
    </row>
    <row r="59" spans="2:6" x14ac:dyDescent="0.2">
      <c r="B59"/>
      <c r="C59"/>
      <c r="D59"/>
      <c r="E59"/>
      <c r="F59"/>
    </row>
    <row r="60" spans="2:6" x14ac:dyDescent="0.2">
      <c r="B60"/>
      <c r="C60"/>
      <c r="D60"/>
      <c r="E60"/>
      <c r="F60"/>
    </row>
    <row r="61" spans="2:6" x14ac:dyDescent="0.2">
      <c r="B61"/>
      <c r="C61"/>
      <c r="D61"/>
      <c r="E61"/>
      <c r="F61"/>
    </row>
    <row r="62" spans="2:6" x14ac:dyDescent="0.2">
      <c r="B62"/>
      <c r="C62"/>
      <c r="D62"/>
      <c r="E62"/>
      <c r="F62"/>
    </row>
    <row r="63" spans="2:6" x14ac:dyDescent="0.2">
      <c r="B63"/>
      <c r="C63"/>
      <c r="D63"/>
      <c r="E63"/>
      <c r="F63"/>
    </row>
    <row r="64" spans="2:6" x14ac:dyDescent="0.2">
      <c r="B64"/>
      <c r="C64"/>
      <c r="D64"/>
      <c r="E64"/>
      <c r="F64"/>
    </row>
    <row r="65" spans="2:6" x14ac:dyDescent="0.2">
      <c r="B65"/>
      <c r="C65"/>
      <c r="D65"/>
      <c r="E65"/>
      <c r="F65"/>
    </row>
    <row r="66" spans="2:6" x14ac:dyDescent="0.2">
      <c r="B66"/>
      <c r="C66"/>
      <c r="D66"/>
      <c r="E66"/>
      <c r="F66"/>
    </row>
    <row r="67" spans="2:6" x14ac:dyDescent="0.2">
      <c r="B67"/>
      <c r="C67"/>
      <c r="D67"/>
      <c r="E67"/>
      <c r="F67"/>
    </row>
    <row r="68" spans="2:6" x14ac:dyDescent="0.2">
      <c r="B68"/>
      <c r="C68"/>
      <c r="D68"/>
      <c r="E68"/>
      <c r="F68"/>
    </row>
    <row r="69" spans="2:6" x14ac:dyDescent="0.2">
      <c r="B69"/>
      <c r="C69"/>
      <c r="D69"/>
      <c r="E69"/>
      <c r="F69"/>
    </row>
    <row r="70" spans="2:6" x14ac:dyDescent="0.2">
      <c r="B70"/>
      <c r="C70"/>
      <c r="D70"/>
      <c r="E70"/>
      <c r="F70"/>
    </row>
    <row r="71" spans="2:6" x14ac:dyDescent="0.2">
      <c r="B71"/>
      <c r="C71"/>
      <c r="D71"/>
      <c r="E71"/>
      <c r="F71"/>
    </row>
    <row r="72" spans="2:6" x14ac:dyDescent="0.2">
      <c r="B72"/>
      <c r="C72"/>
      <c r="D72"/>
      <c r="E72"/>
      <c r="F72"/>
    </row>
    <row r="73" spans="2:6" x14ac:dyDescent="0.2">
      <c r="B73"/>
      <c r="C73"/>
      <c r="D73"/>
      <c r="E73"/>
      <c r="F73"/>
    </row>
    <row r="74" spans="2:6" x14ac:dyDescent="0.2">
      <c r="B74"/>
      <c r="C74"/>
      <c r="D74"/>
      <c r="E74"/>
      <c r="F74"/>
    </row>
    <row r="75" spans="2:6" x14ac:dyDescent="0.2">
      <c r="B75"/>
      <c r="C75"/>
      <c r="D75"/>
      <c r="E75"/>
      <c r="F75"/>
    </row>
    <row r="76" spans="2:6" x14ac:dyDescent="0.2">
      <c r="B76"/>
      <c r="C76"/>
      <c r="D76"/>
      <c r="E76"/>
      <c r="F76"/>
    </row>
    <row r="77" spans="2:6" x14ac:dyDescent="0.2">
      <c r="B77"/>
      <c r="C77"/>
      <c r="D77"/>
      <c r="E77"/>
      <c r="F77"/>
    </row>
    <row r="78" spans="2:6" x14ac:dyDescent="0.2">
      <c r="B78"/>
      <c r="C78"/>
      <c r="D78"/>
      <c r="E78"/>
      <c r="F78"/>
    </row>
    <row r="79" spans="2:6" x14ac:dyDescent="0.2">
      <c r="B79"/>
      <c r="C79"/>
      <c r="D79"/>
      <c r="E79"/>
      <c r="F79"/>
    </row>
    <row r="80" spans="2:6" x14ac:dyDescent="0.2">
      <c r="B80"/>
      <c r="C80"/>
      <c r="D80"/>
      <c r="E80"/>
      <c r="F80"/>
    </row>
    <row r="81" spans="2:6" x14ac:dyDescent="0.2">
      <c r="B81"/>
      <c r="C81"/>
      <c r="D81"/>
      <c r="E81"/>
      <c r="F81"/>
    </row>
    <row r="82" spans="2:6" x14ac:dyDescent="0.2">
      <c r="B82"/>
      <c r="C82"/>
      <c r="D82"/>
      <c r="E82"/>
      <c r="F82"/>
    </row>
    <row r="83" spans="2:6" x14ac:dyDescent="0.2">
      <c r="B83"/>
      <c r="C83"/>
      <c r="D83"/>
      <c r="E83"/>
      <c r="F83"/>
    </row>
    <row r="84" spans="2:6" x14ac:dyDescent="0.2">
      <c r="B84"/>
      <c r="C84"/>
      <c r="D84"/>
      <c r="E84"/>
      <c r="F84"/>
    </row>
    <row r="85" spans="2:6" x14ac:dyDescent="0.2">
      <c r="B85"/>
      <c r="C85"/>
      <c r="D85"/>
      <c r="E85"/>
      <c r="F85"/>
    </row>
    <row r="86" spans="2:6" x14ac:dyDescent="0.2">
      <c r="B86"/>
      <c r="C86"/>
      <c r="D86"/>
      <c r="E86"/>
      <c r="F86"/>
    </row>
    <row r="87" spans="2:6" x14ac:dyDescent="0.2">
      <c r="B87"/>
      <c r="C87"/>
      <c r="D87"/>
      <c r="E87"/>
      <c r="F87"/>
    </row>
    <row r="88" spans="2:6" x14ac:dyDescent="0.2">
      <c r="B88"/>
      <c r="C88"/>
      <c r="D88"/>
      <c r="E88"/>
      <c r="F88"/>
    </row>
    <row r="89" spans="2:6" x14ac:dyDescent="0.2">
      <c r="B89"/>
      <c r="C89"/>
      <c r="D89"/>
      <c r="E89"/>
      <c r="F89"/>
    </row>
    <row r="90" spans="2:6" x14ac:dyDescent="0.2">
      <c r="F90"/>
    </row>
    <row r="91" spans="2:6" x14ac:dyDescent="0.2">
      <c r="F91"/>
    </row>
    <row r="92" spans="2:6" x14ac:dyDescent="0.2">
      <c r="F92"/>
    </row>
    <row r="93" spans="2:6" x14ac:dyDescent="0.2">
      <c r="F93"/>
    </row>
    <row r="94" spans="2:6" x14ac:dyDescent="0.2">
      <c r="F94"/>
    </row>
    <row r="95" spans="2:6" x14ac:dyDescent="0.2">
      <c r="F95"/>
    </row>
    <row r="96" spans="2:6" x14ac:dyDescent="0.2">
      <c r="F96"/>
    </row>
    <row r="97" spans="6:6" x14ac:dyDescent="0.2">
      <c r="F97"/>
    </row>
    <row r="98" spans="6:6" x14ac:dyDescent="0.2">
      <c r="F98"/>
    </row>
    <row r="99" spans="6:6" x14ac:dyDescent="0.2">
      <c r="F99"/>
    </row>
    <row r="100" spans="6:6" x14ac:dyDescent="0.2">
      <c r="F100"/>
    </row>
    <row r="101" spans="6:6" x14ac:dyDescent="0.2">
      <c r="F101"/>
    </row>
    <row r="102" spans="6:6" x14ac:dyDescent="0.2">
      <c r="F102"/>
    </row>
  </sheetData>
  <mergeCells count="1">
    <mergeCell ref="G3:H3"/>
  </mergeCells>
  <phoneticPr fontId="2" type="noConversion"/>
  <hyperlinks>
    <hyperlink ref="G3" location="Network!A1" display="Return to Network"/>
  </hyperlinks>
  <pageMargins left="0.75" right="0.75" top="1" bottom="1" header="0.5" footer="0.5"/>
  <pageSetup orientation="portrait" verticalDpi="0" r:id="rId1"/>
  <headerFooter alignWithMargins="0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19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33</vt:i4>
      </vt:variant>
    </vt:vector>
  </HeadingPairs>
  <TitlesOfParts>
    <vt:vector size="57" baseType="lpstr">
      <vt:lpstr>Welcome</vt:lpstr>
      <vt:lpstr>Descrip</vt:lpstr>
      <vt:lpstr>Demand</vt:lpstr>
      <vt:lpstr>AvailRes</vt:lpstr>
      <vt:lpstr>ResNeeded</vt:lpstr>
      <vt:lpstr>HoldingCost</vt:lpstr>
      <vt:lpstr>ProductionCost</vt:lpstr>
      <vt:lpstr>Model</vt:lpstr>
      <vt:lpstr>ShippingCost</vt:lpstr>
      <vt:lpstr>InitialInv</vt:lpstr>
      <vt:lpstr>Report</vt:lpstr>
      <vt:lpstr>Results</vt:lpstr>
      <vt:lpstr>NumProd</vt:lpstr>
      <vt:lpstr>NumShip</vt:lpstr>
      <vt:lpstr>ShipCost</vt:lpstr>
      <vt:lpstr>HoldCost</vt:lpstr>
      <vt:lpstr>ProdCost</vt:lpstr>
      <vt:lpstr>ResProd</vt:lpstr>
      <vt:lpstr>ResFac</vt:lpstr>
      <vt:lpstr>NumProdC</vt:lpstr>
      <vt:lpstr>NumShipC</vt:lpstr>
      <vt:lpstr>ShipCostC</vt:lpstr>
      <vt:lpstr>HoldCostC</vt:lpstr>
      <vt:lpstr>ProdCostC</vt:lpstr>
      <vt:lpstr>AllDV</vt:lpstr>
      <vt:lpstr>AmountRes</vt:lpstr>
      <vt:lpstr>ConDemand</vt:lpstr>
      <vt:lpstr>ConInv</vt:lpstr>
      <vt:lpstr>ConRes</vt:lpstr>
      <vt:lpstr>ConShip</vt:lpstr>
      <vt:lpstr>DatesList</vt:lpstr>
      <vt:lpstr>DemandStart</vt:lpstr>
      <vt:lpstr>DVToProd</vt:lpstr>
      <vt:lpstr>DVToShip</vt:lpstr>
      <vt:lpstr>HoldCost</vt:lpstr>
      <vt:lpstr>InitInv</vt:lpstr>
      <vt:lpstr>OFHoldCost</vt:lpstr>
      <vt:lpstr>OFProdCost</vt:lpstr>
      <vt:lpstr>OFShipCost</vt:lpstr>
      <vt:lpstr>OFTotalCost</vt:lpstr>
      <vt:lpstr>Model!ProdCost</vt:lpstr>
      <vt:lpstr>ProdCost</vt:lpstr>
      <vt:lpstr>ResNeeded</vt:lpstr>
      <vt:lpstr>Report!ResultsHoldC</vt:lpstr>
      <vt:lpstr>ResultsHoldC</vt:lpstr>
      <vt:lpstr>Report!ResultsProd</vt:lpstr>
      <vt:lpstr>ResultsProd</vt:lpstr>
      <vt:lpstr>Report!ResultsProdC</vt:lpstr>
      <vt:lpstr>ResultsProdC</vt:lpstr>
      <vt:lpstr>Report!ResultsShip</vt:lpstr>
      <vt:lpstr>ResultsShip</vt:lpstr>
      <vt:lpstr>Report!ResultsShipC</vt:lpstr>
      <vt:lpstr>ResultsShipC</vt:lpstr>
      <vt:lpstr>RHSDemand</vt:lpstr>
      <vt:lpstr>RHSInv</vt:lpstr>
      <vt:lpstr>RHSRes</vt:lpstr>
      <vt:lpstr>ShipCost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HannaAhuja</dc:creator>
  <cp:lastModifiedBy>Will Bowen</cp:lastModifiedBy>
  <cp:lastPrinted>2004-02-02T15:45:04Z</cp:lastPrinted>
  <dcterms:created xsi:type="dcterms:W3CDTF">2003-05-11T14:22:40Z</dcterms:created>
  <dcterms:modified xsi:type="dcterms:W3CDTF">2012-01-20T06:57:08Z</dcterms:modified>
</cp:coreProperties>
</file>